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DATA 2026\"/>
    </mc:Choice>
  </mc:AlternateContent>
  <xr:revisionPtr revIDLastSave="0" documentId="13_ncr:1_{10407C58-5944-49A4-AF12-513380597F33}" xr6:coauthVersionLast="47" xr6:coauthVersionMax="47" xr10:uidLastSave="{00000000-0000-0000-0000-000000000000}"/>
  <bookViews>
    <workbookView xWindow="-120" yWindow="-120" windowWidth="20730" windowHeight="11040" xr2:uid="{12AA6B52-B328-4730-9C51-AC486E1E2C70}"/>
  </bookViews>
  <sheets>
    <sheet name="Matriks RKPDes TA 2026" sheetId="1" r:id="rId1"/>
    <sheet name="Lamp  DURK" sheetId="2" r:id="rId2"/>
    <sheet name="Perdes usulan APBDes 2026" sheetId="3" r:id="rId3"/>
    <sheet name="Lamp 1b APBDes 2026"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s>
  <definedNames>
    <definedName name="\a">'[1]ENG-101'!#REF!</definedName>
    <definedName name="\d">'[2]MHR-ANLIS'!#REF!</definedName>
    <definedName name="\e">'[2]MHR-ANLIS'!#REF!</definedName>
    <definedName name="\P">'[1]ENG-101'!#REF!</definedName>
    <definedName name="\q">'[2]MHR-ANLIS'!#REF!</definedName>
    <definedName name="\R">'[1]ENG-101'!#REF!</definedName>
    <definedName name="\S">[3]Rek!#REF!</definedName>
    <definedName name="\Y">'[1]ENG-101'!#REF!</definedName>
    <definedName name="\Z">#REF!</definedName>
    <definedName name="_">'[4]DAFTAR HARGA'!#REF!</definedName>
    <definedName name="_______________DIV11">[5]boq!#REF!</definedName>
    <definedName name="______________DIV1">'[6]Kuantitas &amp; Harga'!$G$24</definedName>
    <definedName name="______________DIV11">[5]boq!#REF!</definedName>
    <definedName name="______________DIV2">'[6]Kuantitas &amp; Harga'!$G$46</definedName>
    <definedName name="______________DIV3">'[6]Kuantitas &amp; Harga'!$G$80</definedName>
    <definedName name="______________DIV4">'[6]Kuantitas &amp; Harga'!$G$95</definedName>
    <definedName name="______________DIV5">'[6]Kuantitas &amp; Harga'!$G$115</definedName>
    <definedName name="______________DIV6">'[6]Kuantitas &amp; Harga'!$G$150</definedName>
    <definedName name="______________DIV7">'[6]Kuantitas &amp; Harga'!$G$298</definedName>
    <definedName name="______________EEE04">[7]alat!$BB$11</definedName>
    <definedName name="______________EEE06">[7]alat!$BB$13</definedName>
    <definedName name="______________EEE08">[7]alat!$BB$15</definedName>
    <definedName name="______________EEE09">[7]alat!$BB$16</definedName>
    <definedName name="______________EEE10">[7]alat!$BB$17</definedName>
    <definedName name="______________EEE11">[7]alat!$BB$18</definedName>
    <definedName name="______________EEE12">[7]alat!$BB$19</definedName>
    <definedName name="______________EEE13">[7]alat!$BB$20</definedName>
    <definedName name="______________EEE15">[7]alat!$BB$22</definedName>
    <definedName name="______________EEE19">[7]alat!$BB$26</definedName>
    <definedName name="______________EEE20">[7]alat!$BB$27</definedName>
    <definedName name="______________EEE22">[7]alat!$BB$29</definedName>
    <definedName name="______________EEE23">[7]alat!$BB$30</definedName>
    <definedName name="______________EEE25">[7]alat!$BB$32</definedName>
    <definedName name="______________MDE01">[7]alat!$BT$27</definedName>
    <definedName name="______________MDE02">[7]alat!$BT$47</definedName>
    <definedName name="______________MDE03">[7]alat!$BT$73</definedName>
    <definedName name="______________MDE04">[7]alat!$BT$93</definedName>
    <definedName name="______________MDE05">[7]alat!$BT$113</definedName>
    <definedName name="______________MDE06">[7]alat!$BT$133</definedName>
    <definedName name="______________MDE07">[7]alat!$BT$153</definedName>
    <definedName name="______________MDE08">[7]alat!$BT$173</definedName>
    <definedName name="______________MDE09">[7]alat!$BT$193</definedName>
    <definedName name="______________MDE10">[7]alat!$BT$213</definedName>
    <definedName name="______________MDE11">[7]alat!$BT$233</definedName>
    <definedName name="______________MDE12">[7]alat!$BT$253</definedName>
    <definedName name="______________MDE13">[7]alat!$BT$273</definedName>
    <definedName name="______________MDE14">[7]alat!$BT$293</definedName>
    <definedName name="______________MDE15">[7]alat!$BT$313</definedName>
    <definedName name="______________MDE16">[7]alat!$BT$333</definedName>
    <definedName name="______________MDE17">[7]alat!$BT$353</definedName>
    <definedName name="______________MDE18">[7]alat!$BT$373</definedName>
    <definedName name="______________MDE19">[7]alat!$BT$393</definedName>
    <definedName name="______________MDE20">[7]alat!$BT$413</definedName>
    <definedName name="______________MDE21">[7]alat!$BT$433</definedName>
    <definedName name="______________MDE22">[7]alat!$BT$453</definedName>
    <definedName name="______________MDE23">[7]alat!$BT$473</definedName>
    <definedName name="______________MDE24">[7]alat!$BT$493</definedName>
    <definedName name="______________MDE25">[7]alat!$BT$513</definedName>
    <definedName name="______________MDE26">[7]alat!$BT$533</definedName>
    <definedName name="______________MDE27">[7]alat!$BT$553</definedName>
    <definedName name="______________MDE28">[7]alat!$BT$573</definedName>
    <definedName name="______________MDE29">[7]alat!$BT$593</definedName>
    <definedName name="______________MDE30">[7]alat!$BT$613</definedName>
    <definedName name="______________MDE31">[7]alat!$BT$633</definedName>
    <definedName name="______________MDE32">[7]alat!$BT$653</definedName>
    <definedName name="______________MDE33">[7]alat!$BT$673</definedName>
    <definedName name="______________MDE34">[7]alat!$BT$704</definedName>
    <definedName name="______________ME01">[7]alat!$BT$26</definedName>
    <definedName name="______________ME02">[7]alat!$BT$46</definedName>
    <definedName name="______________ME03">[7]alat!$BT$72</definedName>
    <definedName name="______________ME04">[7]alat!$BT$92</definedName>
    <definedName name="______________ME05">[7]alat!$BT$112</definedName>
    <definedName name="______________ME06">[7]alat!$BT$132</definedName>
    <definedName name="______________ME07">[7]alat!$BT$152</definedName>
    <definedName name="______________ME08">[7]alat!$BT$172</definedName>
    <definedName name="______________ME09">[7]alat!$BT$192</definedName>
    <definedName name="______________ME10">[7]alat!$BT$212</definedName>
    <definedName name="______________ME11">[7]alat!$BT$232</definedName>
    <definedName name="______________ME12">[7]alat!$BT$252</definedName>
    <definedName name="______________ME13">[7]alat!$BT$272</definedName>
    <definedName name="______________ME14">[7]alat!$BT$292</definedName>
    <definedName name="______________ME15">[7]alat!$BT$312</definedName>
    <definedName name="______________ME16">[7]alat!$BT$332</definedName>
    <definedName name="______________ME17">[7]alat!$BT$352</definedName>
    <definedName name="______________ME18">[7]alat!$BT$372</definedName>
    <definedName name="______________ME19">[7]alat!$BT$392</definedName>
    <definedName name="______________ME20">[7]alat!$BT$412</definedName>
    <definedName name="______________ME21">[7]alat!$BT$432</definedName>
    <definedName name="______________ME22">[7]alat!$BT$452</definedName>
    <definedName name="______________ME23">[7]alat!$BT$472</definedName>
    <definedName name="______________ME24">[7]alat!$BT$492</definedName>
    <definedName name="______________ME25">[7]alat!$BT$512</definedName>
    <definedName name="______________ME26">[7]alat!$BT$532</definedName>
    <definedName name="______________ME27">[7]alat!$BT$552</definedName>
    <definedName name="______________ME28">[7]alat!$BT$572</definedName>
    <definedName name="______________ME29">[7]alat!$BT$592</definedName>
    <definedName name="______________ME30">[7]alat!$BT$612</definedName>
    <definedName name="______________ME31">[7]alat!$BT$632</definedName>
    <definedName name="______________ME32">[7]alat!$BT$652</definedName>
    <definedName name="______________ME33">[7]alat!$BT$672</definedName>
    <definedName name="______________ME34">[7]alat!$BT$703</definedName>
    <definedName name="_____________DIV1">'[6]Kuantitas &amp; Harga'!$G$24</definedName>
    <definedName name="_____________DIV11">[5]boq!#REF!</definedName>
    <definedName name="_____________DIV2">'[6]Kuantitas &amp; Harga'!$G$46</definedName>
    <definedName name="_____________DIV3">'[6]Kuantitas &amp; Harga'!$G$80</definedName>
    <definedName name="_____________DIV4">'[6]Kuantitas &amp; Harga'!$G$95</definedName>
    <definedName name="_____________DIV5">'[6]Kuantitas &amp; Harga'!$G$115</definedName>
    <definedName name="_____________DIV6">'[6]Kuantitas &amp; Harga'!$G$150</definedName>
    <definedName name="_____________DIV7">'[6]Kuantitas &amp; Harga'!$G$298</definedName>
    <definedName name="_____________EEE04">[8]alat!$BB$11</definedName>
    <definedName name="_____________EEE06">[8]alat!$BB$13</definedName>
    <definedName name="_____________EEE08">[8]alat!$BB$15</definedName>
    <definedName name="_____________EEE09">[8]alat!$BB$16</definedName>
    <definedName name="_____________EEE10">[8]alat!$BB$17</definedName>
    <definedName name="_____________EEE11">[8]alat!$BB$18</definedName>
    <definedName name="_____________EEE12">[8]alat!$BB$19</definedName>
    <definedName name="_____________EEE13">[8]alat!$BB$20</definedName>
    <definedName name="_____________EEE15">[8]alat!$BB$22</definedName>
    <definedName name="_____________EEE19">[8]alat!$BB$26</definedName>
    <definedName name="_____________EEE20">[8]alat!$BB$27</definedName>
    <definedName name="_____________EEE22">[8]alat!$BB$29</definedName>
    <definedName name="_____________EEE23">[8]alat!$BB$30</definedName>
    <definedName name="_____________EEE25">[8]alat!$BB$32</definedName>
    <definedName name="_____________MDE01">[8]alat!$BT$27</definedName>
    <definedName name="_____________MDE02">[8]alat!$BT$47</definedName>
    <definedName name="_____________MDE03">[8]alat!$BT$73</definedName>
    <definedName name="_____________MDE04">[8]alat!$BT$93</definedName>
    <definedName name="_____________MDE05">[8]alat!$BT$113</definedName>
    <definedName name="_____________MDE06">[8]alat!$BT$133</definedName>
    <definedName name="_____________MDE07">[8]alat!$BT$153</definedName>
    <definedName name="_____________MDE08">[8]alat!$BT$173</definedName>
    <definedName name="_____________MDE09">[8]alat!$BT$193</definedName>
    <definedName name="_____________MDE10">[8]alat!$BT$213</definedName>
    <definedName name="_____________MDE11">[8]alat!$BT$233</definedName>
    <definedName name="_____________MDE12">[8]alat!$BT$253</definedName>
    <definedName name="_____________MDE13">[8]alat!$BT$273</definedName>
    <definedName name="_____________MDE14">[8]alat!$BT$293</definedName>
    <definedName name="_____________MDE15">[8]alat!$BT$313</definedName>
    <definedName name="_____________MDE16">[8]alat!$BT$333</definedName>
    <definedName name="_____________MDE17">[8]alat!$BT$353</definedName>
    <definedName name="_____________MDE18">[8]alat!$BT$373</definedName>
    <definedName name="_____________MDE19">[8]alat!$BT$393</definedName>
    <definedName name="_____________MDE20">[8]alat!$BT$413</definedName>
    <definedName name="_____________MDE21">[8]alat!$BT$433</definedName>
    <definedName name="_____________MDE22">[8]alat!$BT$453</definedName>
    <definedName name="_____________MDE23">[8]alat!$BT$473</definedName>
    <definedName name="_____________MDE24">[8]alat!$BT$493</definedName>
    <definedName name="_____________MDE25">[8]alat!$BT$513</definedName>
    <definedName name="_____________MDE26">[8]alat!$BT$533</definedName>
    <definedName name="_____________MDE27">[8]alat!$BT$553</definedName>
    <definedName name="_____________MDE28">[8]alat!$BT$573</definedName>
    <definedName name="_____________MDE29">[8]alat!$BT$593</definedName>
    <definedName name="_____________MDE30">[8]alat!$BT$613</definedName>
    <definedName name="_____________MDE31">[8]alat!$BT$633</definedName>
    <definedName name="_____________MDE32">[8]alat!$BT$653</definedName>
    <definedName name="_____________MDE33">[8]alat!$BT$673</definedName>
    <definedName name="_____________MDE34">[8]alat!$BT$704</definedName>
    <definedName name="_____________ME01">[8]alat!$BT$26</definedName>
    <definedName name="_____________ME02">[8]alat!$BT$46</definedName>
    <definedName name="_____________ME03">[8]alat!$BT$72</definedName>
    <definedName name="_____________ME04">[8]alat!$BT$92</definedName>
    <definedName name="_____________ME05">[8]alat!$BT$112</definedName>
    <definedName name="_____________ME06">[8]alat!$BT$132</definedName>
    <definedName name="_____________ME07">[8]alat!$BT$152</definedName>
    <definedName name="_____________ME08">[8]alat!$BT$172</definedName>
    <definedName name="_____________ME09">[8]alat!$BT$192</definedName>
    <definedName name="_____________ME10">[8]alat!$BT$212</definedName>
    <definedName name="_____________ME11">[8]alat!$BT$232</definedName>
    <definedName name="_____________ME12">[8]alat!$BT$252</definedName>
    <definedName name="_____________ME13">[8]alat!$BT$272</definedName>
    <definedName name="_____________ME14">[8]alat!$BT$292</definedName>
    <definedName name="_____________ME15">[8]alat!$BT$312</definedName>
    <definedName name="_____________ME16">[8]alat!$BT$332</definedName>
    <definedName name="_____________ME17">[8]alat!$BT$352</definedName>
    <definedName name="_____________ME18">[8]alat!$BT$372</definedName>
    <definedName name="_____________ME19">[8]alat!$BT$392</definedName>
    <definedName name="_____________ME20">[8]alat!$BT$412</definedName>
    <definedName name="_____________ME21">[8]alat!$BT$432</definedName>
    <definedName name="_____________ME22">[8]alat!$BT$452</definedName>
    <definedName name="_____________ME23">[8]alat!$BT$472</definedName>
    <definedName name="_____________ME24">[8]alat!$BT$492</definedName>
    <definedName name="_____________ME25">[8]alat!$BT$512</definedName>
    <definedName name="_____________ME26">[8]alat!$BT$532</definedName>
    <definedName name="_____________ME27">[8]alat!$BT$552</definedName>
    <definedName name="_____________ME28">[8]alat!$BT$572</definedName>
    <definedName name="_____________ME29">[8]alat!$BT$592</definedName>
    <definedName name="_____________ME30">[8]alat!$BT$612</definedName>
    <definedName name="_____________ME31">[8]alat!$BT$632</definedName>
    <definedName name="_____________ME32">[8]alat!$BT$652</definedName>
    <definedName name="_____________ME33">[8]alat!$BT$672</definedName>
    <definedName name="_____________ME34">[8]alat!$BT$703</definedName>
    <definedName name="____________DIV1">[5]boq!$I$21</definedName>
    <definedName name="____________DIV11">[5]boq!#REF!</definedName>
    <definedName name="____________DIV2">[5]boq!$I$28</definedName>
    <definedName name="____________DIV3">[5]boq!$I$38</definedName>
    <definedName name="____________DIV4">[5]boq!#REF!</definedName>
    <definedName name="____________DIV5">[5]boq!#REF!</definedName>
    <definedName name="____________DIV6">[5]boq!#REF!</definedName>
    <definedName name="____________DIV7">[5]boq!$I$46</definedName>
    <definedName name="____________EEE04">[8]alat!$BB$11</definedName>
    <definedName name="____________EEE06">[8]alat!$BB$13</definedName>
    <definedName name="____________EEE08">[8]alat!$BB$15</definedName>
    <definedName name="____________EEE09">[8]alat!$BB$16</definedName>
    <definedName name="____________EEE10">[8]alat!$BB$17</definedName>
    <definedName name="____________EEE11">[8]alat!$BB$18</definedName>
    <definedName name="____________EEE12">[8]alat!$BB$19</definedName>
    <definedName name="____________EEE13">[8]alat!$BB$20</definedName>
    <definedName name="____________EEE15">[8]alat!$BB$22</definedName>
    <definedName name="____________EEE19">[8]alat!$BB$26</definedName>
    <definedName name="____________EEE20">[8]alat!$BB$27</definedName>
    <definedName name="____________EEE22">[8]alat!$BB$29</definedName>
    <definedName name="____________EEE23">[8]alat!$BB$30</definedName>
    <definedName name="____________EEE25">[8]alat!$BB$32</definedName>
    <definedName name="____________MDE01">[8]alat!$BT$27</definedName>
    <definedName name="____________MDE02">[8]alat!$BT$47</definedName>
    <definedName name="____________MDE03">[8]alat!$BT$73</definedName>
    <definedName name="____________MDE04">[8]alat!$BT$93</definedName>
    <definedName name="____________MDE05">[8]alat!$BT$113</definedName>
    <definedName name="____________MDE06">[8]alat!$BT$133</definedName>
    <definedName name="____________MDE07">[8]alat!$BT$153</definedName>
    <definedName name="____________MDE08">[8]alat!$BT$173</definedName>
    <definedName name="____________MDE09">[8]alat!$BT$193</definedName>
    <definedName name="____________MDE10">[8]alat!$BT$213</definedName>
    <definedName name="____________MDE11">[8]alat!$BT$233</definedName>
    <definedName name="____________MDE12">[8]alat!$BT$253</definedName>
    <definedName name="____________MDE13">[8]alat!$BT$273</definedName>
    <definedName name="____________MDE14">[8]alat!$BT$293</definedName>
    <definedName name="____________MDE15">[8]alat!$BT$313</definedName>
    <definedName name="____________MDE16">[8]alat!$BT$333</definedName>
    <definedName name="____________MDE17">[8]alat!$BT$353</definedName>
    <definedName name="____________MDE18">[8]alat!$BT$373</definedName>
    <definedName name="____________MDE19">[8]alat!$BT$393</definedName>
    <definedName name="____________MDE20">[8]alat!$BT$413</definedName>
    <definedName name="____________MDE21">[8]alat!$BT$433</definedName>
    <definedName name="____________MDE22">[8]alat!$BT$453</definedName>
    <definedName name="____________MDE23">[8]alat!$BT$473</definedName>
    <definedName name="____________MDE24">[8]alat!$BT$493</definedName>
    <definedName name="____________MDE25">[8]alat!$BT$513</definedName>
    <definedName name="____________MDE26">[8]alat!$BT$533</definedName>
    <definedName name="____________MDE27">[8]alat!$BT$553</definedName>
    <definedName name="____________MDE28">[8]alat!$BT$573</definedName>
    <definedName name="____________MDE29">[8]alat!$BT$593</definedName>
    <definedName name="____________MDE30">[8]alat!$BT$613</definedName>
    <definedName name="____________MDE31">[8]alat!$BT$633</definedName>
    <definedName name="____________MDE32">[8]alat!$BT$653</definedName>
    <definedName name="____________MDE33">[8]alat!$BT$673</definedName>
    <definedName name="____________MDE34">[8]alat!$BT$704</definedName>
    <definedName name="____________ME01">[8]alat!$BT$26</definedName>
    <definedName name="____________ME02">[8]alat!$BT$46</definedName>
    <definedName name="____________ME03">[8]alat!$BT$72</definedName>
    <definedName name="____________ME04">[8]alat!$BT$92</definedName>
    <definedName name="____________ME05">[8]alat!$BT$112</definedName>
    <definedName name="____________ME06">[8]alat!$BT$132</definedName>
    <definedName name="____________ME07">[8]alat!$BT$152</definedName>
    <definedName name="____________ME08">[8]alat!$BT$172</definedName>
    <definedName name="____________ME09">[8]alat!$BT$192</definedName>
    <definedName name="____________ME10">[8]alat!$BT$212</definedName>
    <definedName name="____________ME11">[8]alat!$BT$232</definedName>
    <definedName name="____________ME12">[8]alat!$BT$252</definedName>
    <definedName name="____________ME13">[8]alat!$BT$272</definedName>
    <definedName name="____________ME14">[8]alat!$BT$292</definedName>
    <definedName name="____________ME15">[8]alat!$BT$312</definedName>
    <definedName name="____________ME16">[8]alat!$BT$332</definedName>
    <definedName name="____________ME17">[8]alat!$BT$352</definedName>
    <definedName name="____________ME18">[8]alat!$BT$372</definedName>
    <definedName name="____________ME19">[8]alat!$BT$392</definedName>
    <definedName name="____________ME20">[8]alat!$BT$412</definedName>
    <definedName name="____________ME21">[8]alat!$BT$432</definedName>
    <definedName name="____________ME22">[8]alat!$BT$452</definedName>
    <definedName name="____________ME23">[8]alat!$BT$472</definedName>
    <definedName name="____________ME24">[8]alat!$BT$492</definedName>
    <definedName name="____________ME25">[8]alat!$BT$512</definedName>
    <definedName name="____________ME26">[8]alat!$BT$532</definedName>
    <definedName name="____________ME27">[8]alat!$BT$552</definedName>
    <definedName name="____________ME28">[8]alat!$BT$572</definedName>
    <definedName name="____________ME29">[8]alat!$BT$592</definedName>
    <definedName name="____________ME30">[8]alat!$BT$612</definedName>
    <definedName name="____________ME31">[8]alat!$BT$632</definedName>
    <definedName name="____________ME32">[8]alat!$BT$652</definedName>
    <definedName name="____________ME33">[8]alat!$BT$672</definedName>
    <definedName name="____________ME34">[8]alat!$BT$703</definedName>
    <definedName name="___________DIV1">[5]boq!$I$21</definedName>
    <definedName name="___________DIV11">[9]boq!#REF!</definedName>
    <definedName name="___________DIV2">[5]boq!$I$28</definedName>
    <definedName name="___________DIV3">[5]boq!$I$38</definedName>
    <definedName name="___________DIV4">[5]boq!#REF!</definedName>
    <definedName name="___________DIV5">[5]boq!#REF!</definedName>
    <definedName name="___________DIV6">[5]boq!#REF!</definedName>
    <definedName name="___________DIV7">[5]boq!$I$46</definedName>
    <definedName name="___________EEE04">[10]alat!$BB$11</definedName>
    <definedName name="___________EEE06">[10]alat!$BB$13</definedName>
    <definedName name="___________EEE08">[10]alat!$BB$15</definedName>
    <definedName name="___________EEE09">[10]alat!$BB$16</definedName>
    <definedName name="___________EEE10">[10]alat!$BB$17</definedName>
    <definedName name="___________EEE11">[10]alat!$BB$18</definedName>
    <definedName name="___________EEE12">[10]alat!$BB$19</definedName>
    <definedName name="___________EEE13">[10]alat!$BB$20</definedName>
    <definedName name="___________EEE15">[10]alat!$BB$22</definedName>
    <definedName name="___________EEE19">[10]alat!$BB$26</definedName>
    <definedName name="___________EEE20">[10]alat!$BB$27</definedName>
    <definedName name="___________EEE22">[10]alat!$BB$29</definedName>
    <definedName name="___________EEE23">[10]alat!$BB$30</definedName>
    <definedName name="___________EEE25">[10]alat!$BB$32</definedName>
    <definedName name="___________MDE01">[10]alat!$BT$27</definedName>
    <definedName name="___________MDE02">[10]alat!$BT$47</definedName>
    <definedName name="___________MDE03">[10]alat!$BT$73</definedName>
    <definedName name="___________MDE04">[10]alat!$BT$93</definedName>
    <definedName name="___________MDE05">[10]alat!$BT$113</definedName>
    <definedName name="___________MDE06">[10]alat!$BT$133</definedName>
    <definedName name="___________MDE07">[10]alat!$BT$153</definedName>
    <definedName name="___________MDE08">[10]alat!$BT$173</definedName>
    <definedName name="___________MDE09">[10]alat!$BT$193</definedName>
    <definedName name="___________MDE10">[10]alat!$BT$213</definedName>
    <definedName name="___________MDE11">[10]alat!$BT$233</definedName>
    <definedName name="___________MDE12">[10]alat!$BT$253</definedName>
    <definedName name="___________MDE13">[10]alat!$BT$273</definedName>
    <definedName name="___________MDE14">[10]alat!$BT$293</definedName>
    <definedName name="___________MDE15">[10]alat!$BT$313</definedName>
    <definedName name="___________MDE16">[10]alat!$BT$333</definedName>
    <definedName name="___________MDE17">[10]alat!$BT$353</definedName>
    <definedName name="___________MDE18">[10]alat!$BT$373</definedName>
    <definedName name="___________MDE19">[10]alat!$BT$393</definedName>
    <definedName name="___________MDE20">[10]alat!$BT$413</definedName>
    <definedName name="___________MDE21">[10]alat!$BT$433</definedName>
    <definedName name="___________MDE22">[10]alat!$BT$453</definedName>
    <definedName name="___________MDE23">[10]alat!$BT$473</definedName>
    <definedName name="___________MDE24">[10]alat!$BT$493</definedName>
    <definedName name="___________MDE25">[10]alat!$BT$513</definedName>
    <definedName name="___________MDE26">[10]alat!$BT$533</definedName>
    <definedName name="___________MDE27">[10]alat!$BT$553</definedName>
    <definedName name="___________MDE28">[10]alat!$BT$573</definedName>
    <definedName name="___________MDE29">[10]alat!$BT$593</definedName>
    <definedName name="___________MDE30">[10]alat!$BT$613</definedName>
    <definedName name="___________MDE31">[10]alat!$BT$633</definedName>
    <definedName name="___________MDE32">[10]alat!$BT$653</definedName>
    <definedName name="___________MDE33">[10]alat!$BT$673</definedName>
    <definedName name="___________MDE34">[10]alat!$BT$704</definedName>
    <definedName name="___________ME01">[10]alat!$BT$26</definedName>
    <definedName name="___________ME02">[10]alat!$BT$46</definedName>
    <definedName name="___________ME03">[10]alat!$BT$72</definedName>
    <definedName name="___________ME04">[10]alat!$BT$92</definedName>
    <definedName name="___________ME05">[10]alat!$BT$112</definedName>
    <definedName name="___________ME06">[10]alat!$BT$132</definedName>
    <definedName name="___________ME07">[10]alat!$BT$152</definedName>
    <definedName name="___________ME08">[10]alat!$BT$172</definedName>
    <definedName name="___________ME09">[10]alat!$BT$192</definedName>
    <definedName name="___________ME10">[10]alat!$BT$212</definedName>
    <definedName name="___________ME11">[10]alat!$BT$232</definedName>
    <definedName name="___________ME12">[10]alat!$BT$252</definedName>
    <definedName name="___________ME13">[10]alat!$BT$272</definedName>
    <definedName name="___________ME14">[10]alat!$BT$292</definedName>
    <definedName name="___________ME15">[10]alat!$BT$312</definedName>
    <definedName name="___________ME16">[10]alat!$BT$332</definedName>
    <definedName name="___________ME17">[10]alat!$BT$352</definedName>
    <definedName name="___________ME18">[10]alat!$BT$372</definedName>
    <definedName name="___________ME19">[10]alat!$BT$392</definedName>
    <definedName name="___________ME20">[10]alat!$BT$412</definedName>
    <definedName name="___________ME21">[10]alat!$BT$432</definedName>
    <definedName name="___________ME22">[10]alat!$BT$452</definedName>
    <definedName name="___________ME23">[10]alat!$BT$472</definedName>
    <definedName name="___________ME24">[10]alat!$BT$492</definedName>
    <definedName name="___________ME25">[10]alat!$BT$512</definedName>
    <definedName name="___________ME26">[10]alat!$BT$532</definedName>
    <definedName name="___________ME27">[10]alat!$BT$552</definedName>
    <definedName name="___________ME28">[10]alat!$BT$572</definedName>
    <definedName name="___________ME29">[10]alat!$BT$592</definedName>
    <definedName name="___________ME30">[10]alat!$BT$612</definedName>
    <definedName name="___________ME31">[10]alat!$BT$632</definedName>
    <definedName name="___________ME32">[10]alat!$BT$652</definedName>
    <definedName name="___________ME33">[10]alat!$BT$672</definedName>
    <definedName name="___________ME34">[10]alat!$BT$703</definedName>
    <definedName name="___________NYA1">[11]Upah!#REF!</definedName>
    <definedName name="___________NYA2">[11]Upah!#REF!</definedName>
    <definedName name="__________DIV1">[5]boq!$I$21</definedName>
    <definedName name="__________DIV11">[5]boq!#REF!</definedName>
    <definedName name="__________DIV2">[5]boq!$I$28</definedName>
    <definedName name="__________DIV3">[5]boq!$I$38</definedName>
    <definedName name="__________DIV4">[5]boq!#REF!</definedName>
    <definedName name="__________DIV5">[5]boq!#REF!</definedName>
    <definedName name="__________DIV6">[5]boq!#REF!</definedName>
    <definedName name="__________DIV7">[5]boq!$I$46</definedName>
    <definedName name="__________EEE04">[8]alat!$BB$11</definedName>
    <definedName name="__________EEE06">[8]alat!$BB$13</definedName>
    <definedName name="__________EEE08">[8]alat!$BB$15</definedName>
    <definedName name="__________EEE09">[8]alat!$BB$16</definedName>
    <definedName name="__________EEE10">[8]alat!$BB$17</definedName>
    <definedName name="__________EEE11">[8]alat!$BB$18</definedName>
    <definedName name="__________EEE12">[8]alat!$BB$19</definedName>
    <definedName name="__________EEE13">[8]alat!$BB$20</definedName>
    <definedName name="__________EEE15">[8]alat!$BB$22</definedName>
    <definedName name="__________EEE19">[8]alat!$BB$26</definedName>
    <definedName name="__________EEE20">[8]alat!$BB$27</definedName>
    <definedName name="__________EEE22">[8]alat!$BB$29</definedName>
    <definedName name="__________EEE23">[8]alat!$BB$30</definedName>
    <definedName name="__________EEE25">[8]alat!$BB$32</definedName>
    <definedName name="__________kk2">#REF!</definedName>
    <definedName name="__________kk3">#REF!</definedName>
    <definedName name="__________MDE01">[8]alat!$BT$27</definedName>
    <definedName name="__________MDE02">[8]alat!$BT$47</definedName>
    <definedName name="__________MDE03">[8]alat!$BT$73</definedName>
    <definedName name="__________MDE04">[8]alat!$BT$93</definedName>
    <definedName name="__________MDE05">[8]alat!$BT$113</definedName>
    <definedName name="__________MDE06">[8]alat!$BT$133</definedName>
    <definedName name="__________MDE07">[8]alat!$BT$153</definedName>
    <definedName name="__________MDE08">[8]alat!$BT$173</definedName>
    <definedName name="__________MDE09">[8]alat!$BT$193</definedName>
    <definedName name="__________MDE10">[8]alat!$BT$213</definedName>
    <definedName name="__________MDE11">[8]alat!$BT$233</definedName>
    <definedName name="__________MDE12">[8]alat!$BT$253</definedName>
    <definedName name="__________MDE13">[8]alat!$BT$273</definedName>
    <definedName name="__________MDE14">[8]alat!$BT$293</definedName>
    <definedName name="__________MDE15">[8]alat!$BT$313</definedName>
    <definedName name="__________MDE16">[8]alat!$BT$333</definedName>
    <definedName name="__________MDE17">[8]alat!$BT$353</definedName>
    <definedName name="__________MDE18">[8]alat!$BT$373</definedName>
    <definedName name="__________MDE19">[8]alat!$BT$393</definedName>
    <definedName name="__________MDE20">[8]alat!$BT$413</definedName>
    <definedName name="__________MDE21">[8]alat!$BT$433</definedName>
    <definedName name="__________MDE22">[8]alat!$BT$453</definedName>
    <definedName name="__________MDE23">[8]alat!$BT$473</definedName>
    <definedName name="__________MDE24">[8]alat!$BT$493</definedName>
    <definedName name="__________MDE25">[8]alat!$BT$513</definedName>
    <definedName name="__________MDE26">[8]alat!$BT$533</definedName>
    <definedName name="__________MDE27">[8]alat!$BT$553</definedName>
    <definedName name="__________MDE28">[8]alat!$BT$573</definedName>
    <definedName name="__________MDE29">[8]alat!$BT$593</definedName>
    <definedName name="__________MDE30">[8]alat!$BT$613</definedName>
    <definedName name="__________MDE31">[8]alat!$BT$633</definedName>
    <definedName name="__________MDE32">[8]alat!$BT$653</definedName>
    <definedName name="__________MDE33">[8]alat!$BT$673</definedName>
    <definedName name="__________MDE34">[8]alat!$BT$704</definedName>
    <definedName name="__________ME01">[8]alat!$BT$26</definedName>
    <definedName name="__________ME02">[8]alat!$BT$46</definedName>
    <definedName name="__________ME03">[8]alat!$BT$72</definedName>
    <definedName name="__________ME04">[8]alat!$BT$92</definedName>
    <definedName name="__________ME05">[8]alat!$BT$112</definedName>
    <definedName name="__________ME06">[8]alat!$BT$132</definedName>
    <definedName name="__________ME07">[8]alat!$BT$152</definedName>
    <definedName name="__________ME08">[8]alat!$BT$172</definedName>
    <definedName name="__________ME09">[8]alat!$BT$192</definedName>
    <definedName name="__________ME10">[8]alat!$BT$212</definedName>
    <definedName name="__________ME11">[8]alat!$BT$232</definedName>
    <definedName name="__________ME12">[8]alat!$BT$252</definedName>
    <definedName name="__________ME13">[8]alat!$BT$272</definedName>
    <definedName name="__________ME14">[8]alat!$BT$292</definedName>
    <definedName name="__________ME15">[8]alat!$BT$312</definedName>
    <definedName name="__________ME16">[8]alat!$BT$332</definedName>
    <definedName name="__________ME17">[8]alat!$BT$352</definedName>
    <definedName name="__________ME18">[8]alat!$BT$372</definedName>
    <definedName name="__________ME19">[8]alat!$BT$392</definedName>
    <definedName name="__________ME20">[8]alat!$BT$412</definedName>
    <definedName name="__________ME21">[8]alat!$BT$432</definedName>
    <definedName name="__________ME22">[8]alat!$BT$452</definedName>
    <definedName name="__________ME23">[8]alat!$BT$472</definedName>
    <definedName name="__________ME24">[8]alat!$BT$492</definedName>
    <definedName name="__________ME25">[8]alat!$BT$512</definedName>
    <definedName name="__________ME26">[8]alat!$BT$532</definedName>
    <definedName name="__________ME27">[8]alat!$BT$552</definedName>
    <definedName name="__________ME28">[8]alat!$BT$572</definedName>
    <definedName name="__________ME29">[8]alat!$BT$592</definedName>
    <definedName name="__________ME30">[8]alat!$BT$612</definedName>
    <definedName name="__________ME31">[8]alat!$BT$632</definedName>
    <definedName name="__________ME32">[8]alat!$BT$652</definedName>
    <definedName name="__________ME33">[8]alat!$BT$672</definedName>
    <definedName name="__________ME34">[8]alat!$BT$703</definedName>
    <definedName name="__________NYA1">[11]Upah!#REF!</definedName>
    <definedName name="__________NYA2">[11]Upah!#REF!</definedName>
    <definedName name="_________bbp10">#REF!</definedName>
    <definedName name="_________bbp12">#REF!</definedName>
    <definedName name="_________bbp4">#REF!</definedName>
    <definedName name="_________bbp6">#REF!</definedName>
    <definedName name="_________bbp8">#REF!</definedName>
    <definedName name="_________DIV1">[5]boq!$I$21</definedName>
    <definedName name="_________DIV10">'[6]Kuantitas &amp; Harga'!$G$393</definedName>
    <definedName name="_________DIV11">[9]boq!#REF!</definedName>
    <definedName name="_________DIV2">[5]boq!$I$28</definedName>
    <definedName name="_________DIV3">[5]boq!$I$38</definedName>
    <definedName name="_________DIV4">[5]boq!#REF!</definedName>
    <definedName name="_________DIV5">[5]boq!#REF!</definedName>
    <definedName name="_________DIV6">[5]boq!#REF!</definedName>
    <definedName name="_________DIV7">[5]boq!$I$46</definedName>
    <definedName name="_________DIV8">'[6]Kuantitas &amp; Harga'!$G$350</definedName>
    <definedName name="_________DIV9">'[6]Kuantitas &amp; Harga'!$G$380</definedName>
    <definedName name="_________EEE04">[10]alat!$BB$11</definedName>
    <definedName name="_________EEE06">[10]alat!$BB$13</definedName>
    <definedName name="_________EEE08">[10]alat!$BB$15</definedName>
    <definedName name="_________EEE09">[10]alat!$BB$16</definedName>
    <definedName name="_________EEE10">[10]alat!$BB$17</definedName>
    <definedName name="_________EEE11">[10]alat!$BB$18</definedName>
    <definedName name="_________EEE12">[10]alat!$BB$19</definedName>
    <definedName name="_________EEE13">[10]alat!$BB$20</definedName>
    <definedName name="_________EEE15">[10]alat!$BB$22</definedName>
    <definedName name="_________EEE19">[10]alat!$BB$26</definedName>
    <definedName name="_________EEE20">[10]alat!$BB$27</definedName>
    <definedName name="_________EEE22">[10]alat!$BB$29</definedName>
    <definedName name="_________EEE23">[10]alat!$BB$30</definedName>
    <definedName name="_________EEE25">[10]alat!$BB$32</definedName>
    <definedName name="_________GIP1">#REF!</definedName>
    <definedName name="_________GIP112">#REF!</definedName>
    <definedName name="_________GIP114">#REF!</definedName>
    <definedName name="_________GIP12">#REF!</definedName>
    <definedName name="_________GIP2">#REF!</definedName>
    <definedName name="_________GIP34">#REF!</definedName>
    <definedName name="_________ker1020">#REF!</definedName>
    <definedName name="_________ker2020">#REF!</definedName>
    <definedName name="_________ker2025">#REF!</definedName>
    <definedName name="_________ker3030">#REF!</definedName>
    <definedName name="_________ker4040">#REF!</definedName>
    <definedName name="_________MDE01">[10]alat!$BT$27</definedName>
    <definedName name="_________MDE02">[10]alat!$BT$47</definedName>
    <definedName name="_________MDE03">[10]alat!$BT$73</definedName>
    <definedName name="_________MDE04">[10]alat!$BT$93</definedName>
    <definedName name="_________MDE05">[10]alat!$BT$113</definedName>
    <definedName name="_________MDE06">[10]alat!$BT$133</definedName>
    <definedName name="_________MDE07">[10]alat!$BT$153</definedName>
    <definedName name="_________MDE08">[10]alat!$BT$173</definedName>
    <definedName name="_________MDE09">[10]alat!$BT$193</definedName>
    <definedName name="_________MDE10">[10]alat!$BT$213</definedName>
    <definedName name="_________MDE11">[10]alat!$BT$233</definedName>
    <definedName name="_________MDE12">[10]alat!$BT$253</definedName>
    <definedName name="_________MDE13">[10]alat!$BT$273</definedName>
    <definedName name="_________MDE14">[10]alat!$BT$293</definedName>
    <definedName name="_________MDE15">[10]alat!$BT$313</definedName>
    <definedName name="_________MDE16">[10]alat!$BT$333</definedName>
    <definedName name="_________MDE17">[10]alat!$BT$353</definedName>
    <definedName name="_________MDE18">[10]alat!$BT$373</definedName>
    <definedName name="_________MDE19">[10]alat!$BT$393</definedName>
    <definedName name="_________MDE20">[10]alat!$BT$413</definedName>
    <definedName name="_________MDE21">[10]alat!$BT$433</definedName>
    <definedName name="_________MDE22">[10]alat!$BT$453</definedName>
    <definedName name="_________MDE23">[10]alat!$BT$473</definedName>
    <definedName name="_________MDE24">[10]alat!$BT$493</definedName>
    <definedName name="_________MDE25">[10]alat!$BT$513</definedName>
    <definedName name="_________MDE26">[10]alat!$BT$533</definedName>
    <definedName name="_________MDE27">[10]alat!$BT$553</definedName>
    <definedName name="_________MDE28">[10]alat!$BT$573</definedName>
    <definedName name="_________MDE29">[10]alat!$BT$593</definedName>
    <definedName name="_________MDE30">[10]alat!$BT$613</definedName>
    <definedName name="_________MDE31">[10]alat!$BT$633</definedName>
    <definedName name="_________MDE32">[10]alat!$BT$653</definedName>
    <definedName name="_________MDE33">[10]alat!$BT$673</definedName>
    <definedName name="_________MDE34">[10]alat!$BT$704</definedName>
    <definedName name="_________ME01">[10]alat!$BT$26</definedName>
    <definedName name="_________ME02">[10]alat!$BT$46</definedName>
    <definedName name="_________ME03">[10]alat!$BT$72</definedName>
    <definedName name="_________ME04">[10]alat!$BT$92</definedName>
    <definedName name="_________ME05">[10]alat!$BT$112</definedName>
    <definedName name="_________ME06">[10]alat!$BT$132</definedName>
    <definedName name="_________ME07">[10]alat!$BT$152</definedName>
    <definedName name="_________ME08">[10]alat!$BT$172</definedName>
    <definedName name="_________ME09">[10]alat!$BT$192</definedName>
    <definedName name="_________ME10">[10]alat!$BT$212</definedName>
    <definedName name="_________ME11">[10]alat!$BT$232</definedName>
    <definedName name="_________ME12">[10]alat!$BT$252</definedName>
    <definedName name="_________ME13">[10]alat!$BT$272</definedName>
    <definedName name="_________ME14">[10]alat!$BT$292</definedName>
    <definedName name="_________ME15">[10]alat!$BT$312</definedName>
    <definedName name="_________ME16">[10]alat!$BT$332</definedName>
    <definedName name="_________ME17">[10]alat!$BT$352</definedName>
    <definedName name="_________ME18">[10]alat!$BT$372</definedName>
    <definedName name="_________ME19">[10]alat!$BT$392</definedName>
    <definedName name="_________ME20">[10]alat!$BT$412</definedName>
    <definedName name="_________ME21">[10]alat!$BT$432</definedName>
    <definedName name="_________ME22">[10]alat!$BT$452</definedName>
    <definedName name="_________ME23">[10]alat!$BT$472</definedName>
    <definedName name="_________ME24">[10]alat!$BT$492</definedName>
    <definedName name="_________ME25">[10]alat!$BT$512</definedName>
    <definedName name="_________ME26">[10]alat!$BT$532</definedName>
    <definedName name="_________ME27">[10]alat!$BT$552</definedName>
    <definedName name="_________ME28">[10]alat!$BT$572</definedName>
    <definedName name="_________ME29">[10]alat!$BT$592</definedName>
    <definedName name="_________ME30">[10]alat!$BT$612</definedName>
    <definedName name="_________ME31">[10]alat!$BT$632</definedName>
    <definedName name="_________ME32">[10]alat!$BT$652</definedName>
    <definedName name="_________ME33">[10]alat!$BT$672</definedName>
    <definedName name="_________ME34">[10]alat!$BT$703</definedName>
    <definedName name="_________NYA1">[11]Upah!#REF!</definedName>
    <definedName name="_________NYA2">[11]Upah!#REF!</definedName>
    <definedName name="_________PVC1">#REF!</definedName>
    <definedName name="_________PVC112">#REF!</definedName>
    <definedName name="_________PVC114">#REF!</definedName>
    <definedName name="_________PVC12">#REF!</definedName>
    <definedName name="_________PVC2">#REF!</definedName>
    <definedName name="_________PVC212">#REF!</definedName>
    <definedName name="_________PVC3">#REF!</definedName>
    <definedName name="_________PVC34">#REF!</definedName>
    <definedName name="_________PVC4">#REF!</definedName>
    <definedName name="_________tos5">#REF!</definedName>
    <definedName name="________bpc35">'[12]Upah Bahan'!$F$40</definedName>
    <definedName name="________DIV1">[5]boq!$I$21</definedName>
    <definedName name="________DIV10">'[6]Kuantitas &amp; Harga'!$G$393</definedName>
    <definedName name="________DIV11">[13]boq!#REF!</definedName>
    <definedName name="________DIV2">[5]boq!$I$28</definedName>
    <definedName name="________DIV3">[5]boq!$I$38</definedName>
    <definedName name="________DIV4">[5]boq!#REF!</definedName>
    <definedName name="________DIV5">[5]boq!#REF!</definedName>
    <definedName name="________DIV6">[5]boq!#REF!</definedName>
    <definedName name="________DIV7">[5]boq!$I$46</definedName>
    <definedName name="________DIV8">'[6]Kuantitas &amp; Harga'!$G$350</definedName>
    <definedName name="________DIV9">'[6]Kuantitas &amp; Harga'!$G$380</definedName>
    <definedName name="________dum35">[12]Sheet1!$Q$26</definedName>
    <definedName name="________EEE01">[14]alat!$AW$8</definedName>
    <definedName name="________EEE02">[14]alat!$AW$9</definedName>
    <definedName name="________EEE03">[14]alat!$AW$10</definedName>
    <definedName name="________EEE04">[14]alat!$AW$11</definedName>
    <definedName name="________EEE05">[14]alat!$AW$12</definedName>
    <definedName name="________EEE06">[14]alat!$AW$13</definedName>
    <definedName name="________EEE07">[14]alat!$AW$14</definedName>
    <definedName name="________EEE08">[14]alat!$AW$15</definedName>
    <definedName name="________EEE09">[14]alat!$AW$16</definedName>
    <definedName name="________EEE10">[14]alat!$AW$17</definedName>
    <definedName name="________EEE11">[14]alat!$AW$18</definedName>
    <definedName name="________EEE12">[14]alat!$AW$19</definedName>
    <definedName name="________EEE13">[14]alat!$AW$20</definedName>
    <definedName name="________EEE14">[14]alat!$AW$21</definedName>
    <definedName name="________EEE15">[14]alat!$AW$22</definedName>
    <definedName name="________EEE16">[14]alat!$AW$23</definedName>
    <definedName name="________EEE17">[14]alat!$AW$24</definedName>
    <definedName name="________EEE18">[14]alat!$AW$25</definedName>
    <definedName name="________EEE19">[14]alat!$AW$26</definedName>
    <definedName name="________EEE20">[14]alat!$AW$27</definedName>
    <definedName name="________EEE21">[14]alat!$AW$28</definedName>
    <definedName name="________EEE22">[14]alat!$AW$29</definedName>
    <definedName name="________EEE23">[14]alat!$AW$30</definedName>
    <definedName name="________EEE24">[14]alat!$AW$31</definedName>
    <definedName name="________EEE25">[14]alat!$AW$32</definedName>
    <definedName name="________EEE26">[14]alat!$AW$33</definedName>
    <definedName name="________EEE27">[14]alat!$AW$34</definedName>
    <definedName name="________EEE28">[14]alat!$AW$35</definedName>
    <definedName name="________EEE29">[14]alat!$AW$36</definedName>
    <definedName name="________EEE30">[14]alat!$AW$37</definedName>
    <definedName name="________EEE31">[14]alat!$AW$38</definedName>
    <definedName name="________EEE32">[14]alat!$AW$39</definedName>
    <definedName name="________EEE33">[14]alat!$AW$40</definedName>
    <definedName name="________HAL2">[5]boq!#REF!</definedName>
    <definedName name="________HAL3">[5]boq!#REF!</definedName>
    <definedName name="________MDE01">[10]alat!$BT$27</definedName>
    <definedName name="________MDE02">[14]alat!$BO$47</definedName>
    <definedName name="________MDE03">[14]alat!$BO$67</definedName>
    <definedName name="________MDE04">[14]alat!$BO$87</definedName>
    <definedName name="________MDE05">[14]alat!$BO$107</definedName>
    <definedName name="________MDE06">[14]alat!$BO$127</definedName>
    <definedName name="________MDE07">[14]alat!$BO$147</definedName>
    <definedName name="________MDE08">[14]alat!$BO$167</definedName>
    <definedName name="________MDE09">[14]alat!$BO$187</definedName>
    <definedName name="________MDE10">[14]alat!$BO$207</definedName>
    <definedName name="________MDE11">[14]alat!$BO$227</definedName>
    <definedName name="________MDE12">[14]alat!$BO$247</definedName>
    <definedName name="________MDE13">[14]alat!$BO$267</definedName>
    <definedName name="________MDE14">[14]alat!$BO$287</definedName>
    <definedName name="________MDE15">[14]alat!$BO$307</definedName>
    <definedName name="________MDE16">[14]alat!$BO$327</definedName>
    <definedName name="________MDE17">[14]alat!$BO$347</definedName>
    <definedName name="________MDE18">[14]alat!$BO$367</definedName>
    <definedName name="________MDE19">[14]alat!$BO$387</definedName>
    <definedName name="________MDE20">[14]alat!$BO$407</definedName>
    <definedName name="________MDE21">[14]alat!$BO$427</definedName>
    <definedName name="________MDE22">[14]alat!$BO$447</definedName>
    <definedName name="________MDE23">[14]alat!$BO$467</definedName>
    <definedName name="________MDE24">[14]alat!$BO$487</definedName>
    <definedName name="________MDE25">[14]alat!$BO$507</definedName>
    <definedName name="________MDE26">[14]alat!$BO$527</definedName>
    <definedName name="________MDE27">[14]alat!$BO$547</definedName>
    <definedName name="________MDE28">[14]alat!$BO$567</definedName>
    <definedName name="________MDE29">[14]alat!$BO$587</definedName>
    <definedName name="________MDE30">[14]alat!$BO$607</definedName>
    <definedName name="________MDE31">[14]alat!$BO$627</definedName>
    <definedName name="________MDE32">[14]alat!$BO$647</definedName>
    <definedName name="________MDE33">[14]alat!$BO$667</definedName>
    <definedName name="________MDE34">[14]alat!$BO$698</definedName>
    <definedName name="________ME01">[14]alat!$BO$26</definedName>
    <definedName name="________ME02">[14]alat!$BO$46</definedName>
    <definedName name="________ME03">[14]alat!$BO$66</definedName>
    <definedName name="________ME04">[14]alat!$BO$86</definedName>
    <definedName name="________ME05">[14]alat!$BO$106</definedName>
    <definedName name="________ME06">[14]alat!$BO$126</definedName>
    <definedName name="________ME07">[14]alat!$BO$146</definedName>
    <definedName name="________ME08">[14]alat!$BO$166</definedName>
    <definedName name="________ME09">[14]alat!$BO$186</definedName>
    <definedName name="________ME10">[14]alat!$BO$206</definedName>
    <definedName name="________ME11">[14]alat!$BO$226</definedName>
    <definedName name="________ME12">[14]alat!$BO$246</definedName>
    <definedName name="________ME13">[14]alat!$BO$266</definedName>
    <definedName name="________ME14">[14]alat!$BO$286</definedName>
    <definedName name="________ME15">[14]alat!$BO$306</definedName>
    <definedName name="________ME16">[14]alat!$BO$326</definedName>
    <definedName name="________ME17">[14]alat!$BO$346</definedName>
    <definedName name="________ME18">[14]alat!$BO$366</definedName>
    <definedName name="________ME19">[14]alat!$BO$386</definedName>
    <definedName name="________ME20">[14]alat!$BO$406</definedName>
    <definedName name="________ME21">[14]alat!$BO$426</definedName>
    <definedName name="________ME22">[14]alat!$BO$446</definedName>
    <definedName name="________ME23">[14]alat!$BO$466</definedName>
    <definedName name="________ME24">[14]alat!$BO$486</definedName>
    <definedName name="________ME25">[14]alat!$BO$506</definedName>
    <definedName name="________ME26">[14]alat!$BO$526</definedName>
    <definedName name="________ME27">[14]alat!$BO$546</definedName>
    <definedName name="________ME28">[14]alat!$BO$566</definedName>
    <definedName name="________ME29">[14]alat!$BO$586</definedName>
    <definedName name="________ME30">[14]alat!$BO$606</definedName>
    <definedName name="________ME31">[14]alat!$BO$626</definedName>
    <definedName name="________ME32">[14]alat!$BO$646</definedName>
    <definedName name="________ME33">[14]alat!$BO$666</definedName>
    <definedName name="________ME34">[14]alat!$BO$697</definedName>
    <definedName name="________NYA1">[11]Upah!#REF!</definedName>
    <definedName name="________NYA2">[11]Upah!#REF!</definedName>
    <definedName name="_______bet123">[15]Analisa!$J$160</definedName>
    <definedName name="_______bpc23">'[16]Upah Bahan'!$F$41</definedName>
    <definedName name="_______bpc35">'[16]Upah Bahan'!$F$40</definedName>
    <definedName name="_______DIV1">[9]boq!$G$24</definedName>
    <definedName name="_______DIV10">[9]boq!$G$329</definedName>
    <definedName name="_______DIV11">[9]boq!#REF!</definedName>
    <definedName name="_______DIV2">[9]boq!$G$35</definedName>
    <definedName name="_______DIV3">[9]boq!$G$52</definedName>
    <definedName name="_______DIV4">[9]boq!$G$66</definedName>
    <definedName name="_______DIV5">[9]boq!$G$93</definedName>
    <definedName name="_______DIV6">[9]boq!$G$118</definedName>
    <definedName name="_______DIV7">[9]boq!$G$206</definedName>
    <definedName name="_______DIV8">[9]boq!$G$263</definedName>
    <definedName name="_______DIV9">[9]boq!$G$305</definedName>
    <definedName name="_______dum35">[16]Sheet1!$Q$26</definedName>
    <definedName name="_______EEE01">[14]alat!$AW$8</definedName>
    <definedName name="_______EEE02">[14]alat!$AW$9</definedName>
    <definedName name="_______EEE03">[14]alat!$AW$10</definedName>
    <definedName name="_______EEE04">[14]alat!$AW$11</definedName>
    <definedName name="_______EEE05">[14]alat!$AW$12</definedName>
    <definedName name="_______EEE06">[14]alat!$AW$13</definedName>
    <definedName name="_______EEE07">[14]alat!$AW$14</definedName>
    <definedName name="_______EEE08">[14]alat!$AW$15</definedName>
    <definedName name="_______EEE09">[14]alat!$AW$16</definedName>
    <definedName name="_______EEE10">[14]alat!$AW$17</definedName>
    <definedName name="_______EEE11">[14]alat!$AW$18</definedName>
    <definedName name="_______EEE12">[14]alat!$AW$19</definedName>
    <definedName name="_______EEE13">[14]alat!$AW$20</definedName>
    <definedName name="_______EEE14">[14]alat!$AW$21</definedName>
    <definedName name="_______EEE15">[14]alat!$AW$22</definedName>
    <definedName name="_______EEE16">[14]alat!$AW$23</definedName>
    <definedName name="_______EEE17">[14]alat!$AW$24</definedName>
    <definedName name="_______EEE18">[14]alat!$AW$25</definedName>
    <definedName name="_______EEE19">[14]alat!$AW$26</definedName>
    <definedName name="_______EEE20">[14]alat!$AW$27</definedName>
    <definedName name="_______EEE21">[14]alat!$AW$28</definedName>
    <definedName name="_______EEE22">[14]alat!$AW$29</definedName>
    <definedName name="_______EEE23">[14]alat!$AW$30</definedName>
    <definedName name="_______EEE24">[14]alat!$AW$31</definedName>
    <definedName name="_______EEE25">[14]alat!$AW$32</definedName>
    <definedName name="_______EEE26">[14]alat!$AW$33</definedName>
    <definedName name="_______EEE27">[14]alat!$AW$34</definedName>
    <definedName name="_______EEE28">[14]alat!$AW$35</definedName>
    <definedName name="_______EEE29">[14]alat!$AW$36</definedName>
    <definedName name="_______EEE30">[14]alat!$AW$37</definedName>
    <definedName name="_______EEE31">[14]alat!$AW$38</definedName>
    <definedName name="_______EEE32">[14]alat!$AW$39</definedName>
    <definedName name="_______EEE33">[14]alat!$AW$40</definedName>
    <definedName name="_______HAL2">[5]boq!#REF!</definedName>
    <definedName name="_______HAL3">[5]boq!#REF!</definedName>
    <definedName name="_______LLL01">[9]Basic!$F$8</definedName>
    <definedName name="_______LLL02">[9]Basic!$F$10</definedName>
    <definedName name="_______LLL03">[9]Basic!$F$12</definedName>
    <definedName name="_______MDE01">[14]alat!$BO$27</definedName>
    <definedName name="_______MDE02">[14]alat!$BO$47</definedName>
    <definedName name="_______MDE03">[14]alat!$BO$67</definedName>
    <definedName name="_______MDE04">[14]alat!$BO$87</definedName>
    <definedName name="_______MDE05">[14]alat!$BO$107</definedName>
    <definedName name="_______MDE06">[14]alat!$BO$127</definedName>
    <definedName name="_______MDE07">[14]alat!$BO$147</definedName>
    <definedName name="_______MDE08">[14]alat!$BO$167</definedName>
    <definedName name="_______MDE09">[14]alat!$BO$187</definedName>
    <definedName name="_______MDE10">[14]alat!$BO$207</definedName>
    <definedName name="_______MDE11">[14]alat!$BO$227</definedName>
    <definedName name="_______MDE12">[14]alat!$BO$247</definedName>
    <definedName name="_______MDE13">[14]alat!$BO$267</definedName>
    <definedName name="_______MDE14">[14]alat!$BO$287</definedName>
    <definedName name="_______MDE15">[14]alat!$BO$307</definedName>
    <definedName name="_______MDE16">[14]alat!$BO$327</definedName>
    <definedName name="_______MDE17">[14]alat!$BO$347</definedName>
    <definedName name="_______MDE18">[14]alat!$BO$367</definedName>
    <definedName name="_______MDE19">[14]alat!$BO$387</definedName>
    <definedName name="_______MDE20">[14]alat!$BO$407</definedName>
    <definedName name="_______MDE21">[14]alat!$BO$427</definedName>
    <definedName name="_______MDE22">[14]alat!$BO$447</definedName>
    <definedName name="_______MDE23">[14]alat!$BO$467</definedName>
    <definedName name="_______MDE24">[14]alat!$BO$487</definedName>
    <definedName name="_______MDE25">[14]alat!$BO$507</definedName>
    <definedName name="_______MDE26">[14]alat!$BO$527</definedName>
    <definedName name="_______MDE27">[14]alat!$BO$547</definedName>
    <definedName name="_______MDE28">[14]alat!$BO$567</definedName>
    <definedName name="_______MDE29">[14]alat!$BO$587</definedName>
    <definedName name="_______MDE30">[14]alat!$BO$607</definedName>
    <definedName name="_______MDE31">[14]alat!$BO$627</definedName>
    <definedName name="_______MDE32">[14]alat!$BO$647</definedName>
    <definedName name="_______MDE33">[14]alat!$BO$667</definedName>
    <definedName name="_______MDE34">[14]alat!$BO$698</definedName>
    <definedName name="_______ME01">[14]alat!$BO$26</definedName>
    <definedName name="_______ME02">[14]alat!$BO$46</definedName>
    <definedName name="_______ME03">[14]alat!$BO$66</definedName>
    <definedName name="_______ME04">[14]alat!$BO$86</definedName>
    <definedName name="_______ME05">[14]alat!$BO$106</definedName>
    <definedName name="_______ME06">[14]alat!$BO$126</definedName>
    <definedName name="_______ME07">[14]alat!$BO$146</definedName>
    <definedName name="_______ME08">[14]alat!$BO$166</definedName>
    <definedName name="_______ME09">[14]alat!$BO$186</definedName>
    <definedName name="_______ME10">[14]alat!$BO$206</definedName>
    <definedName name="_______ME11">[14]alat!$BO$226</definedName>
    <definedName name="_______ME12">[14]alat!$BO$246</definedName>
    <definedName name="_______ME13">[14]alat!$BO$266</definedName>
    <definedName name="_______ME14">[14]alat!$BO$286</definedName>
    <definedName name="_______ME15">[14]alat!$BO$306</definedName>
    <definedName name="_______ME16">[14]alat!$BO$326</definedName>
    <definedName name="_______ME17">[14]alat!$BO$346</definedName>
    <definedName name="_______ME18">[14]alat!$BO$366</definedName>
    <definedName name="_______ME19">[14]alat!$BO$386</definedName>
    <definedName name="_______ME20">[14]alat!$BO$406</definedName>
    <definedName name="_______ME21">[14]alat!$BO$426</definedName>
    <definedName name="_______ME22">[14]alat!$BO$446</definedName>
    <definedName name="_______ME23">[14]alat!$BO$466</definedName>
    <definedName name="_______ME24">[14]alat!$BO$486</definedName>
    <definedName name="_______ME25">[14]alat!$BO$506</definedName>
    <definedName name="_______ME26">[14]alat!$BO$526</definedName>
    <definedName name="_______ME27">[14]alat!$BO$546</definedName>
    <definedName name="_______ME28">[14]alat!$BO$566</definedName>
    <definedName name="_______ME29">[14]alat!$BO$586</definedName>
    <definedName name="_______ME30">[14]alat!$BO$606</definedName>
    <definedName name="_______ME31">[14]alat!$BO$626</definedName>
    <definedName name="_______ME32">[14]alat!$BO$646</definedName>
    <definedName name="_______ME33">[14]alat!$BO$666</definedName>
    <definedName name="_______ME34">[14]alat!$BO$697</definedName>
    <definedName name="_______MMM01">[9]Basic!$F$40</definedName>
    <definedName name="_______MMM02">[17]Basic!$F$42</definedName>
    <definedName name="_______MMM03">[9]Basic!$F$44</definedName>
    <definedName name="_______MMM04">[9]Basic!$F$46</definedName>
    <definedName name="_______MMM05">[17]Basic!$F$48</definedName>
    <definedName name="_______MMM06">[9]Basic!$F$50</definedName>
    <definedName name="_______MMM10">[9]Basic!$F$58</definedName>
    <definedName name="_______MMM11">[9]Basic!$F$60</definedName>
    <definedName name="_______MMM16">[9]Basic!$F$70</definedName>
    <definedName name="_______MMM18">[9]Basic!$F$74</definedName>
    <definedName name="_______MMM32">[9]Basic!$F$110</definedName>
    <definedName name="_______MMM33">[9]Basic!$F$112</definedName>
    <definedName name="_______MMM42">[9]Basic!$F$139</definedName>
    <definedName name="_______NYA1">[11]Upah!#REF!</definedName>
    <definedName name="_______NYA2">[11]Upah!#REF!</definedName>
    <definedName name="_______XL40">[18]HARGA!$E$100</definedName>
    <definedName name="______bet123">[15]Analisa!$J$160</definedName>
    <definedName name="______bpc23">'[16]Upah Bahan'!$F$41</definedName>
    <definedName name="______bpc35">'[16]Upah Bahan'!$F$40</definedName>
    <definedName name="______DIV1">[9]boq!$G$24</definedName>
    <definedName name="______DIV10">[9]boq!$G$329</definedName>
    <definedName name="______DIV11">[5]boq!#REF!</definedName>
    <definedName name="______DIV2">[9]boq!$G$35</definedName>
    <definedName name="______DIV3">[9]boq!$G$52</definedName>
    <definedName name="______DIV4">[9]boq!$G$66</definedName>
    <definedName name="______DIV5">[9]boq!$G$93</definedName>
    <definedName name="______DIV6">[9]boq!$G$118</definedName>
    <definedName name="______DIV7">[9]boq!$G$206</definedName>
    <definedName name="______DIV8">[9]boq!$G$263</definedName>
    <definedName name="______DIV9">[9]boq!$G$305</definedName>
    <definedName name="______dum35">[16]Sheet1!$Q$26</definedName>
    <definedName name="______EEE01">[14]alat!$AW$8</definedName>
    <definedName name="______EEE02">[14]alat!$AW$9</definedName>
    <definedName name="______EEE03">[14]alat!$AW$10</definedName>
    <definedName name="______EEE04">[14]alat!$AW$11</definedName>
    <definedName name="______EEE05">[14]alat!$AW$12</definedName>
    <definedName name="______EEE06">[14]alat!$AW$13</definedName>
    <definedName name="______EEE07">[14]alat!$AW$14</definedName>
    <definedName name="______EEE08">[14]alat!$AW$15</definedName>
    <definedName name="______EEE09">[14]alat!$AW$16</definedName>
    <definedName name="______EEE10">[14]alat!$AW$17</definedName>
    <definedName name="______EEE11">[14]alat!$AW$18</definedName>
    <definedName name="______EEE12">[14]alat!$AW$19</definedName>
    <definedName name="______EEE13">[14]alat!$AW$20</definedName>
    <definedName name="______EEE14">[14]alat!$AW$21</definedName>
    <definedName name="______EEE15">[14]alat!$AW$22</definedName>
    <definedName name="______EEE16">[14]alat!$AW$23</definedName>
    <definedName name="______EEE17">[14]alat!$AW$24</definedName>
    <definedName name="______EEE18">[14]alat!$AW$25</definedName>
    <definedName name="______EEE19">[14]alat!$AW$26</definedName>
    <definedName name="______EEE20">[14]alat!$AW$27</definedName>
    <definedName name="______EEE21">[14]alat!$AW$28</definedName>
    <definedName name="______EEE22">[14]alat!$AW$29</definedName>
    <definedName name="______EEE23">[14]alat!$AW$30</definedName>
    <definedName name="______EEE24">[14]alat!$AW$31</definedName>
    <definedName name="______EEE25">[14]alat!$AW$32</definedName>
    <definedName name="______EEE26">[14]alat!$AW$33</definedName>
    <definedName name="______EEE27">[14]alat!$AW$34</definedName>
    <definedName name="______EEE28">[14]alat!$AW$35</definedName>
    <definedName name="______EEE29">[14]alat!$AW$36</definedName>
    <definedName name="______EEE30">[14]alat!$AW$37</definedName>
    <definedName name="______EEE31">[14]alat!$AW$38</definedName>
    <definedName name="______EEE32">[14]alat!$AW$39</definedName>
    <definedName name="______EEE33">[14]alat!$AW$40</definedName>
    <definedName name="______HAL1">#REF!</definedName>
    <definedName name="______HAL2">[5]boq!#REF!</definedName>
    <definedName name="______HAL3">[5]boq!#REF!</definedName>
    <definedName name="______HAL4">#REF!</definedName>
    <definedName name="______HAL5">#REF!</definedName>
    <definedName name="______HAL6">#REF!</definedName>
    <definedName name="______HAL7">#REF!</definedName>
    <definedName name="______HAL8">#REF!</definedName>
    <definedName name="______key2" hidden="1">#REF!</definedName>
    <definedName name="______LLL01">[9]Basic!$F$8</definedName>
    <definedName name="______LLL02">[9]Basic!$F$10</definedName>
    <definedName name="______LLL03">[9]Basic!$F$12</definedName>
    <definedName name="______MDE01">[14]alat!$BO$27</definedName>
    <definedName name="______MDE02">[14]alat!$BO$47</definedName>
    <definedName name="______MDE03">[14]alat!$BO$67</definedName>
    <definedName name="______MDE04">[14]alat!$BO$87</definedName>
    <definedName name="______MDE05">[14]alat!$BO$107</definedName>
    <definedName name="______MDE06">[14]alat!$BO$127</definedName>
    <definedName name="______MDE07">[14]alat!$BO$147</definedName>
    <definedName name="______MDE08">[14]alat!$BO$167</definedName>
    <definedName name="______MDE09">[14]alat!$BO$187</definedName>
    <definedName name="______MDE10">[14]alat!$BO$207</definedName>
    <definedName name="______MDE11">[14]alat!$BO$227</definedName>
    <definedName name="______MDE12">[14]alat!$BO$247</definedName>
    <definedName name="______MDE13">[14]alat!$BO$267</definedName>
    <definedName name="______MDE14">[14]alat!$BO$287</definedName>
    <definedName name="______MDE15">[14]alat!$BO$307</definedName>
    <definedName name="______MDE16">[14]alat!$BO$327</definedName>
    <definedName name="______MDE17">[14]alat!$BO$347</definedName>
    <definedName name="______MDE18">[14]alat!$BO$367</definedName>
    <definedName name="______MDE19">[14]alat!$BO$387</definedName>
    <definedName name="______MDE20">[14]alat!$BO$407</definedName>
    <definedName name="______MDE21">[14]alat!$BO$427</definedName>
    <definedName name="______MDE22">[14]alat!$BO$447</definedName>
    <definedName name="______MDE23">[14]alat!$BO$467</definedName>
    <definedName name="______MDE24">[14]alat!$BO$487</definedName>
    <definedName name="______MDE25">[14]alat!$BO$507</definedName>
    <definedName name="______MDE26">[14]alat!$BO$527</definedName>
    <definedName name="______MDE27">[14]alat!$BO$547</definedName>
    <definedName name="______MDE28">[14]alat!$BO$567</definedName>
    <definedName name="______MDE29">[14]alat!$BO$587</definedName>
    <definedName name="______MDE30">[14]alat!$BO$607</definedName>
    <definedName name="______MDE31">[14]alat!$BO$627</definedName>
    <definedName name="______MDE32">[14]alat!$BO$647</definedName>
    <definedName name="______MDE33">[14]alat!$BO$667</definedName>
    <definedName name="______MDE34">[14]alat!$BO$698</definedName>
    <definedName name="______ME01">[14]alat!$BO$26</definedName>
    <definedName name="______ME02">[14]alat!$BO$46</definedName>
    <definedName name="______ME03">[14]alat!$BO$66</definedName>
    <definedName name="______ME04">[14]alat!$BO$86</definedName>
    <definedName name="______ME05">[14]alat!$BO$106</definedName>
    <definedName name="______ME06">[14]alat!$BO$126</definedName>
    <definedName name="______ME07">[14]alat!$BO$146</definedName>
    <definedName name="______ME08">[14]alat!$BO$166</definedName>
    <definedName name="______ME09">[14]alat!$BO$186</definedName>
    <definedName name="______ME10">[14]alat!$BO$206</definedName>
    <definedName name="______ME11">[14]alat!$BO$226</definedName>
    <definedName name="______ME12">[14]alat!$BO$246</definedName>
    <definedName name="______ME13">[14]alat!$BO$266</definedName>
    <definedName name="______ME14">[14]alat!$BO$286</definedName>
    <definedName name="______ME15">[14]alat!$BO$306</definedName>
    <definedName name="______ME16">[14]alat!$BO$326</definedName>
    <definedName name="______ME17">[14]alat!$BO$346</definedName>
    <definedName name="______ME18">[14]alat!$BO$366</definedName>
    <definedName name="______ME19">[14]alat!$BO$386</definedName>
    <definedName name="______ME20">[14]alat!$BO$406</definedName>
    <definedName name="______ME21">[14]alat!$BO$426</definedName>
    <definedName name="______ME22">[14]alat!$BO$446</definedName>
    <definedName name="______ME23">[14]alat!$BO$466</definedName>
    <definedName name="______ME24">[14]alat!$BO$486</definedName>
    <definedName name="______ME25">[14]alat!$BO$506</definedName>
    <definedName name="______ME26">[14]alat!$BO$526</definedName>
    <definedName name="______ME27">[14]alat!$BO$546</definedName>
    <definedName name="______ME28">[14]alat!$BO$566</definedName>
    <definedName name="______ME29">[14]alat!$BO$586</definedName>
    <definedName name="______ME30">[14]alat!$BO$606</definedName>
    <definedName name="______ME31">[14]alat!$BO$626</definedName>
    <definedName name="______ME32">[14]alat!$BO$646</definedName>
    <definedName name="______ME33">[14]alat!$BO$666</definedName>
    <definedName name="______ME34">[14]alat!$BO$697</definedName>
    <definedName name="______MMM01">[9]Basic!$F$40</definedName>
    <definedName name="______MMM02">[17]Basic!$F$42</definedName>
    <definedName name="______MMM03">[9]Basic!$F$44</definedName>
    <definedName name="______MMM04">[9]Basic!$F$46</definedName>
    <definedName name="______MMM05">[17]Basic!$F$48</definedName>
    <definedName name="______MMM06">[9]Basic!$F$50</definedName>
    <definedName name="______MMM10">[9]Basic!$F$58</definedName>
    <definedName name="______MMM11">[9]Basic!$F$60</definedName>
    <definedName name="______MMM16">[9]Basic!$F$70</definedName>
    <definedName name="______MMM18">[9]Basic!$F$74</definedName>
    <definedName name="______MMM32">[9]Basic!$F$110</definedName>
    <definedName name="______MMM33">[9]Basic!$F$112</definedName>
    <definedName name="______MMM42">[9]Basic!$F$139</definedName>
    <definedName name="______NYA1">[11]Upah!#REF!</definedName>
    <definedName name="______NYA2">[11]Upah!#REF!</definedName>
    <definedName name="______XL40">[18]HARGA!$E$100</definedName>
    <definedName name="_____bet123">[15]Analisa!$J$160</definedName>
    <definedName name="_____bln2">#REF!</definedName>
    <definedName name="_____bpc23">'[16]Upah Bahan'!$F$41</definedName>
    <definedName name="_____bpc35">'[16]Upah Bahan'!$F$40</definedName>
    <definedName name="_____CAN15">[19]Material!#REF!</definedName>
    <definedName name="_____cis12">#REF!</definedName>
    <definedName name="_____cis24">#REF!</definedName>
    <definedName name="_____DIV1">[9]boq!$G$24</definedName>
    <definedName name="_____DIV10">[9]boq!$G$329</definedName>
    <definedName name="_____DIV11">[9]boq!#REF!</definedName>
    <definedName name="_____DIV2">[9]boq!$G$35</definedName>
    <definedName name="_____DIV3">[9]boq!$G$52</definedName>
    <definedName name="_____DIV4">[9]boq!$G$66</definedName>
    <definedName name="_____DIV5">[9]boq!$G$93</definedName>
    <definedName name="_____DIV6">[9]boq!$G$118</definedName>
    <definedName name="_____DIV7">[9]boq!$G$206</definedName>
    <definedName name="_____DIV8">[9]boq!$G$263</definedName>
    <definedName name="_____DIV9">[9]boq!$G$305</definedName>
    <definedName name="_____dum35">[16]Sheet1!$Q$26</definedName>
    <definedName name="_____EEE01">[14]alat!$AW$8</definedName>
    <definedName name="_____EEE02">[14]alat!$AW$9</definedName>
    <definedName name="_____EEE03">[14]alat!$AW$10</definedName>
    <definedName name="_____EEE04">[14]alat!$AW$11</definedName>
    <definedName name="_____EEE05">[14]alat!$AW$12</definedName>
    <definedName name="_____EEE06">[14]alat!$AW$13</definedName>
    <definedName name="_____EEE07">[14]alat!$AW$14</definedName>
    <definedName name="_____EEE08">[14]alat!$AW$15</definedName>
    <definedName name="_____EEE09">[14]alat!$AW$16</definedName>
    <definedName name="_____EEE10">[14]alat!$AW$17</definedName>
    <definedName name="_____EEE11">[14]alat!$AW$18</definedName>
    <definedName name="_____EEE12">[14]alat!$AW$19</definedName>
    <definedName name="_____EEE13">[14]alat!$AW$20</definedName>
    <definedName name="_____EEE14">[14]alat!$AW$21</definedName>
    <definedName name="_____EEE15">[14]alat!$AW$22</definedName>
    <definedName name="_____EEE16">[14]alat!$AW$23</definedName>
    <definedName name="_____EEE17">[14]alat!$AW$24</definedName>
    <definedName name="_____EEE18">[14]alat!$AW$25</definedName>
    <definedName name="_____EEE19">[14]alat!$AW$26</definedName>
    <definedName name="_____EEE20">[14]alat!$AW$27</definedName>
    <definedName name="_____EEE21">[14]alat!$AW$28</definedName>
    <definedName name="_____EEE22">[14]alat!$AW$29</definedName>
    <definedName name="_____EEE23">[14]alat!$AW$30</definedName>
    <definedName name="_____EEE24">[14]alat!$AW$31</definedName>
    <definedName name="_____EEE25">[14]alat!$AW$32</definedName>
    <definedName name="_____EEE26">[14]alat!$AW$33</definedName>
    <definedName name="_____EEE27">[14]alat!$AW$34</definedName>
    <definedName name="_____EEE28">[14]alat!$AW$35</definedName>
    <definedName name="_____EEE29">[14]alat!$AW$36</definedName>
    <definedName name="_____EEE30">[14]alat!$AW$37</definedName>
    <definedName name="_____EEE31">[14]alat!$AW$38</definedName>
    <definedName name="_____EEE32">[14]alat!$AW$39</definedName>
    <definedName name="_____EEE33">[14]alat!$AW$40</definedName>
    <definedName name="_____fib6">#REF!</definedName>
    <definedName name="_____HAL1">#REF!</definedName>
    <definedName name="_____HAL2">[5]boq!#REF!</definedName>
    <definedName name="_____HAL3">[5]boq!#REF!</definedName>
    <definedName name="_____HAL4">#REF!</definedName>
    <definedName name="_____HAL5">#REF!</definedName>
    <definedName name="_____HAL6">#REF!</definedName>
    <definedName name="_____HAL7">#REF!</definedName>
    <definedName name="_____HAL8">#REF!</definedName>
    <definedName name="_____hpp2">'[20]Man Power'!$L$10:$L$45</definedName>
    <definedName name="_____JPJ2">[21]CORAT!#REF!</definedName>
    <definedName name="_____key2" hidden="1">#REF!</definedName>
    <definedName name="_____LLL01">[9]Basic!$F$8</definedName>
    <definedName name="_____LLL02">[9]Basic!$F$10</definedName>
    <definedName name="_____LLL03">[9]Basic!$F$12</definedName>
    <definedName name="_____LLL04">#REF!</definedName>
    <definedName name="_____LLL05">#REF!</definedName>
    <definedName name="_____LLL06">#REF!</definedName>
    <definedName name="_____LLL07">#REF!</definedName>
    <definedName name="_____LLL08">#REF!</definedName>
    <definedName name="_____LLL09">#REF!</definedName>
    <definedName name="_____LLL10">#REF!</definedName>
    <definedName name="_____LLL11">#REF!</definedName>
    <definedName name="_____m2">'[22]Man Power &amp; Comp'!$J$10:$J$45</definedName>
    <definedName name="_____m3">'[22]Man Power &amp; Comp'!$J$10:$J$45</definedName>
    <definedName name="_____m45">'[22]Man Power &amp; Comp'!$L$10:$L$45</definedName>
    <definedName name="_____m47">'[22]Man Power &amp; Comp'!$M$10:$M$45</definedName>
    <definedName name="_____m5">'[22]Man Power &amp; Comp'!$J$10:$J$45</definedName>
    <definedName name="_____m54">'[22]Man Power &amp; Comp'!$J$10:$J$45</definedName>
    <definedName name="_____m55">'[22]Man Power &amp; Comp'!$J$10:$J$45</definedName>
    <definedName name="_____m65">'[22]Man Power &amp; Comp'!$J$10:$J$45</definedName>
    <definedName name="_____m75">'[22]Man Power &amp; Comp'!$N$10:$N$45</definedName>
    <definedName name="_____m85">'[22]Man Power &amp; Comp'!$J$10:$J$45</definedName>
    <definedName name="_____m86">'[22]Man Power &amp; Comp'!$J$10:$J$45</definedName>
    <definedName name="_____m87">'[23]Man Power &amp; Comp'!$J$10:$J$45</definedName>
    <definedName name="_____MDE01">[14]alat!$BO$27</definedName>
    <definedName name="_____MDE02">[14]alat!$BO$47</definedName>
    <definedName name="_____MDE03">[14]alat!$BO$67</definedName>
    <definedName name="_____MDE04">[14]alat!$BO$87</definedName>
    <definedName name="_____MDE05">[14]alat!$BO$107</definedName>
    <definedName name="_____MDE06">[14]alat!$BO$127</definedName>
    <definedName name="_____MDE07">[14]alat!$BO$147</definedName>
    <definedName name="_____MDE08">[14]alat!$BO$167</definedName>
    <definedName name="_____MDE09">[14]alat!$BO$187</definedName>
    <definedName name="_____MDE10">[14]alat!$BO$207</definedName>
    <definedName name="_____MDE11">[14]alat!$BO$227</definedName>
    <definedName name="_____MDE12">[14]alat!$BO$247</definedName>
    <definedName name="_____MDE13">[14]alat!$BO$267</definedName>
    <definedName name="_____MDE14">[14]alat!$BO$287</definedName>
    <definedName name="_____MDE15">[14]alat!$BO$307</definedName>
    <definedName name="_____MDE16">[14]alat!$BO$327</definedName>
    <definedName name="_____MDE17">[14]alat!$BO$347</definedName>
    <definedName name="_____MDE18">[14]alat!$BO$367</definedName>
    <definedName name="_____MDE19">[14]alat!$BO$387</definedName>
    <definedName name="_____MDE20">[14]alat!$BO$407</definedName>
    <definedName name="_____MDE21">[14]alat!$BO$427</definedName>
    <definedName name="_____MDE22">[14]alat!$BO$447</definedName>
    <definedName name="_____MDE23">[14]alat!$BO$467</definedName>
    <definedName name="_____MDE24">[14]alat!$BO$487</definedName>
    <definedName name="_____MDE25">[14]alat!$BO$507</definedName>
    <definedName name="_____MDE26">[14]alat!$BO$527</definedName>
    <definedName name="_____MDE27">[14]alat!$BO$547</definedName>
    <definedName name="_____MDE28">[14]alat!$BO$567</definedName>
    <definedName name="_____MDE29">[14]alat!$BO$587</definedName>
    <definedName name="_____MDE30">[14]alat!$BO$607</definedName>
    <definedName name="_____MDE31">[14]alat!$BO$627</definedName>
    <definedName name="_____MDE32">[14]alat!$BO$647</definedName>
    <definedName name="_____MDE33">[14]alat!$BO$667</definedName>
    <definedName name="_____MDE34">[14]alat!$BO$698</definedName>
    <definedName name="_____ME01">[14]alat!$BO$26</definedName>
    <definedName name="_____ME02">[14]alat!$BO$46</definedName>
    <definedName name="_____ME03">[14]alat!$BO$66</definedName>
    <definedName name="_____ME04">[14]alat!$BO$86</definedName>
    <definedName name="_____ME05">[14]alat!$BO$106</definedName>
    <definedName name="_____ME06">[14]alat!$BO$126</definedName>
    <definedName name="_____ME07">[14]alat!$BO$146</definedName>
    <definedName name="_____ME08">[14]alat!$BO$166</definedName>
    <definedName name="_____ME09">[14]alat!$BO$186</definedName>
    <definedName name="_____ME10">[14]alat!$BO$206</definedName>
    <definedName name="_____ME11">[14]alat!$BO$226</definedName>
    <definedName name="_____ME12">[14]alat!$BO$246</definedName>
    <definedName name="_____ME13">[14]alat!$BO$266</definedName>
    <definedName name="_____ME14">[14]alat!$BO$286</definedName>
    <definedName name="_____ME15">[14]alat!$BO$306</definedName>
    <definedName name="_____ME16">[14]alat!$BO$326</definedName>
    <definedName name="_____ME17">[14]alat!$BO$346</definedName>
    <definedName name="_____ME18">[14]alat!$BO$366</definedName>
    <definedName name="_____ME19">[14]alat!$BO$386</definedName>
    <definedName name="_____ME20">[14]alat!$BO$406</definedName>
    <definedName name="_____ME21">[14]alat!$BO$426</definedName>
    <definedName name="_____ME22">[14]alat!$BO$446</definedName>
    <definedName name="_____ME23">[14]alat!$BO$466</definedName>
    <definedName name="_____ME24">[14]alat!$BO$486</definedName>
    <definedName name="_____ME25">[14]alat!$BO$506</definedName>
    <definedName name="_____ME26">[14]alat!$BO$526</definedName>
    <definedName name="_____ME27">[14]alat!$BO$546</definedName>
    <definedName name="_____ME28">[14]alat!$BO$566</definedName>
    <definedName name="_____ME29">[14]alat!$BO$586</definedName>
    <definedName name="_____ME30">[14]alat!$BO$606</definedName>
    <definedName name="_____ME31">[14]alat!$BO$626</definedName>
    <definedName name="_____ME32">[14]alat!$BO$646</definedName>
    <definedName name="_____ME33">[14]alat!$BO$666</definedName>
    <definedName name="_____ME34">[14]alat!$BO$697</definedName>
    <definedName name="_____MMM01">[9]Basic!$F$40</definedName>
    <definedName name="_____MMM02">[17]Basic!$F$42</definedName>
    <definedName name="_____MMM03">[9]Basic!$F$44</definedName>
    <definedName name="_____MMM04">[9]Basic!$F$46</definedName>
    <definedName name="_____MMM05">[17]Basic!$F$48</definedName>
    <definedName name="_____MMM06">[9]Basic!$F$50</definedName>
    <definedName name="_____MMM07">#REF!</definedName>
    <definedName name="_____MMM08">#REF!</definedName>
    <definedName name="_____MMM09">#REF!</definedName>
    <definedName name="_____MMM10">[9]Basic!$F$58</definedName>
    <definedName name="_____MMM11">[9]Basic!$F$60</definedName>
    <definedName name="_____MMM12">#REF!</definedName>
    <definedName name="_____MMM13">#REF!</definedName>
    <definedName name="_____MMM14">#REF!</definedName>
    <definedName name="_____MMM15">#REF!</definedName>
    <definedName name="_____MMM16">[9]Basic!$F$70</definedName>
    <definedName name="_____MMM17">#REF!</definedName>
    <definedName name="_____MMM18">[9]Basic!$F$74</definedName>
    <definedName name="_____MMM19">#REF!</definedName>
    <definedName name="_____MMM20">#REF!</definedName>
    <definedName name="_____MMM21">#REF!</definedName>
    <definedName name="_____MMM22">#REF!</definedName>
    <definedName name="_____MMM23">#REF!</definedName>
    <definedName name="_____MMM24">#REF!</definedName>
    <definedName name="_____MMM25">#REF!</definedName>
    <definedName name="_____MMM26">#REF!</definedName>
    <definedName name="_____MMM27">#REF!</definedName>
    <definedName name="_____MMM28">#REF!</definedName>
    <definedName name="_____MMM29">#REF!</definedName>
    <definedName name="_____MMM30">#REF!</definedName>
    <definedName name="_____MMM31">#REF!</definedName>
    <definedName name="_____MMM32">[9]Basic!$F$110</definedName>
    <definedName name="_____MMM33">[9]Basic!$F$112</definedName>
    <definedName name="_____MMM34">#REF!</definedName>
    <definedName name="_____MMM35">#REF!</definedName>
    <definedName name="_____MMM36">#REF!</definedName>
    <definedName name="_____MMM37">#REF!</definedName>
    <definedName name="_____MMM38">#REF!</definedName>
    <definedName name="_____MMM39">#REF!</definedName>
    <definedName name="_____MMM40">#REF!</definedName>
    <definedName name="_____MMM41">#REF!</definedName>
    <definedName name="_____MMM411">#REF!</definedName>
    <definedName name="_____MMM42">[9]Basic!$F$139</definedName>
    <definedName name="_____MMM43">#REF!</definedName>
    <definedName name="_____MMM44">#REF!</definedName>
    <definedName name="_____MMM45">#REF!</definedName>
    <definedName name="_____MMM46">#REF!</definedName>
    <definedName name="_____MMM47">#REF!</definedName>
    <definedName name="_____MMM48">#REF!</definedName>
    <definedName name="_____MMM49">#REF!</definedName>
    <definedName name="_____MMM50">#REF!</definedName>
    <definedName name="_____MMM51">#REF!</definedName>
    <definedName name="_____MMM52">#REF!</definedName>
    <definedName name="_____MMM53">#REF!</definedName>
    <definedName name="_____MMM54">#REF!</definedName>
    <definedName name="_____moh1">'[22]Man Power &amp; Comp'!$J$10:$J$45</definedName>
    <definedName name="_____mon5">'[22]Man Power &amp; Comp'!$S$10:$S$45</definedName>
    <definedName name="_____mot4">'[22]Man Power &amp; Comp'!$J$10:$J$45</definedName>
    <definedName name="_____NYA1">[11]Upah!#REF!</definedName>
    <definedName name="_____NYA2">[11]Upah!#REF!</definedName>
    <definedName name="_____PA1">#REF!</definedName>
    <definedName name="_____PA2">#REF!</definedName>
    <definedName name="_____PA3">#REF!</definedName>
    <definedName name="_____pos1">#REF!</definedName>
    <definedName name="_____PPN10">#REF!</definedName>
    <definedName name="_____pt6">[24]LG!$H$20</definedName>
    <definedName name="_____pt66">#REF!</definedName>
    <definedName name="_____pt75">#REF!</definedName>
    <definedName name="_____pt9">'[25]Cabling Survey'!#REF!</definedName>
    <definedName name="_____pt95">#REF!</definedName>
    <definedName name="_____tok2">#REF!</definedName>
    <definedName name="_____uph1">[26]FORM1!$AU$67</definedName>
    <definedName name="_____uph3">[26]FORM1!$AU$70</definedName>
    <definedName name="_____ups2">#REF!</definedName>
    <definedName name="_____utp6">#REF!</definedName>
    <definedName name="_____WF32">[19]Material!#REF!</definedName>
    <definedName name="_____WF42">[19]Material!#REF!</definedName>
    <definedName name="_____XL40">[18]HARGA!$E$100</definedName>
    <definedName name="____bet123">[15]Analisa!$J$160</definedName>
    <definedName name="____bln2">#REF!</definedName>
    <definedName name="____bpc23">'[16]Upah Bahan'!$F$41</definedName>
    <definedName name="____bpc35">'[16]Upah Bahan'!$F$40</definedName>
    <definedName name="____CAN15">[19]Material!#REF!</definedName>
    <definedName name="____cis12">#REF!</definedName>
    <definedName name="____cis24">#REF!</definedName>
    <definedName name="____DIV1">[9]boq!$G$24</definedName>
    <definedName name="____DIV10">[9]boq!$G$329</definedName>
    <definedName name="____DIV11">[5]boq!#REF!</definedName>
    <definedName name="____DIV2">[9]boq!$G$35</definedName>
    <definedName name="____DIV3">[9]boq!$G$52</definedName>
    <definedName name="____DIV4">[9]boq!$G$66</definedName>
    <definedName name="____DIV5">[9]boq!$G$93</definedName>
    <definedName name="____DIV6">[9]boq!$G$118</definedName>
    <definedName name="____DIV7">[9]boq!$G$206</definedName>
    <definedName name="____DIV8">[9]boq!$G$263</definedName>
    <definedName name="____DIV9">[9]boq!$G$305</definedName>
    <definedName name="____dum35">[16]Sheet1!$Q$26</definedName>
    <definedName name="____EEE01">[14]alat!$AW$8</definedName>
    <definedName name="____EEE02">[14]alat!$AW$9</definedName>
    <definedName name="____EEE03">[14]alat!$AW$10</definedName>
    <definedName name="____EEE04">[14]alat!$AW$11</definedName>
    <definedName name="____EEE05">[14]alat!$AW$12</definedName>
    <definedName name="____EEE06">[14]alat!$AW$13</definedName>
    <definedName name="____EEE07">[14]alat!$AW$14</definedName>
    <definedName name="____EEE08">[14]alat!$AW$15</definedName>
    <definedName name="____EEE09">[14]alat!$AW$16</definedName>
    <definedName name="____EEE10">[14]alat!$AW$17</definedName>
    <definedName name="____EEE11">[14]alat!$AW$18</definedName>
    <definedName name="____EEE12">[14]alat!$AW$19</definedName>
    <definedName name="____EEE13">[14]alat!$AW$20</definedName>
    <definedName name="____EEE14">[14]alat!$AW$21</definedName>
    <definedName name="____EEE15">[14]alat!$AW$22</definedName>
    <definedName name="____EEE16">[14]alat!$AW$23</definedName>
    <definedName name="____EEE17">[14]alat!$AW$24</definedName>
    <definedName name="____EEE18">[14]alat!$AW$25</definedName>
    <definedName name="____EEE19">[14]alat!$AW$26</definedName>
    <definedName name="____EEE20">[14]alat!$AW$27</definedName>
    <definedName name="____EEE21">[14]alat!$AW$28</definedName>
    <definedName name="____EEE22">[14]alat!$AW$29</definedName>
    <definedName name="____EEE23">[14]alat!$AW$30</definedName>
    <definedName name="____EEE24">[14]alat!$AW$31</definedName>
    <definedName name="____EEE25">[14]alat!$AW$32</definedName>
    <definedName name="____EEE26">[14]alat!$AW$33</definedName>
    <definedName name="____EEE27">[14]alat!$AW$34</definedName>
    <definedName name="____EEE28">[14]alat!$AW$35</definedName>
    <definedName name="____EEE29">[14]alat!$AW$36</definedName>
    <definedName name="____EEE30">[14]alat!$AW$37</definedName>
    <definedName name="____EEE31">[14]alat!$AW$38</definedName>
    <definedName name="____EEE32">[14]alat!$AW$39</definedName>
    <definedName name="____EEE33">[14]alat!$AW$40</definedName>
    <definedName name="____fib6">#REF!</definedName>
    <definedName name="____HAL1">#REF!</definedName>
    <definedName name="____HAL2">[5]boq!#REF!</definedName>
    <definedName name="____HAL3">[5]boq!#REF!</definedName>
    <definedName name="____HAL4">#REF!</definedName>
    <definedName name="____HAL5">#REF!</definedName>
    <definedName name="____HAL6">#REF!</definedName>
    <definedName name="____HAL7">#REF!</definedName>
    <definedName name="____HAL8">#REF!</definedName>
    <definedName name="____hpp2">'[20]Man Power'!$L$10:$L$45</definedName>
    <definedName name="____JPJ2">[21]CORAT!#REF!</definedName>
    <definedName name="____key2" hidden="1">#REF!</definedName>
    <definedName name="____LLL01">[9]Basic!$F$8</definedName>
    <definedName name="____LLL02">[9]Basic!$F$10</definedName>
    <definedName name="____LLL03">[9]Basic!$F$12</definedName>
    <definedName name="____LLL04">#REF!</definedName>
    <definedName name="____LLL05">#REF!</definedName>
    <definedName name="____LLL06">#REF!</definedName>
    <definedName name="____LLL07">#REF!</definedName>
    <definedName name="____LLL08">#REF!</definedName>
    <definedName name="____LLL09">#REF!</definedName>
    <definedName name="____LLL10">#REF!</definedName>
    <definedName name="____LLL11">#REF!</definedName>
    <definedName name="____m2">'[22]Man Power &amp; Comp'!$J$10:$J$45</definedName>
    <definedName name="____m3">'[22]Man Power &amp; Comp'!$J$10:$J$45</definedName>
    <definedName name="____m45">'[22]Man Power &amp; Comp'!$L$10:$L$45</definedName>
    <definedName name="____m47">'[22]Man Power &amp; Comp'!$M$10:$M$45</definedName>
    <definedName name="____m5">'[22]Man Power &amp; Comp'!$J$10:$J$45</definedName>
    <definedName name="____m54">'[22]Man Power &amp; Comp'!$J$10:$J$45</definedName>
    <definedName name="____m55">'[22]Man Power &amp; Comp'!$J$10:$J$45</definedName>
    <definedName name="____m65">'[22]Man Power &amp; Comp'!$J$10:$J$45</definedName>
    <definedName name="____m75">'[22]Man Power &amp; Comp'!$N$10:$N$45</definedName>
    <definedName name="____m85">'[22]Man Power &amp; Comp'!$J$10:$J$45</definedName>
    <definedName name="____m86">'[22]Man Power &amp; Comp'!$J$10:$J$45</definedName>
    <definedName name="____m87">'[23]Man Power &amp; Comp'!$J$10:$J$45</definedName>
    <definedName name="____mat1">#REF!</definedName>
    <definedName name="____mat2">#REF!</definedName>
    <definedName name="____MDE01">[14]alat!$BO$27</definedName>
    <definedName name="____MDE02">[14]alat!$BO$47</definedName>
    <definedName name="____MDE03">[14]alat!$BO$67</definedName>
    <definedName name="____MDE04">[14]alat!$BO$87</definedName>
    <definedName name="____MDE05">[14]alat!$BO$107</definedName>
    <definedName name="____MDE06">[14]alat!$BO$127</definedName>
    <definedName name="____MDE07">[14]alat!$BO$147</definedName>
    <definedName name="____MDE08">[14]alat!$BO$167</definedName>
    <definedName name="____MDE09">[14]alat!$BO$187</definedName>
    <definedName name="____MDE10">[14]alat!$BO$207</definedName>
    <definedName name="____MDE11">[14]alat!$BO$227</definedName>
    <definedName name="____MDE12">[14]alat!$BO$247</definedName>
    <definedName name="____MDE13">[14]alat!$BO$267</definedName>
    <definedName name="____MDE14">[14]alat!$BO$287</definedName>
    <definedName name="____MDE15">[14]alat!$BO$307</definedName>
    <definedName name="____MDE16">[14]alat!$BO$327</definedName>
    <definedName name="____MDE17">[14]alat!$BO$347</definedName>
    <definedName name="____MDE18">[14]alat!$BO$367</definedName>
    <definedName name="____MDE19">[14]alat!$BO$387</definedName>
    <definedName name="____MDE20">[14]alat!$BO$407</definedName>
    <definedName name="____MDE21">[14]alat!$BO$427</definedName>
    <definedName name="____MDE22">[14]alat!$BO$447</definedName>
    <definedName name="____MDE23">[14]alat!$BO$467</definedName>
    <definedName name="____MDE24">[14]alat!$BO$487</definedName>
    <definedName name="____MDE25">[14]alat!$BO$507</definedName>
    <definedName name="____MDE26">[14]alat!$BO$527</definedName>
    <definedName name="____MDE27">[14]alat!$BO$547</definedName>
    <definedName name="____MDE28">[14]alat!$BO$567</definedName>
    <definedName name="____MDE29">[14]alat!$BO$587</definedName>
    <definedName name="____MDE30">[14]alat!$BO$607</definedName>
    <definedName name="____MDE31">[14]alat!$BO$627</definedName>
    <definedName name="____MDE32">[14]alat!$BO$647</definedName>
    <definedName name="____MDE33">[14]alat!$BO$667</definedName>
    <definedName name="____MDE34">[14]alat!$BO$698</definedName>
    <definedName name="____ME01">[14]alat!$BO$26</definedName>
    <definedName name="____ME02">[14]alat!$BO$46</definedName>
    <definedName name="____ME03">[14]alat!$BO$66</definedName>
    <definedName name="____ME04">[14]alat!$BO$86</definedName>
    <definedName name="____ME05">[14]alat!$BO$106</definedName>
    <definedName name="____ME06">[14]alat!$BO$126</definedName>
    <definedName name="____ME07">[14]alat!$BO$146</definedName>
    <definedName name="____ME08">[14]alat!$BO$166</definedName>
    <definedName name="____ME09">[14]alat!$BO$186</definedName>
    <definedName name="____ME10">[14]alat!$BO$206</definedName>
    <definedName name="____ME11">[14]alat!$BO$226</definedName>
    <definedName name="____ME12">[14]alat!$BO$246</definedName>
    <definedName name="____ME13">[14]alat!$BO$266</definedName>
    <definedName name="____ME14">[14]alat!$BO$286</definedName>
    <definedName name="____ME15">[14]alat!$BO$306</definedName>
    <definedName name="____ME16">[14]alat!$BO$326</definedName>
    <definedName name="____ME17">[14]alat!$BO$346</definedName>
    <definedName name="____ME18">[14]alat!$BO$366</definedName>
    <definedName name="____ME19">[14]alat!$BO$386</definedName>
    <definedName name="____ME20">[14]alat!$BO$406</definedName>
    <definedName name="____ME21">[14]alat!$BO$426</definedName>
    <definedName name="____ME22">[14]alat!$BO$446</definedName>
    <definedName name="____ME23">[14]alat!$BO$466</definedName>
    <definedName name="____ME24">[14]alat!$BO$486</definedName>
    <definedName name="____ME25">[14]alat!$BO$506</definedName>
    <definedName name="____ME26">[14]alat!$BO$526</definedName>
    <definedName name="____ME27">[14]alat!$BO$546</definedName>
    <definedName name="____ME28">[14]alat!$BO$566</definedName>
    <definedName name="____ME29">[14]alat!$BO$586</definedName>
    <definedName name="____ME30">[14]alat!$BO$606</definedName>
    <definedName name="____ME31">[14]alat!$BO$626</definedName>
    <definedName name="____ME32">[14]alat!$BO$646</definedName>
    <definedName name="____ME33">[14]alat!$BO$666</definedName>
    <definedName name="____ME34">[14]alat!$BO$697</definedName>
    <definedName name="____MMM01">[9]Basic!$F$40</definedName>
    <definedName name="____MMM02">[17]Basic!$F$42</definedName>
    <definedName name="____MMM03">[9]Basic!$F$44</definedName>
    <definedName name="____MMM04">[9]Basic!$F$46</definedName>
    <definedName name="____MMM05">[17]Basic!$F$48</definedName>
    <definedName name="____MMM06">[9]Basic!$F$50</definedName>
    <definedName name="____MMM07">#REF!</definedName>
    <definedName name="____MMM08">#REF!</definedName>
    <definedName name="____MMM09">#REF!</definedName>
    <definedName name="____MMM10">[9]Basic!$F$58</definedName>
    <definedName name="____MMM11">[9]Basic!$F$60</definedName>
    <definedName name="____MMM12">#REF!</definedName>
    <definedName name="____MMM13">#REF!</definedName>
    <definedName name="____MMM14">#REF!</definedName>
    <definedName name="____MMM15">#REF!</definedName>
    <definedName name="____MMM16">[9]Basic!$F$70</definedName>
    <definedName name="____MMM17">#REF!</definedName>
    <definedName name="____MMM18">[9]Basic!$F$74</definedName>
    <definedName name="____MMM19">#REF!</definedName>
    <definedName name="____MMM20">#REF!</definedName>
    <definedName name="____MMM21">#REF!</definedName>
    <definedName name="____MMM22">#REF!</definedName>
    <definedName name="____MMM23">#REF!</definedName>
    <definedName name="____MMM24">#REF!</definedName>
    <definedName name="____MMM25">#REF!</definedName>
    <definedName name="____MMM26">#REF!</definedName>
    <definedName name="____MMM27">#REF!</definedName>
    <definedName name="____MMM28">#REF!</definedName>
    <definedName name="____MMM29">#REF!</definedName>
    <definedName name="____MMM30">#REF!</definedName>
    <definedName name="____MMM31">#REF!</definedName>
    <definedName name="____MMM32">[9]Basic!$F$110</definedName>
    <definedName name="____MMM33">[9]Basic!$F$112</definedName>
    <definedName name="____MMM34">#REF!</definedName>
    <definedName name="____MMM35">#REF!</definedName>
    <definedName name="____MMM36">#REF!</definedName>
    <definedName name="____MMM37">#REF!</definedName>
    <definedName name="____MMM38">#REF!</definedName>
    <definedName name="____MMM39">#REF!</definedName>
    <definedName name="____MMM40">#REF!</definedName>
    <definedName name="____MMM41">#REF!</definedName>
    <definedName name="____MMM411">#REF!</definedName>
    <definedName name="____MMM42">[9]Basic!$F$139</definedName>
    <definedName name="____MMM43">#REF!</definedName>
    <definedName name="____MMM44">#REF!</definedName>
    <definedName name="____MMM45">#REF!</definedName>
    <definedName name="____MMM46">#REF!</definedName>
    <definedName name="____MMM47">#REF!</definedName>
    <definedName name="____MMM48">#REF!</definedName>
    <definedName name="____MMM49">#REF!</definedName>
    <definedName name="____MMM50">#REF!</definedName>
    <definedName name="____MMM51">#REF!</definedName>
    <definedName name="____MMM52">#REF!</definedName>
    <definedName name="____MMM53">#REF!</definedName>
    <definedName name="____MMM54">#REF!</definedName>
    <definedName name="____moh1">'[22]Man Power &amp; Comp'!$J$10:$J$45</definedName>
    <definedName name="____mon5">'[22]Man Power &amp; Comp'!$S$10:$S$45</definedName>
    <definedName name="____mot4">'[22]Man Power &amp; Comp'!$J$10:$J$45</definedName>
    <definedName name="____NYA1">[27]Upah!#REF!</definedName>
    <definedName name="____NYA2">[27]Upah!#REF!</definedName>
    <definedName name="____PA1">#REF!</definedName>
    <definedName name="____PA2">#REF!</definedName>
    <definedName name="____PA3">#REF!</definedName>
    <definedName name="____pos1">#REF!</definedName>
    <definedName name="____PPN10">#REF!</definedName>
    <definedName name="____pt6">[24]LG!$H$20</definedName>
    <definedName name="____pt66">#REF!</definedName>
    <definedName name="____pt75">#REF!</definedName>
    <definedName name="____pt9">'[25]Cabling Survey'!#REF!</definedName>
    <definedName name="____pt95">#REF!</definedName>
    <definedName name="____tok2">#REF!</definedName>
    <definedName name="____uph1">[26]FORM1!$AU$67</definedName>
    <definedName name="____uph3">[26]FORM1!$AU$70</definedName>
    <definedName name="____ups2">#REF!</definedName>
    <definedName name="____utp6">#REF!</definedName>
    <definedName name="____WF32">[19]Material!#REF!</definedName>
    <definedName name="____WF42">[19]Material!#REF!</definedName>
    <definedName name="____XL40">[18]HARGA!$E$100</definedName>
    <definedName name="___AAA200">#REF!</definedName>
    <definedName name="___adt34">[28]alat!$J$16</definedName>
    <definedName name="___adt810">[28]alat!$J$17</definedName>
    <definedName name="___ank275">[29]DivVII!$G$50</definedName>
    <definedName name="___baa1">'[30]Daftar Harga Upah dan Bahan'!$F$35</definedName>
    <definedName name="___bba12">'[30]Daftar Harga Upah dan Bahan'!$F$55</definedName>
    <definedName name="___bba14">'[30]Daftar Harga Upah dan Bahan'!$F$57</definedName>
    <definedName name="___bba17">'[30]Daftar Harga Upah dan Bahan'!$F$60</definedName>
    <definedName name="___bba2">'[30]Daftar Harga Upah dan Bahan'!$F$44</definedName>
    <definedName name="___bba6">'[30]Daftar Harga Upah dan Bahan'!$F$49</definedName>
    <definedName name="___bca1">'[30]Daftar Harga Upah dan Bahan'!$F$62</definedName>
    <definedName name="___bca3">'[30]Daftar Harga Upah dan Bahan'!$F$64</definedName>
    <definedName name="___bca4">'[30]Daftar Harga Upah dan Bahan'!$F$65</definedName>
    <definedName name="___bca5">'[30]Daftar Harga Upah dan Bahan'!$F$67</definedName>
    <definedName name="___bca6">'[30]Daftar Harga Upah dan Bahan'!$F$68</definedName>
    <definedName name="___bca8">'[30]Daftar Harga Upah dan Bahan'!$F$85</definedName>
    <definedName name="___bda1">'[30]Daftar Harga Upah dan Bahan'!$F$88</definedName>
    <definedName name="___bda10">'[30]Daftar Harga Upah dan Bahan'!$F$97</definedName>
    <definedName name="___bda12">'[30]Daftar Harga Upah dan Bahan'!$F$99</definedName>
    <definedName name="___bda2">'[30]Daftar Harga Upah dan Bahan'!$F$89</definedName>
    <definedName name="___bda22">'[30]Daftar Harga Upah dan Bahan'!$F$109</definedName>
    <definedName name="___bda24">'[30]Daftar Harga Upah dan Bahan'!$F$111</definedName>
    <definedName name="___BDA3">'[30]Daftar Harga Upah dan Bahan'!$F$90</definedName>
    <definedName name="___BDA4">'[30]Daftar Harga Upah dan Bahan'!$F$91</definedName>
    <definedName name="___bda5">'[30]Daftar Harga Upah dan Bahan'!$F$92</definedName>
    <definedName name="___bda6">'[30]Daftar Harga Upah dan Bahan'!$F$93</definedName>
    <definedName name="___bda8">'[30]Daftar Harga Upah dan Bahan'!$F$95</definedName>
    <definedName name="___bda9">'[30]Daftar Harga Upah dan Bahan'!$F$96</definedName>
    <definedName name="___bea1">'[30]Daftar Harga Upah dan Bahan'!$F$117</definedName>
    <definedName name="___bea2">'[30]Daftar Harga Upah dan Bahan'!$F$118</definedName>
    <definedName name="___bea8">'[30]Daftar Harga Upah dan Bahan'!$F$124</definedName>
    <definedName name="___bet123">[15]Analisa!$J$160</definedName>
    <definedName name="___bln2">#REF!</definedName>
    <definedName name="___bpc23">'[16]Upah Bahan'!$F$41</definedName>
    <definedName name="___bpc35">'[16]Upah Bahan'!$F$40</definedName>
    <definedName name="___caa2">'[30]Daftar Harga Upah dan Bahan'!$F$165</definedName>
    <definedName name="___caa3">'[30]Daftar Harga Upah dan Bahan'!$F$166</definedName>
    <definedName name="___caa4">'[30]Daftar Harga Upah dan Bahan'!$F$167</definedName>
    <definedName name="___caa5">'[30]Daftar Harga Upah dan Bahan'!$F$168</definedName>
    <definedName name="___CAN15">[19]Material!#REF!</definedName>
    <definedName name="___cis12">#REF!</definedName>
    <definedName name="___cis24">#REF!</definedName>
    <definedName name="___DIV1">[9]boq!$G$24</definedName>
    <definedName name="___DIV10">[9]boq!$G$329</definedName>
    <definedName name="___DIV11">[9]boq!#REF!</definedName>
    <definedName name="___DIV2">[9]boq!$G$35</definedName>
    <definedName name="___DIV3">[9]boq!$G$52</definedName>
    <definedName name="___DIV4">[9]boq!$G$66</definedName>
    <definedName name="___DIV5">[9]boq!$G$93</definedName>
    <definedName name="___DIV6">[9]boq!$G$118</definedName>
    <definedName name="___DIV7">[9]boq!$G$206</definedName>
    <definedName name="___DIV8">[9]boq!$G$263</definedName>
    <definedName name="___DIV9">[9]boq!$G$305</definedName>
    <definedName name="___dum35">[16]Sheet1!$Q$26</definedName>
    <definedName name="___EEE01">[14]alat!$AW$8</definedName>
    <definedName name="___EEE02">[14]alat!$AW$9</definedName>
    <definedName name="___EEE03">[14]alat!$AW$10</definedName>
    <definedName name="___EEE04">[14]alat!$AW$11</definedName>
    <definedName name="___EEE05">[14]alat!$AW$12</definedName>
    <definedName name="___EEE06">[14]alat!$AW$13</definedName>
    <definedName name="___EEE07">[14]alat!$AW$14</definedName>
    <definedName name="___EEE08">[14]alat!$AW$15</definedName>
    <definedName name="___EEE09">[14]alat!$AW$16</definedName>
    <definedName name="___EEE10">[14]alat!$AW$17</definedName>
    <definedName name="___EEE11">[14]alat!$AW$18</definedName>
    <definedName name="___EEE12">[14]alat!$AW$19</definedName>
    <definedName name="___EEE13">[14]alat!$AW$20</definedName>
    <definedName name="___EEE14">[14]alat!$AW$21</definedName>
    <definedName name="___EEE15">[14]alat!$AW$22</definedName>
    <definedName name="___EEE16">[14]alat!$AW$23</definedName>
    <definedName name="___EEE17">[14]alat!$AW$24</definedName>
    <definedName name="___EEE18">[14]alat!$AW$25</definedName>
    <definedName name="___EEE19">[14]alat!$AW$26</definedName>
    <definedName name="___EEE20">[14]alat!$AW$27</definedName>
    <definedName name="___EEE21">[14]alat!$AW$28</definedName>
    <definedName name="___EEE22">[14]alat!$AW$29</definedName>
    <definedName name="___EEE23">[14]alat!$AW$30</definedName>
    <definedName name="___EEE24">[14]alat!$AW$31</definedName>
    <definedName name="___EEE25">[14]alat!$AW$32</definedName>
    <definedName name="___EEE26">[14]alat!$AW$33</definedName>
    <definedName name="___EEE27">[14]alat!$AW$34</definedName>
    <definedName name="___EEE28">[14]alat!$AW$35</definedName>
    <definedName name="___EEE29">[14]alat!$AW$36</definedName>
    <definedName name="___EEE30">[14]alat!$AW$37</definedName>
    <definedName name="___EEE31">[14]alat!$AW$38</definedName>
    <definedName name="___EEE32">[14]alat!$AW$39</definedName>
    <definedName name="___EEE33">[14]alat!$AW$40</definedName>
    <definedName name="___fib6">#REF!</definedName>
    <definedName name="___HAL1">#REF!</definedName>
    <definedName name="___HAL2">[5]boq!#REF!</definedName>
    <definedName name="___HAL3">[5]boq!#REF!</definedName>
    <definedName name="___HAL4">#REF!</definedName>
    <definedName name="___HAL5">#REF!</definedName>
    <definedName name="___HAL6">#REF!</definedName>
    <definedName name="___HAL7">#REF!</definedName>
    <definedName name="___HAL8">#REF!</definedName>
    <definedName name="___hpp2">'[20]Man Power'!$L$10:$L$45</definedName>
    <definedName name="___JPJ2">[21]CORAT!#REF!</definedName>
    <definedName name="___key2" hidden="1">#REF!</definedName>
    <definedName name="___LLL01">[9]Basic!$F$8</definedName>
    <definedName name="___LLL02">[9]Basic!$F$10</definedName>
    <definedName name="___LLL03">[9]Basic!$F$12</definedName>
    <definedName name="___LLL04">#REF!</definedName>
    <definedName name="___LLL05">#REF!</definedName>
    <definedName name="___LLL06">#REF!</definedName>
    <definedName name="___LLL07">#REF!</definedName>
    <definedName name="___LLL08">#REF!</definedName>
    <definedName name="___LLL09">#REF!</definedName>
    <definedName name="___LLL10">#REF!</definedName>
    <definedName name="___LLL11">#REF!</definedName>
    <definedName name="___m2">'[22]Man Power &amp; Comp'!$J$10:$J$45</definedName>
    <definedName name="___m3">'[22]Man Power &amp; Comp'!$J$10:$J$45</definedName>
    <definedName name="___m45">'[22]Man Power &amp; Comp'!$L$10:$L$45</definedName>
    <definedName name="___m47">'[22]Man Power &amp; Comp'!$M$10:$M$45</definedName>
    <definedName name="___m5">'[22]Man Power &amp; Comp'!$J$10:$J$45</definedName>
    <definedName name="___m54">'[22]Man Power &amp; Comp'!$J$10:$J$45</definedName>
    <definedName name="___m55">'[22]Man Power &amp; Comp'!$J$10:$J$45</definedName>
    <definedName name="___m65">'[22]Man Power &amp; Comp'!$J$10:$J$45</definedName>
    <definedName name="___m75">'[22]Man Power &amp; Comp'!$N$10:$N$45</definedName>
    <definedName name="___m85">'[22]Man Power &amp; Comp'!$J$10:$J$45</definedName>
    <definedName name="___m86">'[22]Man Power &amp; Comp'!$J$10:$J$45</definedName>
    <definedName name="___m87">'[23]Man Power &amp; Comp'!$J$10:$J$45</definedName>
    <definedName name="___mat1">#REF!</definedName>
    <definedName name="___mat2">#REF!</definedName>
    <definedName name="___MDE01">[14]alat!$BO$27</definedName>
    <definedName name="___MDE02">[14]alat!$BO$47</definedName>
    <definedName name="___MDE03">[14]alat!$BO$67</definedName>
    <definedName name="___MDE04">[14]alat!$BO$87</definedName>
    <definedName name="___MDE05">[14]alat!$BO$107</definedName>
    <definedName name="___MDE06">[14]alat!$BO$127</definedName>
    <definedName name="___MDE07">[14]alat!$BO$147</definedName>
    <definedName name="___MDE08">[14]alat!$BO$167</definedName>
    <definedName name="___MDE09">[14]alat!$BO$187</definedName>
    <definedName name="___MDE10">[14]alat!$BO$207</definedName>
    <definedName name="___MDE11">[14]alat!$BO$227</definedName>
    <definedName name="___MDE12">[14]alat!$BO$247</definedName>
    <definedName name="___MDE13">[14]alat!$BO$267</definedName>
    <definedName name="___MDE14">[14]alat!$BO$287</definedName>
    <definedName name="___MDE15">[14]alat!$BO$307</definedName>
    <definedName name="___MDE16">[14]alat!$BO$327</definedName>
    <definedName name="___MDE17">[14]alat!$BO$347</definedName>
    <definedName name="___MDE18">[14]alat!$BO$367</definedName>
    <definedName name="___MDE19">[14]alat!$BO$387</definedName>
    <definedName name="___MDE20">[14]alat!$BO$407</definedName>
    <definedName name="___MDE21">[14]alat!$BO$427</definedName>
    <definedName name="___MDE22">[14]alat!$BO$447</definedName>
    <definedName name="___MDE23">[14]alat!$BO$467</definedName>
    <definedName name="___MDE24">[14]alat!$BO$487</definedName>
    <definedName name="___MDE25">[14]alat!$BO$507</definedName>
    <definedName name="___MDE26">[14]alat!$BO$527</definedName>
    <definedName name="___MDE27">[14]alat!$BO$547</definedName>
    <definedName name="___MDE28">[14]alat!$BO$567</definedName>
    <definedName name="___MDE29">[14]alat!$BO$587</definedName>
    <definedName name="___MDE30">[14]alat!$BO$607</definedName>
    <definedName name="___MDE31">[14]alat!$BO$627</definedName>
    <definedName name="___MDE32">[14]alat!$BO$647</definedName>
    <definedName name="___MDE33">[14]alat!$BO$667</definedName>
    <definedName name="___MDE34">[14]alat!$BO$698</definedName>
    <definedName name="___ME01">[14]alat!$BO$26</definedName>
    <definedName name="___ME02">[14]alat!$BO$46</definedName>
    <definedName name="___ME03">[14]alat!$BO$66</definedName>
    <definedName name="___ME04">[14]alat!$BO$86</definedName>
    <definedName name="___ME05">[14]alat!$BO$106</definedName>
    <definedName name="___ME06">[14]alat!$BO$126</definedName>
    <definedName name="___ME07">[14]alat!$BO$146</definedName>
    <definedName name="___ME08">[14]alat!$BO$166</definedName>
    <definedName name="___ME09">[14]alat!$BO$186</definedName>
    <definedName name="___ME10">[14]alat!$BO$206</definedName>
    <definedName name="___ME11">[14]alat!$BO$226</definedName>
    <definedName name="___ME12">[14]alat!$BO$246</definedName>
    <definedName name="___ME13">[14]alat!$BO$266</definedName>
    <definedName name="___ME14">[14]alat!$BO$286</definedName>
    <definedName name="___ME15">[14]alat!$BO$306</definedName>
    <definedName name="___ME16">[14]alat!$BO$326</definedName>
    <definedName name="___ME17">[14]alat!$BO$346</definedName>
    <definedName name="___ME18">[14]alat!$BO$366</definedName>
    <definedName name="___ME19">[14]alat!$BO$386</definedName>
    <definedName name="___ME20">[14]alat!$BO$406</definedName>
    <definedName name="___ME21">[14]alat!$BO$426</definedName>
    <definedName name="___ME22">[14]alat!$BO$446</definedName>
    <definedName name="___ME23">[14]alat!$BO$466</definedName>
    <definedName name="___ME24">[14]alat!$BO$486</definedName>
    <definedName name="___ME25">[14]alat!$BO$506</definedName>
    <definedName name="___ME26">[14]alat!$BO$526</definedName>
    <definedName name="___ME27">[14]alat!$BO$546</definedName>
    <definedName name="___ME28">[14]alat!$BO$566</definedName>
    <definedName name="___ME29">[14]alat!$BO$586</definedName>
    <definedName name="___ME30">[14]alat!$BO$606</definedName>
    <definedName name="___ME31">[14]alat!$BO$626</definedName>
    <definedName name="___ME32">[14]alat!$BO$646</definedName>
    <definedName name="___ME33">[14]alat!$BO$666</definedName>
    <definedName name="___ME34">[14]alat!$BO$697</definedName>
    <definedName name="___MMM01">[9]Basic!$F$40</definedName>
    <definedName name="___MMM02">[17]Basic!$F$42</definedName>
    <definedName name="___MMM03">[9]Basic!$F$44</definedName>
    <definedName name="___MMM04">[9]Basic!$F$46</definedName>
    <definedName name="___MMM05">[17]Basic!$F$48</definedName>
    <definedName name="___MMM06">[9]Basic!$F$50</definedName>
    <definedName name="___MMM07">#REF!</definedName>
    <definedName name="___MMM08">#REF!</definedName>
    <definedName name="___MMM09">#REF!</definedName>
    <definedName name="___MMM10">[9]Basic!$F$58</definedName>
    <definedName name="___MMM11">[9]Basic!$F$60</definedName>
    <definedName name="___MMM13">#REF!</definedName>
    <definedName name="___MMM14">#REF!</definedName>
    <definedName name="___MMM15">#REF!</definedName>
    <definedName name="___MMM16">[9]Basic!$F$70</definedName>
    <definedName name="___MMM17">#REF!</definedName>
    <definedName name="___MMM18">[9]Basic!$F$74</definedName>
    <definedName name="___MMM20">#REF!</definedName>
    <definedName name="___MMM23">#REF!</definedName>
    <definedName name="___MMM25">#REF!</definedName>
    <definedName name="___MMM28">#REF!</definedName>
    <definedName name="___MMM29">#REF!</definedName>
    <definedName name="___MMM30">#REF!</definedName>
    <definedName name="___MMM31">#REF!</definedName>
    <definedName name="___MMM32">[9]Basic!$F$110</definedName>
    <definedName name="___MMM33">[9]Basic!$F$112</definedName>
    <definedName name="___MMM34">#REF!</definedName>
    <definedName name="___MMM35">#REF!</definedName>
    <definedName name="___MMM36">#REF!</definedName>
    <definedName name="___MMM40">#REF!</definedName>
    <definedName name="___MMM41">#REF!</definedName>
    <definedName name="___MMM411">#REF!</definedName>
    <definedName name="___MMM42">[9]Basic!$F$139</definedName>
    <definedName name="___MMM43">#REF!</definedName>
    <definedName name="___MMM45">#REF!</definedName>
    <definedName name="___MMM46">#REF!</definedName>
    <definedName name="___MMM49">#REF!</definedName>
    <definedName name="___MMM50">#REF!</definedName>
    <definedName name="___MMM51">#REF!</definedName>
    <definedName name="___MMM52">#REF!</definedName>
    <definedName name="___MMM53">#REF!</definedName>
    <definedName name="___MMM54">#REF!</definedName>
    <definedName name="___moh1">'[22]Man Power &amp; Comp'!$J$10:$J$45</definedName>
    <definedName name="___mon5">'[22]Man Power &amp; Comp'!$S$10:$S$45</definedName>
    <definedName name="___mot4">'[22]Man Power &amp; Comp'!$J$10:$J$45</definedName>
    <definedName name="___NYA1">[27]Upah!#REF!</definedName>
    <definedName name="___NYA2">[27]Upah!#REF!</definedName>
    <definedName name="___PA1">#REF!</definedName>
    <definedName name="___pa10">'[30]Daftar Harga Upah dan Bahan'!$F$189</definedName>
    <definedName name="___pa11">'[30]Daftar Harga Upah dan Bahan'!$F$190</definedName>
    <definedName name="___pa12">'[30]Daftar Harga Upah dan Bahan'!$F$191</definedName>
    <definedName name="___pa13">'[30]Daftar Harga Upah dan Bahan'!$F$192</definedName>
    <definedName name="___PA2">#REF!</definedName>
    <definedName name="___PA3">#REF!</definedName>
    <definedName name="___pa7">'[30]Daftar Harga Upah dan Bahan'!$F$186</definedName>
    <definedName name="___pa8">'[30]Daftar Harga Upah dan Bahan'!$F$187</definedName>
    <definedName name="___pa9">'[30]Daftar Harga Upah dan Bahan'!$F$188</definedName>
    <definedName name="___pos1">#REF!</definedName>
    <definedName name="___PPN10">#REF!</definedName>
    <definedName name="___pt6">[24]LG!$H$20</definedName>
    <definedName name="___pt66">#REF!</definedName>
    <definedName name="___pt75">#REF!</definedName>
    <definedName name="___pt9">'[25]Cabling Survey'!#REF!</definedName>
    <definedName name="___pt95">#REF!</definedName>
    <definedName name="___rcp100">#REF!</definedName>
    <definedName name="___rcp60">#REF!</definedName>
    <definedName name="___tok2">#REF!</definedName>
    <definedName name="___UA1">'[30]Daftar Harga Upah dan Bahan'!$F$14</definedName>
    <definedName name="___ua15">'[30]Daftar Harga Upah dan Bahan'!$F$31</definedName>
    <definedName name="___UA2">'[30]Daftar Harga Upah dan Bahan'!$F$15</definedName>
    <definedName name="___UA3">'[30]Daftar Harga Upah dan Bahan'!$F$18</definedName>
    <definedName name="___UA4">'[30]Daftar Harga Upah dan Bahan'!$F$19</definedName>
    <definedName name="___UA5">'[30]Daftar Harga Upah dan Bahan'!$F$20</definedName>
    <definedName name="___UA6">'[30]Daftar Harga Upah dan Bahan'!$F$21</definedName>
    <definedName name="___UA7">'[30]Daftar Harga Upah dan Bahan'!$F$22</definedName>
    <definedName name="___UA8">'[30]Daftar Harga Upah dan Bahan'!$F$24</definedName>
    <definedName name="___uph1">[26]FORM1!$AU$67</definedName>
    <definedName name="___uph3">[26]FORM1!$AU$70</definedName>
    <definedName name="___ups2">#REF!</definedName>
    <definedName name="___utp6">#REF!</definedName>
    <definedName name="___WF32">[19]Material!#REF!</definedName>
    <definedName name="___WF42">[19]Material!#REF!</definedName>
    <definedName name="___XL40">[31]HARGA!#REF!</definedName>
    <definedName name="__123Graph_A" hidden="1">#REF!</definedName>
    <definedName name="__123Graph_AChart1" hidden="1">'[32]EE-PROP'!#REF!</definedName>
    <definedName name="__123Graph_ACurrent" hidden="1">'[32]EE-PROP'!#REF!</definedName>
    <definedName name="__123Graph_B" hidden="1">#REF!</definedName>
    <definedName name="__123Graph_BChart1" hidden="1">'[32]EE-PROP'!#REF!</definedName>
    <definedName name="__123Graph_BCurrent" hidden="1">'[32]EE-PROP'!#REF!</definedName>
    <definedName name="__123Graph_C" hidden="1">[33]tifico!#REF!</definedName>
    <definedName name="__123Graph_D" hidden="1">[34]SEX!$P$7:$P$7</definedName>
    <definedName name="__123Graph_E" hidden="1">[33]tifico!#REF!</definedName>
    <definedName name="__123Graph_F" hidden="1">[35]escon!#REF!</definedName>
    <definedName name="__123Graph_X" hidden="1">#REF!</definedName>
    <definedName name="__123Graph_XChart1" hidden="1">'[32]EE-PROP'!#REF!</definedName>
    <definedName name="__123Graph_XCurrent" hidden="1">'[32]EE-PROP'!#REF!</definedName>
    <definedName name="__AAA200">#REF!</definedName>
    <definedName name="__adt34">[28]alat!$J$16</definedName>
    <definedName name="__adt810">[28]alat!$J$17</definedName>
    <definedName name="__ank275">[29]DivVII!$G$50</definedName>
    <definedName name="__baa1">'[30]Daftar Harga Upah dan Bahan'!$F$35</definedName>
    <definedName name="__bba12">'[30]Daftar Harga Upah dan Bahan'!$F$55</definedName>
    <definedName name="__bba14">'[30]Daftar Harga Upah dan Bahan'!$F$57</definedName>
    <definedName name="__bba17">'[30]Daftar Harga Upah dan Bahan'!$F$60</definedName>
    <definedName name="__bba2">'[30]Daftar Harga Upah dan Bahan'!$F$44</definedName>
    <definedName name="__bba6">'[30]Daftar Harga Upah dan Bahan'!$F$49</definedName>
    <definedName name="__bca1">'[30]Daftar Harga Upah dan Bahan'!$F$62</definedName>
    <definedName name="__bca3">'[30]Daftar Harga Upah dan Bahan'!$F$64</definedName>
    <definedName name="__bca4">'[30]Daftar Harga Upah dan Bahan'!$F$65</definedName>
    <definedName name="__bca5">'[30]Daftar Harga Upah dan Bahan'!$F$67</definedName>
    <definedName name="__bca6">'[30]Daftar Harga Upah dan Bahan'!$F$68</definedName>
    <definedName name="__bca8">'[30]Daftar Harga Upah dan Bahan'!$F$85</definedName>
    <definedName name="__bda1">'[30]Daftar Harga Upah dan Bahan'!$F$88</definedName>
    <definedName name="__bda10">'[30]Daftar Harga Upah dan Bahan'!$F$97</definedName>
    <definedName name="__bda12">'[30]Daftar Harga Upah dan Bahan'!$F$99</definedName>
    <definedName name="__bda2">'[30]Daftar Harga Upah dan Bahan'!$F$89</definedName>
    <definedName name="__bda22">'[30]Daftar Harga Upah dan Bahan'!$F$109</definedName>
    <definedName name="__bda24">'[30]Daftar Harga Upah dan Bahan'!$F$111</definedName>
    <definedName name="__BDA3">'[30]Daftar Harga Upah dan Bahan'!$F$90</definedName>
    <definedName name="__BDA4">'[30]Daftar Harga Upah dan Bahan'!$F$91</definedName>
    <definedName name="__bda5">'[30]Daftar Harga Upah dan Bahan'!$F$92</definedName>
    <definedName name="__bda6">'[30]Daftar Harga Upah dan Bahan'!$F$93</definedName>
    <definedName name="__bda8">'[30]Daftar Harga Upah dan Bahan'!$F$95</definedName>
    <definedName name="__bda9">'[30]Daftar Harga Upah dan Bahan'!$F$96</definedName>
    <definedName name="__bea1">'[30]Daftar Harga Upah dan Bahan'!$F$117</definedName>
    <definedName name="__bea2">'[30]Daftar Harga Upah dan Bahan'!$F$118</definedName>
    <definedName name="__bea8">'[30]Daftar Harga Upah dan Bahan'!$F$124</definedName>
    <definedName name="__bet123">[15]Analisa!$J$160</definedName>
    <definedName name="__bln2">#REF!</definedName>
    <definedName name="__bpc23">'[16]Upah Bahan'!$F$41</definedName>
    <definedName name="__bpc35">'[16]Upah Bahan'!$F$40</definedName>
    <definedName name="__caa2">'[30]Daftar Harga Upah dan Bahan'!$F$165</definedName>
    <definedName name="__caa3">'[30]Daftar Harga Upah dan Bahan'!$F$166</definedName>
    <definedName name="__caa4">'[30]Daftar Harga Upah dan Bahan'!$F$167</definedName>
    <definedName name="__caa5">'[30]Daftar Harga Upah dan Bahan'!$F$168</definedName>
    <definedName name="__CAN15">[19]Material!#REF!</definedName>
    <definedName name="__cis12">#REF!</definedName>
    <definedName name="__cis24">#REF!</definedName>
    <definedName name="__DIV1">[9]boq!$G$24</definedName>
    <definedName name="__DIV10">[9]boq!$G$329</definedName>
    <definedName name="__DIV11">[9]boq!#REF!</definedName>
    <definedName name="__DIV2">[9]boq!$G$35</definedName>
    <definedName name="__DIV3">[9]boq!$G$52</definedName>
    <definedName name="__DIV4">[9]boq!$G$66</definedName>
    <definedName name="__DIV5">[9]boq!$G$93</definedName>
    <definedName name="__DIV6">[9]boq!$G$118</definedName>
    <definedName name="__DIV7">[9]boq!$G$206</definedName>
    <definedName name="__DIV8">[9]boq!$G$263</definedName>
    <definedName name="__DIV9">[9]boq!$G$305</definedName>
    <definedName name="__dum35">[16]Sheet1!$Q$26</definedName>
    <definedName name="__EEE01">[14]alat!$AW$8</definedName>
    <definedName name="__EEE02">[14]alat!$AW$9</definedName>
    <definedName name="__EEE03">[14]alat!$AW$10</definedName>
    <definedName name="__EEE04">[14]alat!$AW$11</definedName>
    <definedName name="__EEE05">[14]alat!$AW$12</definedName>
    <definedName name="__EEE06">[14]alat!$AW$13</definedName>
    <definedName name="__EEE07">[14]alat!$AW$14</definedName>
    <definedName name="__EEE08">[14]alat!$AW$15</definedName>
    <definedName name="__EEE09">[14]alat!$AW$16</definedName>
    <definedName name="__EEE10">[14]alat!$AW$17</definedName>
    <definedName name="__EEE11">[14]alat!$AW$18</definedName>
    <definedName name="__EEE12">[14]alat!$AW$19</definedName>
    <definedName name="__EEE13">[14]alat!$AW$20</definedName>
    <definedName name="__EEE14">[14]alat!$AW$21</definedName>
    <definedName name="__EEE15">[14]alat!$AW$22</definedName>
    <definedName name="__EEE16">[14]alat!$AW$23</definedName>
    <definedName name="__EEE17">[14]alat!$AW$24</definedName>
    <definedName name="__EEE18">[14]alat!$AW$25</definedName>
    <definedName name="__EEE19">[14]alat!$AW$26</definedName>
    <definedName name="__EEE20">[14]alat!$AW$27</definedName>
    <definedName name="__EEE21">[14]alat!$AW$28</definedName>
    <definedName name="__EEE22">[14]alat!$AW$29</definedName>
    <definedName name="__EEE23">#REF!</definedName>
    <definedName name="__EEE24">[14]alat!$AW$31</definedName>
    <definedName name="__EEE25">[14]alat!$AW$32</definedName>
    <definedName name="__EEE26">[14]alat!$AW$33</definedName>
    <definedName name="__EEE27">[14]alat!$AW$34</definedName>
    <definedName name="__EEE28">[14]alat!$AW$35</definedName>
    <definedName name="__EEE29">[14]alat!$AW$36</definedName>
    <definedName name="__EEE30">[14]alat!$AW$37</definedName>
    <definedName name="__EEE31">[14]alat!$AW$38</definedName>
    <definedName name="__EEE32">[14]alat!$AW$39</definedName>
    <definedName name="__EEE33">[14]alat!$AW$40</definedName>
    <definedName name="__fib6">#REF!</definedName>
    <definedName name="__HAL1">#REF!</definedName>
    <definedName name="__HAL2">[5]boq!#REF!</definedName>
    <definedName name="__HAL3">[5]boq!#REF!</definedName>
    <definedName name="__HAL4">#REF!</definedName>
    <definedName name="__HAL5">#REF!</definedName>
    <definedName name="__HAL6">#REF!</definedName>
    <definedName name="__HAL7">#REF!</definedName>
    <definedName name="__HAL8">#REF!</definedName>
    <definedName name="__hpp2">'[20]Man Power'!$L$10:$L$45</definedName>
    <definedName name="__JPJ2">[21]CORAT!#REF!</definedName>
    <definedName name="__kb3">'[36] HARGA'!$H$55</definedName>
    <definedName name="__kb5">'[36] HARGA'!$H$54</definedName>
    <definedName name="__key2" hidden="1">#REF!</definedName>
    <definedName name="__LLL01">[9]Basic!$F$8</definedName>
    <definedName name="__LLL02">[9]Basic!$F$10</definedName>
    <definedName name="__LLL03">[9]Basic!$F$12</definedName>
    <definedName name="__LLL04">#REF!</definedName>
    <definedName name="__LLL05">#REF!</definedName>
    <definedName name="__LLL06">#REF!</definedName>
    <definedName name="__LLL07">#REF!</definedName>
    <definedName name="__LLL08">#REF!</definedName>
    <definedName name="__LLL09">#REF!</definedName>
    <definedName name="__LLL10">#REF!</definedName>
    <definedName name="__LLL11">#REF!</definedName>
    <definedName name="__m2">'[22]Man Power &amp; Comp'!$J$10:$J$45</definedName>
    <definedName name="__m3">'[22]Man Power &amp; Comp'!$J$10:$J$45</definedName>
    <definedName name="__m45">'[22]Man Power &amp; Comp'!$L$10:$L$45</definedName>
    <definedName name="__m47">'[22]Man Power &amp; Comp'!$M$10:$M$45</definedName>
    <definedName name="__m5">'[22]Man Power &amp; Comp'!$J$10:$J$45</definedName>
    <definedName name="__m54">'[22]Man Power &amp; Comp'!$J$10:$J$45</definedName>
    <definedName name="__m55">'[22]Man Power &amp; Comp'!$J$10:$J$45</definedName>
    <definedName name="__m65">'[22]Man Power &amp; Comp'!$J$10:$J$45</definedName>
    <definedName name="__m75">'[22]Man Power &amp; Comp'!$N$10:$N$45</definedName>
    <definedName name="__m85">'[22]Man Power &amp; Comp'!$J$10:$J$45</definedName>
    <definedName name="__m86">'[22]Man Power &amp; Comp'!$J$10:$J$45</definedName>
    <definedName name="__m87">'[23]Man Power &amp; Comp'!$J$10:$J$45</definedName>
    <definedName name="__mat1">#REF!</definedName>
    <definedName name="__mat2">#REF!</definedName>
    <definedName name="__MDE01">[14]alat!$BO$27</definedName>
    <definedName name="__MDE02">[14]alat!$BO$47</definedName>
    <definedName name="__MDE03">[14]alat!$BO$67</definedName>
    <definedName name="__MDE04">[14]alat!$BO$87</definedName>
    <definedName name="__MDE05">[14]alat!$BO$107</definedName>
    <definedName name="__MDE06">[14]alat!$BO$127</definedName>
    <definedName name="__MDE07">[14]alat!$BO$147</definedName>
    <definedName name="__MDE08">[14]alat!$BO$167</definedName>
    <definedName name="__MDE09">[14]alat!$BO$187</definedName>
    <definedName name="__MDE10">[14]alat!$BO$207</definedName>
    <definedName name="__MDE11">[14]alat!$BO$227</definedName>
    <definedName name="__MDE12">[14]alat!$BO$247</definedName>
    <definedName name="__MDE13">[14]alat!$BO$267</definedName>
    <definedName name="__MDE14">[14]alat!$BO$287</definedName>
    <definedName name="__MDE15">[14]alat!$BO$307</definedName>
    <definedName name="__MDE16">[14]alat!$BO$327</definedName>
    <definedName name="__MDE17">[14]alat!$BO$347</definedName>
    <definedName name="__MDE18">[14]alat!$BO$367</definedName>
    <definedName name="__MDE19">[14]alat!$BO$387</definedName>
    <definedName name="__MDE20">[14]alat!$BO$407</definedName>
    <definedName name="__MDE21">[14]alat!$BO$427</definedName>
    <definedName name="__MDE22">[14]alat!$BO$447</definedName>
    <definedName name="__MDE23">[14]alat!$BO$467</definedName>
    <definedName name="__MDE24">[14]alat!$BO$487</definedName>
    <definedName name="__MDE25">[14]alat!$BO$507</definedName>
    <definedName name="__MDE26">[14]alat!$BO$527</definedName>
    <definedName name="__MDE27">[14]alat!$BO$547</definedName>
    <definedName name="__MDE28">[14]alat!$BO$567</definedName>
    <definedName name="__MDE29">[14]alat!$BO$587</definedName>
    <definedName name="__MDE30">[14]alat!$BO$607</definedName>
    <definedName name="__MDE31">[14]alat!$BO$627</definedName>
    <definedName name="__MDE32">[14]alat!$BO$647</definedName>
    <definedName name="__MDE33">[14]alat!$BO$667</definedName>
    <definedName name="__MDE34">[14]alat!$BO$698</definedName>
    <definedName name="__ME01">[14]alat!$BO$26</definedName>
    <definedName name="__ME02">[14]alat!$BO$46</definedName>
    <definedName name="__ME03">[14]alat!$BO$66</definedName>
    <definedName name="__ME04">[14]alat!$BO$86</definedName>
    <definedName name="__ME05">[14]alat!$BO$106</definedName>
    <definedName name="__ME06">[14]alat!$BO$126</definedName>
    <definedName name="__ME07">[14]alat!$BO$146</definedName>
    <definedName name="__ME08">[14]alat!$BO$166</definedName>
    <definedName name="__ME09">[14]alat!$BO$186</definedName>
    <definedName name="__ME10">[14]alat!$BO$206</definedName>
    <definedName name="__ME11">[14]alat!$BO$226</definedName>
    <definedName name="__ME12">[14]alat!$BO$246</definedName>
    <definedName name="__ME13">[14]alat!$BO$266</definedName>
    <definedName name="__ME14">[14]alat!$BO$286</definedName>
    <definedName name="__ME15">[14]alat!$BO$306</definedName>
    <definedName name="__ME16">[14]alat!$BO$326</definedName>
    <definedName name="__ME17">[14]alat!$BO$346</definedName>
    <definedName name="__ME18">[14]alat!$BO$366</definedName>
    <definedName name="__ME19">[14]alat!$BO$386</definedName>
    <definedName name="__ME20">[14]alat!$BO$406</definedName>
    <definedName name="__ME21">[14]alat!$BO$426</definedName>
    <definedName name="__ME22">[14]alat!$BO$446</definedName>
    <definedName name="__ME23">[14]alat!$BO$466</definedName>
    <definedName name="__ME24">[14]alat!$BO$486</definedName>
    <definedName name="__ME25">[14]alat!$BO$506</definedName>
    <definedName name="__ME26">[14]alat!$BO$526</definedName>
    <definedName name="__ME27">[14]alat!$BO$546</definedName>
    <definedName name="__ME28">[14]alat!$BO$566</definedName>
    <definedName name="__ME29">[14]alat!$BO$586</definedName>
    <definedName name="__ME30">[14]alat!$BO$606</definedName>
    <definedName name="__ME31">[14]alat!$BO$626</definedName>
    <definedName name="__ME32">[14]alat!$BO$646</definedName>
    <definedName name="__ME33">[14]alat!$BO$666</definedName>
    <definedName name="__ME34">[14]alat!$BO$697</definedName>
    <definedName name="__MMM01">[9]Basic!$F$40</definedName>
    <definedName name="__MMM02">[17]Basic!$F$42</definedName>
    <definedName name="__MMM03">[9]Basic!$F$44</definedName>
    <definedName name="__MMM04">[9]Basic!$F$46</definedName>
    <definedName name="__MMM05">[17]Basic!$F$48</definedName>
    <definedName name="__MMM06">[9]Basic!$F$50</definedName>
    <definedName name="__MMM07">#REF!</definedName>
    <definedName name="__MMM08">#REF!</definedName>
    <definedName name="__MMM09">#REF!</definedName>
    <definedName name="__MMM10">[9]Basic!$F$58</definedName>
    <definedName name="__MMM11">[9]Basic!$F$60</definedName>
    <definedName name="__MMM12">[37]Basic!$F$74</definedName>
    <definedName name="__MMM13">#REF!</definedName>
    <definedName name="__MMM14">#REF!</definedName>
    <definedName name="__MMM15">#REF!</definedName>
    <definedName name="__MMM16">[9]Basic!$F$70</definedName>
    <definedName name="__MMM17">#REF!</definedName>
    <definedName name="__MMM18">[9]Basic!$F$74</definedName>
    <definedName name="__MMM19">#REF!</definedName>
    <definedName name="__MMM20">#REF!</definedName>
    <definedName name="__MMM21">#REF!</definedName>
    <definedName name="__MMM22">#REF!</definedName>
    <definedName name="__MMM23">#REF!</definedName>
    <definedName name="__MMM24">#REF!</definedName>
    <definedName name="__MMM25">#REF!</definedName>
    <definedName name="__MMM26">#REF!</definedName>
    <definedName name="__MMM27">#REF!</definedName>
    <definedName name="__MMM28">#REF!</definedName>
    <definedName name="__MMM29">#REF!</definedName>
    <definedName name="__MMM30">#REF!</definedName>
    <definedName name="__MMM31">#REF!</definedName>
    <definedName name="__MMM32">[9]Basic!$F$110</definedName>
    <definedName name="__MMM33">[9]Basic!$F$112</definedName>
    <definedName name="__MMM34">#REF!</definedName>
    <definedName name="__MMM35">#REF!</definedName>
    <definedName name="__MMM36">#REF!</definedName>
    <definedName name="__MMM37">#REF!</definedName>
    <definedName name="__MMM38">#REF!</definedName>
    <definedName name="__MMM39">#REF!</definedName>
    <definedName name="__MMM40">#REF!</definedName>
    <definedName name="__MMM41">#REF!</definedName>
    <definedName name="__MMM411">#REF!</definedName>
    <definedName name="__MMM42">[9]Basic!$F$139</definedName>
    <definedName name="__MMM43">#REF!</definedName>
    <definedName name="__MMM44">#REF!</definedName>
    <definedName name="__MMM45">#REF!</definedName>
    <definedName name="__MMM46">#REF!</definedName>
    <definedName name="__MMM47">#REF!</definedName>
    <definedName name="__MMM48">#REF!</definedName>
    <definedName name="__MMM49">#REF!</definedName>
    <definedName name="__MMM50">#REF!</definedName>
    <definedName name="__MMM51">#REF!</definedName>
    <definedName name="__MMM52">#REF!</definedName>
    <definedName name="__MMM53">#REF!</definedName>
    <definedName name="__MMM54">#REF!</definedName>
    <definedName name="__moh1">'[22]Man Power &amp; Comp'!$J$10:$J$45</definedName>
    <definedName name="__mon5">'[22]Man Power &amp; Comp'!$S$10:$S$45</definedName>
    <definedName name="__mot4">'[22]Man Power &amp; Comp'!$J$10:$J$45</definedName>
    <definedName name="__NYA1">[38]Upah!#REF!</definedName>
    <definedName name="__NYA2">[38]Upah!#REF!</definedName>
    <definedName name="__PA1">#REF!</definedName>
    <definedName name="__pa10">'[30]Daftar Harga Upah dan Bahan'!$F$189</definedName>
    <definedName name="__pa11">'[30]Daftar Harga Upah dan Bahan'!$F$190</definedName>
    <definedName name="__pa12">'[30]Daftar Harga Upah dan Bahan'!$F$191</definedName>
    <definedName name="__pa13">'[30]Daftar Harga Upah dan Bahan'!$F$192</definedName>
    <definedName name="__PA2">#REF!</definedName>
    <definedName name="__PA3">#REF!</definedName>
    <definedName name="__pa7">'[30]Daftar Harga Upah dan Bahan'!$F$186</definedName>
    <definedName name="__pa8">'[30]Daftar Harga Upah dan Bahan'!$F$187</definedName>
    <definedName name="__pa9">'[30]Daftar Harga Upah dan Bahan'!$F$188</definedName>
    <definedName name="__pos1">#REF!</definedName>
    <definedName name="__PPN10">#REF!</definedName>
    <definedName name="__pt6">[24]LG!$H$20</definedName>
    <definedName name="__pt66">#REF!</definedName>
    <definedName name="__pt75">#REF!</definedName>
    <definedName name="__pt9">'[25]Cabling Survey'!#REF!</definedName>
    <definedName name="__pt95">#REF!</definedName>
    <definedName name="__Rp1" localSheetId="3">[239]Lembar1!$D$34</definedName>
    <definedName name="__Rp1" localSheetId="2">[239]Lembar1!$D$34</definedName>
    <definedName name="__Rp1">[39]Lembar1!$D$34</definedName>
    <definedName name="__sc175">'[40]UP MINOR'!$C$22</definedName>
    <definedName name="__sl18">'[36] HARGA'!$H$78</definedName>
    <definedName name="__tok2">#REF!</definedName>
    <definedName name="__UA1">'[30]Daftar Harga Upah dan Bahan'!$F$14</definedName>
    <definedName name="__ua15">'[30]Daftar Harga Upah dan Bahan'!$F$31</definedName>
    <definedName name="__UA2">'[30]Daftar Harga Upah dan Bahan'!$F$15</definedName>
    <definedName name="__UA3">'[30]Daftar Harga Upah dan Bahan'!$F$18</definedName>
    <definedName name="__UA4">'[30]Daftar Harga Upah dan Bahan'!$F$19</definedName>
    <definedName name="__UA5">'[30]Daftar Harga Upah dan Bahan'!$F$20</definedName>
    <definedName name="__UA6">'[30]Daftar Harga Upah dan Bahan'!$F$21</definedName>
    <definedName name="__UA7">'[30]Daftar Harga Upah dan Bahan'!$F$22</definedName>
    <definedName name="__UA8">'[30]Daftar Harga Upah dan Bahan'!$F$24</definedName>
    <definedName name="__uph1">[26]FORM1!$AU$67</definedName>
    <definedName name="__uph3">[26]FORM1!$AU$70</definedName>
    <definedName name="__ups2">#REF!</definedName>
    <definedName name="__utp6">#REF!</definedName>
    <definedName name="__WF32">[19]Material!#REF!</definedName>
    <definedName name="__WF42">[19]Material!#REF!</definedName>
    <definedName name="__XL40">[41]HARGA!#REF!</definedName>
    <definedName name="_05">#REF!</definedName>
    <definedName name="_1">#REF!</definedName>
    <definedName name="_1.">'[42]H DSR'!$B$9:$B$130</definedName>
    <definedName name="_1.2A">[43]AHS!$A$61:$K$111</definedName>
    <definedName name="_1__123Graph_ACHART_1" hidden="1">[44]Rekapitulasi!$CG$34:$CQ$34</definedName>
    <definedName name="_1_Buah_Pasang_Engsel_Pintu">#REF!</definedName>
    <definedName name="_1_Buah_Pasang_Kunci_Tanam_Biasa">#REF!</definedName>
    <definedName name="_1_Buah_Pemasangan_Closet_Jongkok">[45]Analisa!$H$649</definedName>
    <definedName name="_1_Buah_Pemasangan_Engsel_Jendela">[45]Analisa!$H$581</definedName>
    <definedName name="_1_Buah_Pemasangan_Engsel_Pintu">[45]Analisa!$H$574</definedName>
    <definedName name="_1_Buah_Pemasangan_Grendel_Jendela">[45]Analisa!$H$592</definedName>
    <definedName name="_1_Buah_Pemasangan_Grendel_Pintu_Tanam">[45]Analisa!$H$586</definedName>
    <definedName name="_1_Buah_Pemasangan_Hak_Angin">[45]Analisa!$H$602</definedName>
    <definedName name="_1_Buah_Pemasangan_Handel_Jendela">[45]Analisa!$H$597</definedName>
    <definedName name="_1_Buah_Pemasangan_Kunci_Pintu_2_Slaag">[45]Analisa!$H$566</definedName>
    <definedName name="_1_Buah_Pemasangan_Kunci_Pintu_Lemari">[45]Analisa!$H$570</definedName>
    <definedName name="_1_Buah_Septictank___Peresapan">[45]Analisa!$H$636</definedName>
    <definedName name="_1_Kg_Membuat_Besi_Tulangan_Beton">#REF!</definedName>
    <definedName name="_1_Kg_Pekerjaan_Pembesian_Dengan_Besi_Polos">[45]Analisa!$H$216</definedName>
    <definedName name="_1_M___Pek._List_Profil_Plafond">[45]Analisa!$H$474</definedName>
    <definedName name="_1_M___Pek._List_Profil_Plafond_Gypsum">[45]Analisa!$H$482</definedName>
    <definedName name="_1_M__Memasang_Talang_Air_Karet">[45]Analisa!$H$431</definedName>
    <definedName name="_1_M__Pasang_Listplank_Papan_Uk._2_x__2_20_cm">[45]Analisa!$H$490</definedName>
    <definedName name="_1_M__Pekerjaan__Saluran_Air_Hujan">[45]Analisa!$H$610</definedName>
    <definedName name="_1_M__Pekerjaan_Pasangan_Bubungan_Atap_Genteng_Metal">[45]Analisa!$H$423</definedName>
    <definedName name="_1_M1_Pasang_Talang_Air">#REF!</definedName>
    <definedName name="_1_M1_Pembuatan_Les_Pagar___alur_Nat_Tembok">#REF!</definedName>
    <definedName name="_1_M1_Pembuatan_Pot_Bunga">#REF!</definedName>
    <definedName name="_1_M2_Acian_Dinding_Camp._1_Pc___7_Kpr">#REF!</definedName>
    <definedName name="_1_M2_Listplank_2_x_2_x_20">#REF!</definedName>
    <definedName name="_1_M2_Membuat_Bekisting">#REF!</definedName>
    <definedName name="_1_M2_Pasang_Atap_Genteng_Metal">[45]Analisa!$H$415</definedName>
    <definedName name="_1_M2_Pasang_Atap_Plastik_Gelombang_Besar">#REF!</definedName>
    <definedName name="_1_M2_Pasang_Dinding_Partisi_Double_Tripleks">[45]Analisa!$H$359</definedName>
    <definedName name="_1_M2_Pasang_Kaca_Mati_Bening_5_mm">#REF!</definedName>
    <definedName name="_1_M2_Pasang_Kaso_dan_Reng_Untuk_Genteng_Metal">[45]Analisa!$H$407</definedName>
    <definedName name="_1_M2_Pasang_Keramik_20_x_25_cm">#REF!</definedName>
    <definedName name="_1_M2_Pasang_Ornamen_Tradisional_Kayu_Kelas_II">[45]Analisa!$H$498</definedName>
    <definedName name="_1_M2_Pasang_Pintu__Jendela_dan_Jalusi_Kayu">[45]Analisa!$H$278</definedName>
    <definedName name="_1_M2_Pasang_Pintu_Fiber_KM_WC">[45]Analisa!$H$379</definedName>
    <definedName name="_1_M2_Pasang_Pintu_Panel">[45]Analisa!$H$271</definedName>
    <definedName name="_1_M2_Pasang_Pintu_Teakwood_Lapis_Almunium">[45]Analisa!$H$347</definedName>
    <definedName name="_1_M2_Pasang_Pintu_Teakwood_Rangkap">[45]Analisa!$H$335</definedName>
    <definedName name="_1_M2_Pasang_Plafond_Gypsum">[45]Analisa!$H$463</definedName>
    <definedName name="_1_M2_Pasang_Plafond_Tripleks">[45]Analisa!$H$448</definedName>
    <definedName name="_1_M2_Pasang_Rangka_Plafond">#REF!</definedName>
    <definedName name="_1_M2_Pasangan__Bata_Merah_Tebal_1_2_Bata__1_Pc___3_Ps">[45]Analisa!$H$56</definedName>
    <definedName name="_1_M2_Pasangan__Bata_Merah_Tebal_1_2_Bata__1_Pc___5_Ps">[45]Analisa!$H$66</definedName>
    <definedName name="_1_M2_Pasangan_Batu_Bata._1___5">#REF!</definedName>
    <definedName name="_1_M2_Pasangan_Lantai_Keramik_30_x_30">#REF!</definedName>
    <definedName name="_1_M2_Pek._Daun_Pintu_Jendela_Panil_Kaca_Bening_5_mm">[45]Analisa!$H$285</definedName>
    <definedName name="_1_M2_Pek._Daun_Pintu_Jendela_Panil_Kaca_Rayben_5_mm">[45]Analisa!$H$296</definedName>
    <definedName name="_1_M2_Pek._Daun_Pintu_Panil_Kaca_Rayben_5_mm">[45]Analisa!$H$305</definedName>
    <definedName name="_1_M2_Pek._Dinding_Partisi_Double_Gypsum">[45]Analisa!$H$369</definedName>
    <definedName name="_1_M2_Pek._Jendela_Ventilasi_Kaca_Mati_Bening_5_mm">[45]Analisa!$H$314</definedName>
    <definedName name="_1_M2_Pek._Jendela_Ventilasi_Kaca_Mati_Rayben_5_mm">[45]Analisa!$H$321</definedName>
    <definedName name="_1_M2_Pek._Pintu_Rel_Lemari_Dinding_Double_Teakwood">[45]Analisa!$H$386</definedName>
    <definedName name="_1_M2_Pek._Ventilasi_Kaca_Silang">[45]Analisa!$H$328</definedName>
    <definedName name="_1_M2_Pekerjaan_Acian__Camp_1_PC___7_Kpr">[45]Analisa!$H$94</definedName>
    <definedName name="_1_M2_Pekerjaan_Bekisting_untuk_Kolom">[45]Analisa!$H$186</definedName>
    <definedName name="_1_M2_Pekerjaan_Bekisting_untuk_Plat_Lantai">[45]Analisa!$H$206</definedName>
    <definedName name="_1_M2_Pekerjaan_Bekisting_untuk_Ring_Balk">[45]Analisa!$H$196</definedName>
    <definedName name="_1_M2_Pekerjaan_Bekisting_untuk_Sloof">[45]Analisa!$H$176</definedName>
    <definedName name="_1_M2_Pekerjaan_Pasang_Lantai_Dinding_Keramik__10_x_10_Cm">[45]Analisa!$H$136</definedName>
    <definedName name="_1_M2_Pekerjaan_Pasang_Lantai_Dinding_Keramik__20_x_20_Cm">[45]Analisa!$H$115</definedName>
    <definedName name="_1_M2_Pekerjaan_Pasang_Lantai_Dinding_Keramik__20_x_25_Cm">[45]Analisa!$H$126</definedName>
    <definedName name="_1_M2_Pekerjaan_Pasang_Lantai_Dinding_Keramik_30_x_30_Cm">[45]Analisa!$H$105</definedName>
    <definedName name="_1_M2_Pekerjaan_Paving_Blok">#REF!</definedName>
    <definedName name="_1_M2_Pekerjaan_Pengecatan_Atap">#REF!</definedName>
    <definedName name="_1_M2_Pekerjaan_Pengecatan_Besi">#REF!</definedName>
    <definedName name="_1_M2_Pekerjaan_Pengecatan_Besi__Dicat_2_Lapis">[45]Analisa!$H$523</definedName>
    <definedName name="_1_M2_Pekerjaan_Pengecatan_Dinding_Tembok_Plafond">[45]Analisa!$H$531</definedName>
    <definedName name="_1_M2_Pekerjaan_Pengecatan_Kayu">#REF!</definedName>
    <definedName name="_1_M2_Pekerjaan_Pengecatan_Plafond">#REF!</definedName>
    <definedName name="_1_M2_Pekerjaan_Pengecatan_Tembok">#REF!</definedName>
    <definedName name="_1_M2_Pintu_Panil">#REF!</definedName>
    <definedName name="_1_M2_Plafond_Tripleks_3_mm">#REF!</definedName>
    <definedName name="_1_M2_Plesteran_1_Pc___3_Ps_Tebal_15_mm">[45]Analisa!$H$78</definedName>
    <definedName name="_1_M2_Plesteran_1_Pc___5_Ps_Tebal_15_mm">[45]Analisa!$H$86</definedName>
    <definedName name="_1_M2_Plesteran_Beton_Camp._1___3">#REF!</definedName>
    <definedName name="_1_M2_Plesteran_Dinding_Camp._1___5">#REF!</definedName>
    <definedName name="_1_M2_Residu_Kuda_kuda_Kap_dan_Gording">[45]Analisa!$H$541</definedName>
    <definedName name="_1_M3_Beton_Tumbuk_1_Pc___3_Pc___5_Kr">[45]Analisa!$H$149</definedName>
    <definedName name="_1_M3_Beton_Tumbuk_1_Pc___3_Pc___6_Kr">[45]Analisa!$H$158</definedName>
    <definedName name="_1_M3_Cor_Beton_Bertulang_1_Pc___2_Pc___3_Kr">[45]Analisa!$H$167</definedName>
    <definedName name="_1_M3_Galian_Tanah">#REF!</definedName>
    <definedName name="_1_M3_Galian_Tanah_Biasa">[45]Analisa!$H$15</definedName>
    <definedName name="_1_M3_Kusen_Pintu_dan_Jendela">#REF!</definedName>
    <definedName name="_1_M3_Membuat_Beton_1___2___3">#REF!</definedName>
    <definedName name="_1_M3_Membuat_Kasten_Beton">#REF!</definedName>
    <definedName name="_1_M3_Membuat_Kolom_Beton_15_15__BB___150">#REF!</definedName>
    <definedName name="_1_M3_Membuat_Kolom_Beton_30_30__BB___100">#REF!</definedName>
    <definedName name="_1_M3_Membuat_Sloof_Beton_15_20__BB___150">#REF!</definedName>
    <definedName name="_1_M3_Pasang_Kayu_Gording">#REF!</definedName>
    <definedName name="_1_M3_Pasang_Kusen_Pintu__Jendela_dan_Jalusi">[45]Analisa!$H$264</definedName>
    <definedName name="_1_M3_Pasangan_Batu_Bata._1___5">#REF!</definedName>
    <definedName name="_1_M3_Pasangan_Pondasi_Batu_Kali_1_Pc___5_Ps">[45]Analisa!$H$36</definedName>
    <definedName name="_1_M3_Pasangan_Pondasi_Batu_Kosong">[45]Analisa!$H$45</definedName>
    <definedName name="_1_M3_Pek._Konstruksi_Kuda_kuda__Kap__Gording_dan_Nok">[45]Analisa!$H$396</definedName>
    <definedName name="_1_M3_Pekerjaan_Kolom_30_30__BB___175Kg___Camp._1___2___3">[45]Analisa!$H$241</definedName>
    <definedName name="_1_M3_Pekerjaan_Kolom_40_40__BB___175Kg___Camp._1___2___3">[45]Analisa!$H$246</definedName>
    <definedName name="_1_M3_Pekerjaan_Kolom_Bulat_f___40cm__BB___175Kg___Camp._1___2___3">[45]Analisa!$H$251</definedName>
    <definedName name="_1_M3_Pekerjaan_Kolom_Praktis_15_15__BB___110Kg___Camp._1___2___3">[45]Analisa!$H$229</definedName>
    <definedName name="_1_M3_Pekerjaan_Plat_T___8_cm__BB___110Kg___Camp._1___2___3">[45]Analisa!$H$256</definedName>
    <definedName name="_1_M3_Pekerjaan_Ring_Balk_Praktis_15_20__BB___110Kg___Camp._1___2___3">[45]Analisa!$H$234</definedName>
    <definedName name="_1_M3_Pekerjaan_Sloof_Praktis_15_20__BB___110Kg___Camp._1___2___3">[45]Analisa!$H$224</definedName>
    <definedName name="_1_M3_Urugan_Kembali">[45]Analisa!$H$19</definedName>
    <definedName name="_1_M3_Urugan_Pasir">[45]Analisa!$H$23</definedName>
    <definedName name="_1_M3_Urugan_Tanah">#REF!</definedName>
    <definedName name="_1_Set_Kunci_Tanam_Pintu_Utama">[45]Analisa!$H$562</definedName>
    <definedName name="_1_Set_Memasang_Urinoir_Keramik">[45]Analisa!$H$703</definedName>
    <definedName name="_1_Set_Pemasangan_Wastafel_Dinding">[45]Analisa!$H$667</definedName>
    <definedName name="_12">[3]Rek!#REF!</definedName>
    <definedName name="_123Graph_F" hidden="1">[46]escon!#REF!</definedName>
    <definedName name="_145">[4]ANALISA!#REF!</definedName>
    <definedName name="_150">[4]ANALISA!#REF!</definedName>
    <definedName name="_165">[4]ANALISA!#REF!</definedName>
    <definedName name="_195">[4]ANALISA!#REF!</definedName>
    <definedName name="_2.1">[43]AHS!#REF!</definedName>
    <definedName name="_2.2">[43]AHS!$A$164:$K$216</definedName>
    <definedName name="_2.3.3">[43]AHS!#REF!</definedName>
    <definedName name="_210">[4]ANALISA!#REF!</definedName>
    <definedName name="_245">[4]ANALISA!#REF!</definedName>
    <definedName name="_29_500___hari">'[42]H DSR'!$H$9:$H$130</definedName>
    <definedName name="_3.2.2">[43]AHS!#REF!</definedName>
    <definedName name="_3.3">[43]AHS!#REF!</definedName>
    <definedName name="_345">[3]Rek!#REF!</definedName>
    <definedName name="_5.1">[43]AHS!#REF!</definedName>
    <definedName name="_5.1.2">[43]AHS!#REF!</definedName>
    <definedName name="_5mm">'[47]DAFTAR HARGA'!$H$58</definedName>
    <definedName name="_6.1.1">[43]AHS!#REF!</definedName>
    <definedName name="_67">[3]Rek!#REF!</definedName>
    <definedName name="_7.4">[43]AHS!#REF!</definedName>
    <definedName name="_8">[3]Rek!#REF!</definedName>
    <definedName name="_8.1.7">[43]AHS!#REF!</definedName>
    <definedName name="_AAA200">#REF!</definedName>
    <definedName name="_abu05">'[48]Harga Satuan'!$G$39</definedName>
    <definedName name="_adt34">[28]alat!$J$16</definedName>
    <definedName name="_adt810">[28]alat!$J$17</definedName>
    <definedName name="_Aluminium">'[4]DAFTAR HARGA'!#REF!</definedName>
    <definedName name="_ank275">[29]DivVII!$G$50</definedName>
    <definedName name="_baa1">'[30]Daftar Harga Upah dan Bahan'!$F$35</definedName>
    <definedName name="_batako">[49]MANA!$H$81</definedName>
    <definedName name="_bba12">'[30]Daftar Harga Upah dan Bahan'!$F$55</definedName>
    <definedName name="_bba14">'[30]Daftar Harga Upah dan Bahan'!$F$57</definedName>
    <definedName name="_bba17">'[30]Daftar Harga Upah dan Bahan'!$F$60</definedName>
    <definedName name="_bba2">'[30]Daftar Harga Upah dan Bahan'!$F$44</definedName>
    <definedName name="_bba6">'[30]Daftar Harga Upah dan Bahan'!$F$49</definedName>
    <definedName name="_bca1">'[30]Daftar Harga Upah dan Bahan'!$F$62</definedName>
    <definedName name="_bca3">'[30]Daftar Harga Upah dan Bahan'!$F$64</definedName>
    <definedName name="_bca4">'[30]Daftar Harga Upah dan Bahan'!$F$65</definedName>
    <definedName name="_bca5">'[30]Daftar Harga Upah dan Bahan'!$F$67</definedName>
    <definedName name="_bca6">'[30]Daftar Harga Upah dan Bahan'!$F$68</definedName>
    <definedName name="_bca8">'[30]Daftar Harga Upah dan Bahan'!$F$85</definedName>
    <definedName name="_bda1">'[30]Daftar Harga Upah dan Bahan'!$F$88</definedName>
    <definedName name="_bda10">'[30]Daftar Harga Upah dan Bahan'!$F$97</definedName>
    <definedName name="_bda12">'[30]Daftar Harga Upah dan Bahan'!$F$99</definedName>
    <definedName name="_bda2">'[30]Daftar Harga Upah dan Bahan'!$F$89</definedName>
    <definedName name="_bda22">'[30]Daftar Harga Upah dan Bahan'!$F$109</definedName>
    <definedName name="_bda24">'[30]Daftar Harga Upah dan Bahan'!$F$111</definedName>
    <definedName name="_BDA3">'[30]Daftar Harga Upah dan Bahan'!$F$90</definedName>
    <definedName name="_BDA4">'[30]Daftar Harga Upah dan Bahan'!$F$91</definedName>
    <definedName name="_bda5">'[30]Daftar Harga Upah dan Bahan'!$F$92</definedName>
    <definedName name="_bda6">'[30]Daftar Harga Upah dan Bahan'!$F$93</definedName>
    <definedName name="_bda8">'[30]Daftar Harga Upah dan Bahan'!$F$95</definedName>
    <definedName name="_bda9">'[30]Daftar Harga Upah dan Bahan'!$F$96</definedName>
    <definedName name="_bea1">'[30]Daftar Harga Upah dan Bahan'!$F$117</definedName>
    <definedName name="_bea2">'[30]Daftar Harga Upah dan Bahan'!$F$118</definedName>
    <definedName name="_bea8">'[30]Daftar Harga Upah dan Bahan'!$F$124</definedName>
    <definedName name="_Besiharmonika">'[50]DAFTAR HARGA'!$J$57</definedName>
    <definedName name="_bet123">[51]Analisa!$J$160</definedName>
    <definedName name="_bln2">#REF!</definedName>
    <definedName name="_bpc23">'[16]Upah Bahan'!$F$41</definedName>
    <definedName name="_bpc35">'[16]Upah Bahan'!$F$40</definedName>
    <definedName name="_caa2">'[30]Daftar Harga Upah dan Bahan'!$F$165</definedName>
    <definedName name="_caa3">'[30]Daftar Harga Upah dan Bahan'!$F$166</definedName>
    <definedName name="_caa4">'[30]Daftar Harga Upah dan Bahan'!$F$167</definedName>
    <definedName name="_caa5">'[30]Daftar Harga Upah dan Bahan'!$F$168</definedName>
    <definedName name="_CAN15">[19]Material!#REF!</definedName>
    <definedName name="_cawat">'[47]DAFTAR HARGA'!$H$123</definedName>
    <definedName name="_cis12">#REF!</definedName>
    <definedName name="_cis24">#REF!</definedName>
    <definedName name="_COBA">'[4]DAFTAR HARGA'!#REF!</definedName>
    <definedName name="_DIV1">'[52]Kuantitas &amp; Harga'!$I$28</definedName>
    <definedName name="_DIV10">#REF!</definedName>
    <definedName name="_DIV11">'[52]Kuantitas &amp; Harga'!#REF!</definedName>
    <definedName name="_DIV2">'[52]Kuantitas &amp; Harga'!$I$50</definedName>
    <definedName name="_DIV3">'[52]Kuantitas &amp; Harga'!$I$84</definedName>
    <definedName name="_DIV4">'[52]Kuantitas &amp; Harga'!$I$99</definedName>
    <definedName name="_DIV5">'[52]Kuantitas &amp; Harga'!$I$118</definedName>
    <definedName name="_DIV6">'[52]Kuantitas &amp; Harga'!$I$150</definedName>
    <definedName name="_DIV7">'[52]Kuantitas &amp; Harga'!$I$294</definedName>
    <definedName name="_DIV8">'[52]Kuantitas &amp; Harga'!$I$351</definedName>
    <definedName name="_DIV9">'[52]Kuantitas &amp; Harga'!$I$378</definedName>
    <definedName name="_down_light">'[4]DAFTAR HARGA'!#REF!</definedName>
    <definedName name="_dum35">[16]Sheet1!$Q$26</definedName>
    <definedName name="_EEE01">#REF!</definedName>
    <definedName name="_EEE02">#REF!</definedName>
    <definedName name="_EEE03">#REF!</definedName>
    <definedName name="_EEE04">#REF!</definedName>
    <definedName name="_EEE05">#REF!</definedName>
    <definedName name="_EEE06">#REF!</definedName>
    <definedName name="_EEE07">#REF!</definedName>
    <definedName name="_EEE08">#REF!</definedName>
    <definedName name="_EEE09">#REF!</definedName>
    <definedName name="_EEE10">#REF!</definedName>
    <definedName name="_EEE11">#REF!</definedName>
    <definedName name="_EEE12">#REF!</definedName>
    <definedName name="_EEE13">#REF!</definedName>
    <definedName name="_EEE14">#REF!</definedName>
    <definedName name="_EEE15">#REF!</definedName>
    <definedName name="_EEE16">#REF!</definedName>
    <definedName name="_EEE17">#REF!</definedName>
    <definedName name="_EEE18">#REF!</definedName>
    <definedName name="_EEE19">#REF!</definedName>
    <definedName name="_EEE20">#REF!</definedName>
    <definedName name="_EEE21">#REF!</definedName>
    <definedName name="_EEE22">#REF!</definedName>
    <definedName name="_EEE23">'[53]5-ALAT(1)-b'!$AX$30</definedName>
    <definedName name="_EEE24">#REF!</definedName>
    <definedName name="_EEE25">#REF!</definedName>
    <definedName name="_EEE26">#REF!</definedName>
    <definedName name="_EEE27">#REF!</definedName>
    <definedName name="_EEE28">#REF!</definedName>
    <definedName name="_EEE29">#REF!</definedName>
    <definedName name="_EEE30">#REF!</definedName>
    <definedName name="_EEE31">#REF!</definedName>
    <definedName name="_EEE32">#REF!</definedName>
    <definedName name="_EEE33">#REF!</definedName>
    <definedName name="_engsel">[49]MANA!$H$41</definedName>
    <definedName name="_fib6">#REF!</definedName>
    <definedName name="_fiber">'[4]DAFTAR HARGA'!#REF!</definedName>
    <definedName name="_Fill" hidden="1">[54]Analisa!$A$62:$A$85</definedName>
    <definedName name="_xlnm._FilterDatabase" hidden="1">'[55]HRG BAHAN &amp; UPAH okk'!#REF!</definedName>
    <definedName name="_gip4">'[56]Daftar Harga'!$E$69</definedName>
    <definedName name="_Gypsun">'[4]DAFTAR HARGA'!#REF!</definedName>
    <definedName name="_HAL1">#REF!</definedName>
    <definedName name="_HAL2">#REF!</definedName>
    <definedName name="_HAL3">#REF!</definedName>
    <definedName name="_HAL4">#REF!</definedName>
    <definedName name="_HAL5">#REF!</definedName>
    <definedName name="_HAL6">#REF!</definedName>
    <definedName name="_HAL7">#REF!</definedName>
    <definedName name="_HAL8">#REF!</definedName>
    <definedName name="_hpp2">'[20]Man Power'!$L$10:$L$45</definedName>
    <definedName name="_INF1">[57]INF!$E$4</definedName>
    <definedName name="_INF2">[57]INF!$E$5</definedName>
    <definedName name="_INF3">[57]INF!$E$6</definedName>
    <definedName name="_INF4">[57]INF!$E$7</definedName>
    <definedName name="_JPJ2">[21]CORAT!#REF!</definedName>
    <definedName name="_jum1">#REF!</definedName>
    <definedName name="_jum10">#REF!</definedName>
    <definedName name="_jum2">#REF!</definedName>
    <definedName name="_jum3">#REF!</definedName>
    <definedName name="_jum4">#REF!</definedName>
    <definedName name="_jum5">#REF!</definedName>
    <definedName name="_jum6">#REF!</definedName>
    <definedName name="_jum7">#REF!</definedName>
    <definedName name="_jum8">#REF!</definedName>
    <definedName name="_jum9">#REF!</definedName>
    <definedName name="_kapur">'[4]DAFTAR HARGA'!#REF!</definedName>
    <definedName name="_kawat_las">'[4]DAFTAR HARGA'!#REF!</definedName>
    <definedName name="_kb3">'[58] HARGA'!$H$55</definedName>
    <definedName name="_kb5">'[36] HARGA'!$H$54</definedName>
    <definedName name="_kerikil">'[50]DAFTAR HARGA'!$J$30</definedName>
    <definedName name="_Key1" hidden="1">'[59]Satuan Dasar'!#REF!</definedName>
    <definedName name="_Key2" hidden="1">#REF!</definedName>
    <definedName name="_LLL01">#REF!</definedName>
    <definedName name="_LLL02">#REF!</definedName>
    <definedName name="_LLL03">#REF!</definedName>
    <definedName name="_LLL04">#REF!</definedName>
    <definedName name="_LLL05">#REF!</definedName>
    <definedName name="_LLL06">#REF!</definedName>
    <definedName name="_LLL07">#REF!</definedName>
    <definedName name="_LLL08">#REF!</definedName>
    <definedName name="_LLL09">#REF!</definedName>
    <definedName name="_LLL10">#REF!</definedName>
    <definedName name="_LLL11">#REF!</definedName>
    <definedName name="_loster">'[60]DAFTAR HARGA'!#REF!</definedName>
    <definedName name="_m2">'[22]Man Power &amp; Comp'!$J$10:$J$45</definedName>
    <definedName name="_m3">'[22]Man Power &amp; Comp'!$J$10:$J$45</definedName>
    <definedName name="_m45">'[22]Man Power &amp; Comp'!$L$10:$L$45</definedName>
    <definedName name="_m47">'[22]Man Power &amp; Comp'!$M$10:$M$45</definedName>
    <definedName name="_m5">'[22]Man Power &amp; Comp'!$J$10:$J$45</definedName>
    <definedName name="_m54">'[22]Man Power &amp; Comp'!$J$10:$J$45</definedName>
    <definedName name="_m55">'[22]Man Power &amp; Comp'!$J$10:$J$45</definedName>
    <definedName name="_m65">'[22]Man Power &amp; Comp'!$J$10:$J$45</definedName>
    <definedName name="_m75">'[22]Man Power &amp; Comp'!$N$10:$N$45</definedName>
    <definedName name="_m85">'[22]Man Power &amp; Comp'!$J$10:$J$45</definedName>
    <definedName name="_m86">'[22]Man Power &amp; Comp'!$J$10:$J$45</definedName>
    <definedName name="_m87">'[23]Man Power &amp; Comp'!$J$10:$J$45</definedName>
    <definedName name="_mandor">[49]MANA!$H$16</definedName>
    <definedName name="_mat1">#REF!</definedName>
    <definedName name="_mat2">#REF!</definedName>
    <definedName name="_MDE01">#REF!</definedName>
    <definedName name="_MDE02">#REF!</definedName>
    <definedName name="_MDE03">#REF!</definedName>
    <definedName name="_MDE04">#REF!</definedName>
    <definedName name="_MDE05">#REF!</definedName>
    <definedName name="_MDE06">#REF!</definedName>
    <definedName name="_MDE07">#REF!</definedName>
    <definedName name="_MDE08">#REF!</definedName>
    <definedName name="_MDE09">#REF!</definedName>
    <definedName name="_MDE10">#REF!</definedName>
    <definedName name="_MDE11">#REF!</definedName>
    <definedName name="_MDE12">#REF!</definedName>
    <definedName name="_MDE13">#REF!</definedName>
    <definedName name="_MDE14">#REF!</definedName>
    <definedName name="_MDE15">#REF!</definedName>
    <definedName name="_MDE16">#REF!</definedName>
    <definedName name="_MDE17">#REF!</definedName>
    <definedName name="_MDE18">#REF!</definedName>
    <definedName name="_MDE19">#REF!</definedName>
    <definedName name="_MDE20">#REF!</definedName>
    <definedName name="_MDE21">#REF!</definedName>
    <definedName name="_MDE22">#REF!</definedName>
    <definedName name="_MDE23">#REF!</definedName>
    <definedName name="_MDE24">#REF!</definedName>
    <definedName name="_MDE25">#REF!</definedName>
    <definedName name="_MDE26">#REF!</definedName>
    <definedName name="_MDE27">#REF!</definedName>
    <definedName name="_MDE28">#REF!</definedName>
    <definedName name="_MDE29">#REF!</definedName>
    <definedName name="_MDE30">#REF!</definedName>
    <definedName name="_MDE31">#REF!</definedName>
    <definedName name="_MDE32">#REF!</definedName>
    <definedName name="_MDE33">#REF!</definedName>
    <definedName name="_MDE34">#REF!</definedName>
    <definedName name="_MDE35">#REF!</definedName>
    <definedName name="_MDE36">#REF!</definedName>
    <definedName name="_MDE37">#REF!</definedName>
    <definedName name="_MDE38">#REF!</definedName>
    <definedName name="_MDE39">#REF!</definedName>
    <definedName name="_MDE40">#REF!</definedName>
    <definedName name="_MDE41">#REF!</definedName>
    <definedName name="_MDE42">#REF!</definedName>
    <definedName name="_MDE43">#REF!</definedName>
    <definedName name="_MDE44">#REF!</definedName>
    <definedName name="_MDE45">#REF!</definedName>
    <definedName name="_MDE46">#REF!</definedName>
    <definedName name="_MDE47">#REF!</definedName>
    <definedName name="_MDE48">#REF!</definedName>
    <definedName name="_MDE49">#REF!</definedName>
    <definedName name="_MDE50">#REF!</definedName>
    <definedName name="_MDE51">#REF!</definedName>
    <definedName name="_MDE52">#REF!</definedName>
    <definedName name="_MDE53">#REF!</definedName>
    <definedName name="_MDE54">#REF!</definedName>
    <definedName name="_MDE55">#REF!</definedName>
    <definedName name="_MDE56">#REF!</definedName>
    <definedName name="_MDE57">#REF!</definedName>
    <definedName name="_MDE58">#REF!</definedName>
    <definedName name="_MDE59">#REF!</definedName>
    <definedName name="_MDE60">#REF!</definedName>
    <definedName name="_MDE61">#REF!</definedName>
    <definedName name="_MDE62">#REF!</definedName>
    <definedName name="_MDE63">#REF!</definedName>
    <definedName name="_MDE64">#REF!</definedName>
    <definedName name="_MDE65">#REF!</definedName>
    <definedName name="_MDE66">#REF!</definedName>
    <definedName name="_MDE67">#REF!</definedName>
    <definedName name="_MDE68">#REF!</definedName>
    <definedName name="_ME01">#REF!</definedName>
    <definedName name="_ME02">#REF!</definedName>
    <definedName name="_ME03">#REF!</definedName>
    <definedName name="_ME04">#REF!</definedName>
    <definedName name="_ME05">#REF!</definedName>
    <definedName name="_ME06">#REF!</definedName>
    <definedName name="_ME07">#REF!</definedName>
    <definedName name="_ME08">#REF!</definedName>
    <definedName name="_ME09">#REF!</definedName>
    <definedName name="_ME10">#REF!</definedName>
    <definedName name="_ME11">#REF!</definedName>
    <definedName name="_ME12">#REF!</definedName>
    <definedName name="_ME13">#REF!</definedName>
    <definedName name="_ME14">#REF!</definedName>
    <definedName name="_ME15">#REF!</definedName>
    <definedName name="_ME16">#REF!</definedName>
    <definedName name="_ME17">#REF!</definedName>
    <definedName name="_ME18">#REF!</definedName>
    <definedName name="_ME19">#REF!</definedName>
    <definedName name="_ME20">#REF!</definedName>
    <definedName name="_ME21">#REF!</definedName>
    <definedName name="_ME22">#REF!</definedName>
    <definedName name="_ME23">#REF!</definedName>
    <definedName name="_ME24">#REF!</definedName>
    <definedName name="_ME25">#REF!</definedName>
    <definedName name="_ME26">#REF!</definedName>
    <definedName name="_ME27">#REF!</definedName>
    <definedName name="_ME28">#REF!</definedName>
    <definedName name="_ME29">#REF!</definedName>
    <definedName name="_ME30">#REF!</definedName>
    <definedName name="_ME31">#REF!</definedName>
    <definedName name="_ME32">#REF!</definedName>
    <definedName name="_ME33">#REF!</definedName>
    <definedName name="_ME34">#REF!</definedName>
    <definedName name="_ME35">#REF!</definedName>
    <definedName name="_ME36">#REF!</definedName>
    <definedName name="_ME37">#REF!</definedName>
    <definedName name="_ME38">#REF!</definedName>
    <definedName name="_ME39">#REF!</definedName>
    <definedName name="_ME40">#REF!</definedName>
    <definedName name="_ME41">#REF!</definedName>
    <definedName name="_ME42">#REF!</definedName>
    <definedName name="_ME43">#REF!</definedName>
    <definedName name="_ME44">#REF!</definedName>
    <definedName name="_ME45">#REF!</definedName>
    <definedName name="_ME46">#REF!</definedName>
    <definedName name="_ME47">#REF!</definedName>
    <definedName name="_ME48">#REF!</definedName>
    <definedName name="_ME49">#REF!</definedName>
    <definedName name="_ME50">#REF!</definedName>
    <definedName name="_ME51">#REF!</definedName>
    <definedName name="_ME52">#REF!</definedName>
    <definedName name="_ME53">#REF!</definedName>
    <definedName name="_ME54">#REF!</definedName>
    <definedName name="_ME55">#REF!</definedName>
    <definedName name="_ME56">#REF!</definedName>
    <definedName name="_ME57">#REF!</definedName>
    <definedName name="_ME58">#REF!</definedName>
    <definedName name="_ME59">#REF!</definedName>
    <definedName name="_ME60">#REF!</definedName>
    <definedName name="_ME61">#REF!</definedName>
    <definedName name="_ME62">#REF!</definedName>
    <definedName name="_ME63">#REF!</definedName>
    <definedName name="_ME64">#REF!</definedName>
    <definedName name="_ME65">#REF!</definedName>
    <definedName name="_ME66">#REF!</definedName>
    <definedName name="_ME67">#REF!</definedName>
    <definedName name="_ME68">#REF!</definedName>
    <definedName name="_MMM01">#REF!</definedName>
    <definedName name="_MMM02">#REF!</definedName>
    <definedName name="_MMM03">#REF!</definedName>
    <definedName name="_MMM04">#REF!</definedName>
    <definedName name="_MMM05">#REF!</definedName>
    <definedName name="_MMM06">#REF!</definedName>
    <definedName name="_MMM07">#REF!</definedName>
    <definedName name="_MMM08">#REF!</definedName>
    <definedName name="_MMM09">#REF!</definedName>
    <definedName name="_MMM10">#REF!</definedName>
    <definedName name="_MMM11">#REF!</definedName>
    <definedName name="_MMM12">#REF!</definedName>
    <definedName name="_MMM13">#REF!</definedName>
    <definedName name="_MMM14">#REF!</definedName>
    <definedName name="_MMM15">#REF!</definedName>
    <definedName name="_MMM16">#REF!</definedName>
    <definedName name="_MMM17">#REF!</definedName>
    <definedName name="_MMM18">#REF!</definedName>
    <definedName name="_MMM19">#REF!</definedName>
    <definedName name="_MMM20">#REF!</definedName>
    <definedName name="_MMM21">#REF!</definedName>
    <definedName name="_MMM22">#REF!</definedName>
    <definedName name="_MMM23">#REF!</definedName>
    <definedName name="_MMM24">#REF!</definedName>
    <definedName name="_MMM25">#REF!</definedName>
    <definedName name="_MMM26">#REF!</definedName>
    <definedName name="_MMM27">#REF!</definedName>
    <definedName name="_MMM28">#REF!</definedName>
    <definedName name="_MMM29">#REF!</definedName>
    <definedName name="_MMM30">#REF!</definedName>
    <definedName name="_MMM31">#REF!</definedName>
    <definedName name="_MMM32">#REF!</definedName>
    <definedName name="_MMM33">#REF!</definedName>
    <definedName name="_MMM34">#REF!</definedName>
    <definedName name="_MMM35">#REF!</definedName>
    <definedName name="_MMM36">#REF!</definedName>
    <definedName name="_MMM37">#REF!</definedName>
    <definedName name="_MMM38">#REF!</definedName>
    <definedName name="_MMM39">#REF!</definedName>
    <definedName name="_MMM40">#REF!</definedName>
    <definedName name="_MMM41">#REF!</definedName>
    <definedName name="_MMM411">#REF!</definedName>
    <definedName name="_MMM42">#REF!</definedName>
    <definedName name="_MMM43">#REF!</definedName>
    <definedName name="_MMM44">#REF!</definedName>
    <definedName name="_MMM45">#REF!</definedName>
    <definedName name="_MMM46">#REF!</definedName>
    <definedName name="_MMM47">#REF!</definedName>
    <definedName name="_MMM48">#REF!</definedName>
    <definedName name="_MMM49">#REF!</definedName>
    <definedName name="_MMM50">#REF!</definedName>
    <definedName name="_MMM51">#REF!</definedName>
    <definedName name="_MMM52">#REF!</definedName>
    <definedName name="_MMM53">#REF!</definedName>
    <definedName name="_MMM54">#REF!</definedName>
    <definedName name="_moh1">'[22]Man Power &amp; Comp'!$J$10:$J$45</definedName>
    <definedName name="_mon5">'[22]Man Power &amp; Comp'!$S$10:$S$45</definedName>
    <definedName name="_mot4">'[22]Man Power &amp; Comp'!$J$10:$J$45</definedName>
    <definedName name="_MR010">'[61]HARGA SATUAN BAHAN'!$G$13</definedName>
    <definedName name="_MR011">'[61]HARGA SATUAN BAHAN'!$G$15</definedName>
    <definedName name="_MR012">'[61]HARGA SATUAN BAHAN'!$G$14</definedName>
    <definedName name="_multiplex">'[4]DAFTAR HARGA'!#REF!</definedName>
    <definedName name="_NYA1">[11]Upah!#REF!</definedName>
    <definedName name="_NYA2">[11]Upah!#REF!</definedName>
    <definedName name="_operator">'[50]DAFTAR HARGA'!$J$27</definedName>
    <definedName name="_Order1" hidden="1">255</definedName>
    <definedName name="_Order2" hidden="1">0</definedName>
    <definedName name="_PA1">#REF!</definedName>
    <definedName name="_pa10">'[30]Daftar Harga Upah dan Bahan'!$F$189</definedName>
    <definedName name="_pa11">'[30]Daftar Harga Upah dan Bahan'!$F$190</definedName>
    <definedName name="_pa12">'[30]Daftar Harga Upah dan Bahan'!$F$191</definedName>
    <definedName name="_pa13">'[30]Daftar Harga Upah dan Bahan'!$F$192</definedName>
    <definedName name="_PA2">#REF!</definedName>
    <definedName name="_PA3">#REF!</definedName>
    <definedName name="_pa7">'[30]Daftar Harga Upah dan Bahan'!$F$186</definedName>
    <definedName name="_pa8">'[30]Daftar Harga Upah dan Bahan'!$F$187</definedName>
    <definedName name="_pa9">'[30]Daftar Harga Upah dan Bahan'!$F$188</definedName>
    <definedName name="_paku">[49]MANA!$H$37</definedName>
    <definedName name="_pek1">'[62]H. Satuan TK'!$F$14</definedName>
    <definedName name="_pekerja">[49]MANA!$H$15</definedName>
    <definedName name="_plamir">[49]MANA!$H$67</definedName>
    <definedName name="_pos1">#REF!</definedName>
    <definedName name="_PPN10">#REF!</definedName>
    <definedName name="_pt6">[24]LG!$H$20</definedName>
    <definedName name="_pt66">#REF!</definedName>
    <definedName name="_pt75">#REF!</definedName>
    <definedName name="_pt9">'[25]Cabling Survey'!#REF!</definedName>
    <definedName name="_pt95">#REF!</definedName>
    <definedName name="_PVC05">#REF!</definedName>
    <definedName name="_PVC075">#REF!</definedName>
    <definedName name="_PVC1">'[63]Analisa Upah Bahan'!#REF!</definedName>
    <definedName name="_PVC15">#REF!</definedName>
    <definedName name="_PVC2">'[63]Analisa Upah Bahan'!#REF!</definedName>
    <definedName name="_PVC3">'[63]Analisa Upah Bahan'!#REF!</definedName>
    <definedName name="_PVC4">'[63]Analisa Upah Bahan'!#REF!</definedName>
    <definedName name="_rabat">'[64]SNI JUGA'!#REF!</definedName>
    <definedName name="_rcp100">#REF!</definedName>
    <definedName name="_rcp60">#REF!</definedName>
    <definedName name="_rooldoor">'[50]DAFTAR HARGA'!$J$56</definedName>
    <definedName name="_Rp1" localSheetId="3">[239]Lembar1!$D$34</definedName>
    <definedName name="_Rp1" localSheetId="2">[239]Lembar1!$D$34</definedName>
    <definedName name="_Rp1">[39]Lembar1!$D$34</definedName>
    <definedName name="_sc175">'[65]UP MINOR'!$C$22</definedName>
    <definedName name="_sekring">'[4]DAFTAR HARGA'!#REF!</definedName>
    <definedName name="_septik">[49]MANA!$H$76</definedName>
    <definedName name="_sl18">'[36] HARGA'!$H$78</definedName>
    <definedName name="_Sort" hidden="1">#REF!</definedName>
    <definedName name="_teer">[49]MANA!$H$70</definedName>
    <definedName name="_TL20">[66]HARGA!$F$75</definedName>
    <definedName name="_TL40">[66]HARGA!$F$76</definedName>
    <definedName name="_tok2">#REF!</definedName>
    <definedName name="_triplex">'[4]DAFTAR HARGA'!#REF!</definedName>
    <definedName name="_tukang">[49]MANA!$H$13</definedName>
    <definedName name="_UA01">'[67]SEWA ALAT'!$AZ$8</definedName>
    <definedName name="_UA02">'[67]SEWA ALAT'!$AZ$9</definedName>
    <definedName name="_UA1">'[30]Daftar Harga Upah dan Bahan'!$F$14</definedName>
    <definedName name="_ua15">'[30]Daftar Harga Upah dan Bahan'!$F$31</definedName>
    <definedName name="_UA2">'[30]Daftar Harga Upah dan Bahan'!$F$15</definedName>
    <definedName name="_UA3">'[30]Daftar Harga Upah dan Bahan'!$F$18</definedName>
    <definedName name="_UA4">'[30]Daftar Harga Upah dan Bahan'!$F$19</definedName>
    <definedName name="_UA5">'[30]Daftar Harga Upah dan Bahan'!$F$20</definedName>
    <definedName name="_UA6">'[30]Daftar Harga Upah dan Bahan'!$F$21</definedName>
    <definedName name="_UA7">'[30]Daftar Harga Upah dan Bahan'!$F$22</definedName>
    <definedName name="_UA8">'[30]Daftar Harga Upah dan Bahan'!$F$24</definedName>
    <definedName name="_uph1">[26]FORM1!$AU$67</definedName>
    <definedName name="_uph3">[26]FORM1!$AU$70</definedName>
    <definedName name="_ups2">#REF!</definedName>
    <definedName name="_utp6">#REF!</definedName>
    <definedName name="_WF32">[19]Material!#REF!</definedName>
    <definedName name="_WF42">[19]Material!#REF!</definedName>
    <definedName name="_XL40">[66]HARGA!$F$77</definedName>
    <definedName name="a">#REF!</definedName>
    <definedName name="A_METER">[68]Daftar_Harga_BAHAN_UPAH!#REF!</definedName>
    <definedName name="AA">#REF!</definedName>
    <definedName name="AAA">'[69]BAJA TUL'!#REF!</definedName>
    <definedName name="AAADD">[70]UPAH!$E$293</definedName>
    <definedName name="AADADQ">[70]UPAH!$E$298</definedName>
    <definedName name="Ab">#REF!</definedName>
    <definedName name="abantu">[71]Upah!$F$77</definedName>
    <definedName name="ABC">#REF!</definedName>
    <definedName name="ABCD">#REF!</definedName>
    <definedName name="ABCDE">#REF!</definedName>
    <definedName name="ABCDEF">#REF!</definedName>
    <definedName name="abmobilsasi">[72]divI!$G$52</definedName>
    <definedName name="ac">'[48]Harga Satuan'!$G$17</definedName>
    <definedName name="acdb" hidden="1">#REF!</definedName>
    <definedName name="ACDS" hidden="1">#REF!</definedName>
    <definedName name="aci">[51]Analisa!$J$95</definedName>
    <definedName name="ACIAN">[66]ANALISA!$L$84</definedName>
    <definedName name="ACIAN_TALUD">'[68]volume pekerjaan'!$G$38</definedName>
    <definedName name="AcianKapur_1_7">'[63]Analisa Upah Bahan'!$J$149</definedName>
    <definedName name="AcianSemen">'[63]Analisa Upah Bahan'!$J$157</definedName>
    <definedName name="ad">#REF!</definedName>
    <definedName name="ADADADAD">[70]UPAH!$E$9</definedName>
    <definedName name="adm">#REF!</definedName>
    <definedName name="ads" hidden="1">#REF!</definedName>
    <definedName name="aexcavator">[28]alat!$J$18</definedName>
    <definedName name="af">'[73]Man Power'!$J$10:$J$45</definedName>
    <definedName name="Aftuner">[45]Harga!$H$99</definedName>
    <definedName name="agelombang">[74]Upah!$F$35</definedName>
    <definedName name="aggrekunci">[75]bahan!$G$16</definedName>
    <definedName name="aggretutup">[75]bahan!$G$15</definedName>
    <definedName name="AGREGAT">#REF!</definedName>
    <definedName name="AGREGAT_HALUS">[76]HARGA!$I$24</definedName>
    <definedName name="AGREGAT_KASAR">[76]HARGA!$I$23</definedName>
    <definedName name="AGREGATA">#REF!</definedName>
    <definedName name="AGREGATB">#REF!</definedName>
    <definedName name="AGREGATC">#REF!</definedName>
    <definedName name="ahs">#REF!</definedName>
    <definedName name="AHS.Rev1">'[77]BQ-E20-02(Rp)'!$B$14:$I$230</definedName>
    <definedName name="AIR">#REF!</definedName>
    <definedName name="Air_valve">'[78]Harga Bahan'!#REF!</definedName>
    <definedName name="Air_volve">'[78]Harga Bahan'!#REF!</definedName>
    <definedName name="airkran">[51]Analisa!$J$465</definedName>
    <definedName name="airtalang">[51]Analisa!$J$301</definedName>
    <definedName name="ak">'[73]Man Power'!$J$10:$J$45</definedName>
    <definedName name="AKHIR">'[66]R A B'!#REF!</definedName>
    <definedName name="akom">#REF!</definedName>
    <definedName name="aktif">#REF!</definedName>
    <definedName name="al">'[79]Bangunan Utama'!$AL$17</definedName>
    <definedName name="ALAT">[80]S_DAYA!$C$95:$E$142</definedName>
    <definedName name="ALAT_BANTU">#REF!</definedName>
    <definedName name="alatbantu">'[81]Harga Satuan'!$L$77</definedName>
    <definedName name="alatku">[82]ALT!$AO$8:$AZ$46</definedName>
    <definedName name="ALATPENGGANTUNG">'[66]R A B'!#REF!</definedName>
    <definedName name="ALATUTAMA">#REF!</definedName>
    <definedName name="all">#REF!</definedName>
    <definedName name="All_overflow">'[78]Harga Bahan'!#REF!</definedName>
    <definedName name="All_Overflow_3">'[78]Harga Bahan'!#REF!</definedName>
    <definedName name="ALT">[43]AHS!#REF!</definedName>
    <definedName name="alum">[83]Hb!$K$34</definedName>
    <definedName name="ALUMINIUM">[66]HARGA!$F$28</definedName>
    <definedName name="Aluminium_sheet">'[84] Upah'!$I$58</definedName>
    <definedName name="ALVO">[19]Material!#REF!</definedName>
    <definedName name="am">'[85]Harga Satuan'!$H$34</definedName>
    <definedName name="Am_30_Mortal_Flex">'[78]Harga Bahan'!#REF!</definedName>
    <definedName name="AMAND">'[86]BAJA TUL'!$E$11</definedName>
    <definedName name="AMIN">#REF!</definedName>
    <definedName name="AMP">#REF!</definedName>
    <definedName name="amplas">[38]Upah!$J$66</definedName>
    <definedName name="ANAL">[87]UPAH!#REF!</definedName>
    <definedName name="ANALISA">#REF!</definedName>
    <definedName name="Analisa_EI_612">[88]DivVI!$F$71</definedName>
    <definedName name="Analisa_EI_633">[88]DivVI!$F$141</definedName>
    <definedName name="Analisa_EI_635">#REF!</definedName>
    <definedName name="Analisa_EI_636">#REF!</definedName>
    <definedName name="ANALISA_PIPA_CHILLER">#REF!</definedName>
    <definedName name="Analisa101A">[89]Sheet1!$U$51</definedName>
    <definedName name="Analisa101B">[89]Sheet1!$U$231</definedName>
    <definedName name="Analisa101C">[89]Sheet1!$U$410</definedName>
    <definedName name="Analisa101D">[89]Sheet1!$U$589</definedName>
    <definedName name="Analisa101E">[89]Sheet1!$U$768</definedName>
    <definedName name="anatb">#REF!</definedName>
    <definedName name="anginhag">[51]Analisa!$J$508</definedName>
    <definedName name="angka">[90]Terbilang!$H$2:$I$21</definedName>
    <definedName name="angkutgip10">[74]Upah!$F$88</definedName>
    <definedName name="angkutgip12">[74]Upah!$F$87</definedName>
    <definedName name="angkutgip4">[74]Upah!$F$91</definedName>
    <definedName name="angkutgip6">[74]Upah!$F$90</definedName>
    <definedName name="angkutgip8">[74]Upah!$F$89</definedName>
    <definedName name="angsa">#REF!</definedName>
    <definedName name="ank">[91]DivVII!$G$50</definedName>
    <definedName name="Anl">[92]Anl!$A$9:$P$860</definedName>
    <definedName name="anlapen">#REF!</definedName>
    <definedName name="anlaston4">#REF!</definedName>
    <definedName name="anlatasbusir">#REF!</definedName>
    <definedName name="anlataston">#REF!</definedName>
    <definedName name="anlpsresap">#REF!</definedName>
    <definedName name="anperekat">#REF!</definedName>
    <definedName name="aq">'[73]Man Power'!$M$10:$M$45</definedName>
    <definedName name="ARIAL">#REF!</definedName>
    <definedName name="as">[93]umum!$A:$IV</definedName>
    <definedName name="ASASASSJ">#REF!</definedName>
    <definedName name="asbes">[71]Upah!$F$61</definedName>
    <definedName name="asdf">'[94]Analisa HSP'!$U$231</definedName>
    <definedName name="ASDSDSDS">[70]UPAH!$E$8</definedName>
    <definedName name="ASPAL">#REF!</definedName>
    <definedName name="ASPAL_FINISER">[76]HARGA!$T$17</definedName>
    <definedName name="ASPAL_SPRAYER">[76]HARGA!$T$20</definedName>
    <definedName name="aspalcurah">[95]bahan!$G$57</definedName>
    <definedName name="aspalt">[95]bahan!$G$18</definedName>
    <definedName name="asphalt">#REF!</definedName>
    <definedName name="Asphalt_cuter">#REF!</definedName>
    <definedName name="Asphalt_finisher">#REF!</definedName>
    <definedName name="ASRAMA">#REF!</definedName>
    <definedName name="assdertre">'[94]Analisa HSP'!$U$410</definedName>
    <definedName name="asuransi">#REF!</definedName>
    <definedName name="asw">[93]boq!#REF!</definedName>
    <definedName name="ATAP_AL">#REF!</definedName>
    <definedName name="Atap_Plastik_Gelombang">#REF!</definedName>
    <definedName name="ATAP_SENG">#REF!</definedName>
    <definedName name="atap_spandek">'[50]DAFTAR HARGA'!$J$54</definedName>
    <definedName name="ATAPGENTENG">[66]ANALISA!#REF!</definedName>
    <definedName name="atapseng">[66]ANALISA!$L$365</definedName>
    <definedName name="ATB">[43]AHS!#REF!</definedName>
    <definedName name="atbpat">'[96]Unit Price'!#REF!</definedName>
    <definedName name="awloader">[28]alat!$J$23</definedName>
    <definedName name="b" hidden="1">'[97]EE-PROP'!#REF!</definedName>
    <definedName name="B.Aparatur">#REF!</definedName>
    <definedName name="B.Publik">#REF!</definedName>
    <definedName name="B_BalokG1_lt2">'[98]Analisa Harga Satuan'!$G$780</definedName>
    <definedName name="B_KolomK1_ds2">'[98]Analisa Harga Satuan'!$G$526</definedName>
    <definedName name="B_S1">'[98]Analisa Harga Satuan'!$G$495</definedName>
    <definedName name="B_Sloof">'[98]Analisa Harga Satuan'!$G$508</definedName>
    <definedName name="B1_">'[42]H DSR'!$B$29:$H$29</definedName>
    <definedName name="B10_">'[42]H DSR'!$B$38:$H$38</definedName>
    <definedName name="B11_">'[42]H DSR'!$B$39:$H$39</definedName>
    <definedName name="B12_">'[42]H DSR'!$B$40:$H$40</definedName>
    <definedName name="B13_">'[42]H DSR'!$B$41:$H$41</definedName>
    <definedName name="B14_">'[42]H DSR'!$B$42:$H$42</definedName>
    <definedName name="B15_">'[42]H DSR'!$B$43:$H$43</definedName>
    <definedName name="B16_">'[42]H DSR'!$B$44:$H$44</definedName>
    <definedName name="B17_">'[42]H DSR'!$B$45:$H$45</definedName>
    <definedName name="B18_">'[42]H DSR'!$B$46:$H$46</definedName>
    <definedName name="B19_">'[42]H DSR'!$B$47:$H$47</definedName>
    <definedName name="B2_">'[42]H DSR'!$B$30:$H$30</definedName>
    <definedName name="B20_">'[42]H DSR'!$B$48:$H$48</definedName>
    <definedName name="B21_">'[42]H DSR'!$B$49:$H$49</definedName>
    <definedName name="B22_">'[42]H DSR'!$B$59:$H$59</definedName>
    <definedName name="B23_">'[42]H DSR'!$B$60:$H$60</definedName>
    <definedName name="B24_">'[42]H DSR'!$B$61:$H$61</definedName>
    <definedName name="B25_">'[42]H DSR'!$B$62:$H$62</definedName>
    <definedName name="B26_">'[42]H DSR'!$B$63:$H$63</definedName>
    <definedName name="B27_">'[42]H DSR'!$B$64:$H$64</definedName>
    <definedName name="B28_">'[42]H DSR'!$B$65:$H$65</definedName>
    <definedName name="B29_">'[42]H DSR'!$B$66:$H$66</definedName>
    <definedName name="B3_">'[42]H DSR'!$B$31:$H$31</definedName>
    <definedName name="B30_">'[42]H DSR'!$B$67:$H$67</definedName>
    <definedName name="B31_">'[42]H DSR'!$B$68:$H$68</definedName>
    <definedName name="B32_">'[42]H DSR'!$B$69:$H$69</definedName>
    <definedName name="B33_">'[42]H DSR'!$B$70:$H$70</definedName>
    <definedName name="B34_">'[42]H DSR'!$B$71:$H$71</definedName>
    <definedName name="B35_">'[42]H DSR'!$B$72:$H$72</definedName>
    <definedName name="B36_">'[42]H DSR'!$B$73:$H$73</definedName>
    <definedName name="B37_">'[42]H DSR'!$B$74:$H$74</definedName>
    <definedName name="B38_">'[42]H DSR'!$B$75:$H$75</definedName>
    <definedName name="B39_">'[42]H DSR'!$B$76:$H$76</definedName>
    <definedName name="B4_">'[42]H DSR'!$B$32:$H$32</definedName>
    <definedName name="B40_">'[42]H DSR'!$B$77:$H$77</definedName>
    <definedName name="B41_">'[42]H DSR'!$B$87:$H$87</definedName>
    <definedName name="B42_">'[42]H DSR'!$B$88:$H$88</definedName>
    <definedName name="B43_">'[42]H DSR'!$B$89:$H$89</definedName>
    <definedName name="B44_">'[42]H DSR'!$B$90:$H$90</definedName>
    <definedName name="B45_">'[42]H DSR'!$B$91:$H$91</definedName>
    <definedName name="B46_">'[42]H DSR'!$B$92:$H$92</definedName>
    <definedName name="B47_">'[42]H DSR'!$B$93:$H$93</definedName>
    <definedName name="B48_">'[42]H DSR'!$B$94:$H$94</definedName>
    <definedName name="B49_">'[42]H DSR'!$B$95:$H$95</definedName>
    <definedName name="B5_">'[42]H DSR'!$B$33:$H$33</definedName>
    <definedName name="B50_">'[42]H DSR'!$B$96:$H$96</definedName>
    <definedName name="B51_">'[42]H DSR'!$B$97:$H$97</definedName>
    <definedName name="B52_">'[42]H DSR'!$B$98:$H$98</definedName>
    <definedName name="B53_">'[42]H DSR'!$B$99:$H$99</definedName>
    <definedName name="B54_">'[42]H DSR'!$B$100:$H$100</definedName>
    <definedName name="B55_">'[42]H DSR'!$B$101:$H$101</definedName>
    <definedName name="B56_">'[42]H DSR'!$B$102:$H$102</definedName>
    <definedName name="B57_">'[42]H DSR'!$B$103:$H$103</definedName>
    <definedName name="B58_">'[42]H DSR'!$B$104:$H$104</definedName>
    <definedName name="B59_">'[42]H DSR'!$B$105:$H$105</definedName>
    <definedName name="B6_">'[42]H DSR'!$B$34:$H$34</definedName>
    <definedName name="B60_">'[42]H DSR'!$B$116:$H$116</definedName>
    <definedName name="B61_">'[42]H DSR'!$B$117:$H$117</definedName>
    <definedName name="B62_">'[42]H DSR'!$B$118:$H$118</definedName>
    <definedName name="B63_">'[42]H DSR'!$B$119:$H$119</definedName>
    <definedName name="B64_">'[42]H DSR'!$B$120:$H$120</definedName>
    <definedName name="B65_">'[42]H DSR'!$B$121:$H$121</definedName>
    <definedName name="B66_">'[42]H DSR'!$B$122:$H$122</definedName>
    <definedName name="B67_">'[42]H DSR'!$B$123:$H$123</definedName>
    <definedName name="B68_">'[42]H DSR'!$B$124:$H$124</definedName>
    <definedName name="B69_">'[42]H DSR'!$B$125:$H$125</definedName>
    <definedName name="B7_">'[42]H DSR'!$B$35:$H$35</definedName>
    <definedName name="B70_">'[42]H DSR'!$B$126:$H$126</definedName>
    <definedName name="B71_">'[42]H DSR'!$B$127:$H$127</definedName>
    <definedName name="B8_">'[42]H DSR'!$B$36:$H$36</definedName>
    <definedName name="B9_">'[42]H DSR'!$B$37:$H$37</definedName>
    <definedName name="BA._PERIKSA">#REF!</definedName>
    <definedName name="bagai">'[99]BAJA TUL'!$B$182</definedName>
    <definedName name="baggrekB">[100]bahan!#REF!</definedName>
    <definedName name="baggrekunci">[101]bahan!$G$16</definedName>
    <definedName name="baggretutup">[101]bahan!$G$15</definedName>
    <definedName name="bagi">[102]bq!$A$1</definedName>
    <definedName name="bahan">[103]AHSbj!#REF!</definedName>
    <definedName name="Bahan_Pengisi">#REF!</definedName>
    <definedName name="BAHU">#REF!</definedName>
    <definedName name="baja">[74]Upah!$F$46</definedName>
    <definedName name="BAJA_TULANGAN">[76]ANALISA!$I$687</definedName>
    <definedName name="BAK_AIR">#REF!</definedName>
    <definedName name="BAK_FIBER">#REF!</definedName>
    <definedName name="bakcuci">'[85]Harga Satuan'!$H$75</definedName>
    <definedName name="BAKKONTROL">[66]ANALISA!$L$637</definedName>
    <definedName name="BAKKONTROL2">[66]ANALISA!$L$625</definedName>
    <definedName name="Balok20\30_BB150kg">'[63]Analisa Upah Bahan'!#REF!</definedName>
    <definedName name="Balok25\50_BB220kg">'[63]Analisa Upah Bahan'!#REF!</definedName>
    <definedName name="Band_Gip">'[78]Harga Bahan'!#REF!</definedName>
    <definedName name="Band_GIP_6_45">'[78]Harga Bahan'!#REF!</definedName>
    <definedName name="BAR_BUNDER">#REF!</definedName>
    <definedName name="BAR_CUTTER">#REF!</definedName>
    <definedName name="barbocell">[100]bahan!#REF!</definedName>
    <definedName name="bareno">[74]Upah!$F$54</definedName>
    <definedName name="BARETPIJAR25">#REF!</definedName>
    <definedName name="basi">[83]Hb!$K$37</definedName>
    <definedName name="baspalcurah">[88]bahan!$G$57</definedName>
    <definedName name="baspalt">[88]bahan!$G$18</definedName>
    <definedName name="bata">[70]UPAH!$E$26</definedName>
    <definedName name="Bata_Kecil">'[104]Harga satuan'!$G$39</definedName>
    <definedName name="BATAKO">'[105]Upah dan Bahan'!$G$30</definedName>
    <definedName name="batrol">[51]Analisa!$J$424</definedName>
    <definedName name="batu">'[81]Harga Satuan'!$L$33</definedName>
    <definedName name="Batu_bata">[49]MANA!$H$22</definedName>
    <definedName name="Batu_gunung">[45]Harga!$H$44</definedName>
    <definedName name="Batu_kali">'[104]Harga satuan'!$G$36</definedName>
    <definedName name="BATU_KALI_1_4">#REF!</definedName>
    <definedName name="batu_karang">'[84] Upah'!$I$36</definedName>
    <definedName name="Batu_Kosong">'[63]Analisa Upah Bahan'!$J$75</definedName>
    <definedName name="Batu_Merah">'[106]Harga Bahan'!$L$26</definedName>
    <definedName name="BATU_PECAH">#REF!</definedName>
    <definedName name="batu2030">'[48]Harga Satuan'!$G$38</definedName>
    <definedName name="batubata">'[107]Hrg satuan'!$H$38</definedName>
    <definedName name="BATUBELAH">#REF!</definedName>
    <definedName name="batukali">'[107]Hrg satuan'!$H$26</definedName>
    <definedName name="BatuKali_1_5">'[63]Analisa Upah Bahan'!$J$85</definedName>
    <definedName name="batukarang">[83]Hb!$K$19</definedName>
    <definedName name="batupecah">'[107]Hrg satuan'!#REF!</definedName>
    <definedName name="baut">'[81]Harga Satuan'!$L$26</definedName>
    <definedName name="Baut_Mur">'[84] Upah'!$I$118</definedName>
    <definedName name="baut58">'[81]Harga Satuan'!$L$27</definedName>
    <definedName name="BAX_SEKRING">[68]Daftar_Harga_BAHAN_UPAH!#REF!</definedName>
    <definedName name="BAX_SEKRING2FAS">[68]Daftar_Harga_BAHAN_UPAH!#REF!</definedName>
    <definedName name="bb">[108]UPAH!$J$20</definedName>
    <definedName name="bbalok">[36]ANALISA!$G$178</definedName>
    <definedName name="bbambu">[100]bahan!#REF!</definedName>
    <definedName name="bbata">[38]Upah!#REF!</definedName>
    <definedName name="BBBBB">[11]Upah!$J$11</definedName>
    <definedName name="bbbbbbbbbbbbbbbbbbbbbbbbbbbbbbbbbbbbbbbbbbbbbbbbbbbbbbbbbb">#REF!</definedName>
    <definedName name="bbensin">[109]bahan!$G$32</definedName>
    <definedName name="bbh">#REF!</definedName>
    <definedName name="BBR">[110]REKAP!$G$21</definedName>
    <definedName name="bbronjong">[100]bahan!#REF!</definedName>
    <definedName name="BBT">#REF!</definedName>
    <definedName name="bbtgkelapa">[100]bahan!#REF!</definedName>
    <definedName name="bbtkalib">[100]bahan!#REF!</definedName>
    <definedName name="bca4a">'[30]Daftar Harga Upah dan Bahan'!$F$66</definedName>
    <definedName name="BEARING_2">[68]Daftar_Harga_BAHAN_UPAH!#REF!</definedName>
    <definedName name="BEARING_3">[68]Daftar_Harga_BAHAN_UPAH!#REF!</definedName>
    <definedName name="Beg_Bal">#REF!</definedName>
    <definedName name="begesting">'[68]volume pekerjaan'!$G$16</definedName>
    <definedName name="begesting_atas">'[68]volume pekerjaan'!$G$19</definedName>
    <definedName name="BEKESTING">[66]ANALISA!$L$112</definedName>
    <definedName name="BEKESTINGBALOK">[66]ANALISA!$L$136</definedName>
    <definedName name="BEKESTINGKOLOM">[66]ANALISA!$L$124</definedName>
    <definedName name="BEKESTINGLANTAI">[66]ANALISA!$L$148</definedName>
    <definedName name="BEKESTINGSLOOP">[66]ANALISA!$L$112</definedName>
    <definedName name="BEKISTING">#REF!</definedName>
    <definedName name="bekisting_kolom_persegi">'[63]Analisa Upah Bahan'!#REF!</definedName>
    <definedName name="BEN">#REF!</definedName>
    <definedName name="Bend_Gip">'[78]Harga Bahan'!#REF!</definedName>
    <definedName name="Bend_GIP_90">'[78]Harga Bahan'!#REF!</definedName>
    <definedName name="Bendrat">'[84] Upah'!$I$62</definedName>
    <definedName name="bening5">[83]Hb!$K$79</definedName>
    <definedName name="benrat">[83]Hb!$K$35</definedName>
    <definedName name="bensin">#REF!</definedName>
    <definedName name="bentang">'[68]data_lokasi&amp;pelaku'!$D$18</definedName>
    <definedName name="besi">[70]UPAH!$E$300</definedName>
    <definedName name="BESI_10">[68]Daftar_Harga_BAHAN_UPAH!$H$32</definedName>
    <definedName name="BESI_12">[68]Daftar_Harga_BAHAN_UPAH!$H$31</definedName>
    <definedName name="Besi_16">'[84] Upah'!$I$61</definedName>
    <definedName name="BESI_4">[68]Daftar_Harga_BAHAN_UPAH!#REF!</definedName>
    <definedName name="BESI_5">[68]Daftar_Harga_BAHAN_UPAH!#REF!</definedName>
    <definedName name="BESI_6">[68]Daftar_Harga_BAHAN_UPAH!$H$34</definedName>
    <definedName name="BESI_8">[68]Daftar_Harga_BAHAN_UPAH!$H$33</definedName>
    <definedName name="BESI_AS_2">[68]Daftar_Harga_BAHAN_UPAH!#REF!</definedName>
    <definedName name="BESI_AS_3">[68]Daftar_Harga_BAHAN_UPAH!#REF!</definedName>
    <definedName name="besi_beton">[49]MANA!$H$34</definedName>
    <definedName name="besi_beton_kg">'[63]Analisa Upah Bahan'!#REF!</definedName>
    <definedName name="Besi_Beugel__Kwt__Jepit">[45]Harga!$H$128</definedName>
    <definedName name="BESI_CANAL10">[68]Daftar_Harga_BAHAN_UPAH!#REF!</definedName>
    <definedName name="besi_d19">[68]Daftar_Harga_BAHAN_UPAH!$H$29</definedName>
    <definedName name="besi_d22">[68]Daftar_Harga_BAHAN_UPAH!$H$28</definedName>
    <definedName name="BESI_D25">[68]Daftar_Harga_BAHAN_UPAH!$H$27</definedName>
    <definedName name="BESI_D29">[68]Daftar_Harga_BAHAN_UPAH!$H$26</definedName>
    <definedName name="BESI_PLAT">#REF!</definedName>
    <definedName name="Besi_Plat__Uk_122_x_244_cm">[45]Harga!$H$79</definedName>
    <definedName name="BESI_PLAT10">[68]Daftar_Harga_BAHAN_UPAH!#REF!</definedName>
    <definedName name="BESI_PLAT4">[68]Daftar_Harga_BAHAN_UPAH!#REF!</definedName>
    <definedName name="besi_polos">'[104]Harga satuan'!$G$80</definedName>
    <definedName name="besi_profil">'[111]Upah dan Bahan'!#REF!</definedName>
    <definedName name="BESI_SIKU_80">[68]Daftar_Harga_BAHAN_UPAH!#REF!</definedName>
    <definedName name="Besi_Siku_L_25.25.3">[45]Harga!$H$80</definedName>
    <definedName name="besi_strip">'[104]Harga satuan'!$G$83</definedName>
    <definedName name="Besi_Tulangan_Polos">[45]Harga!$H$77</definedName>
    <definedName name="Besi_Tulangan_Ulir">[45]Harga!$H$78</definedName>
    <definedName name="Besi_ulir">'[78]Harga Bahan'!#REF!</definedName>
    <definedName name="besibet">'[81]Harga Satuan'!$L$39</definedName>
    <definedName name="besibeton">'[107]Hrg satuan'!$H$43</definedName>
    <definedName name="BESIBTON">#REF!</definedName>
    <definedName name="besiprofil">'[107]Hrg satuan'!#REF!</definedName>
    <definedName name="BESISIKU">[66]HARGA!#REF!</definedName>
    <definedName name="besistrip">[11]Upah!$J$44</definedName>
    <definedName name="BETON">'[66]R A B'!#REF!</definedName>
    <definedName name="BETON_123">#REF!</definedName>
    <definedName name="BETON_135">#REF!</definedName>
    <definedName name="beton_atas">'[68]volume pekerjaan'!$G$20</definedName>
    <definedName name="BETON_K175">#REF!</definedName>
    <definedName name="Beton_ready_mix_K225">#REF!</definedName>
    <definedName name="Beton_ready_mix_K80">#REF!</definedName>
    <definedName name="BETON_STRUKTUR">[76]ANALISA!$I$644</definedName>
    <definedName name="BETON_TUL">#REF!</definedName>
    <definedName name="beton123">[41]ANALISA!#REF!</definedName>
    <definedName name="beton225">[58]ANALISA!$G$128</definedName>
    <definedName name="beton75">[36]ANALISA!$G$119</definedName>
    <definedName name="betonk175">[112]ANALISA!$K$20</definedName>
    <definedName name="BETONLANTAI135">[66]ANALISA!#REF!</definedName>
    <definedName name="betontakbertulang">[113]analisa!$H$1559</definedName>
    <definedName name="BetonTumbuk_1_3_5">'[63]Analisa Upah Bahan'!$J$167</definedName>
    <definedName name="bettakbertulang">[51]Analisa!$J$104</definedName>
    <definedName name="BG">[68]Daftar_Harga_BAHAN_UPAH!$H$18</definedName>
    <definedName name="BH">#REF!</definedName>
    <definedName name="biasa">[114]Sheet4!$E$19</definedName>
    <definedName name="Biaya_net">[115]Rekap!$H$23</definedName>
    <definedName name="Biaya_Transport_Jakarta_Ampana_Rangka_Baja_Ringan">'[78]Harga Bahan'!#REF!</definedName>
    <definedName name="binrat">'[81]Harga Satuan'!$L$44</definedName>
    <definedName name="BIRU">#REF!</definedName>
    <definedName name="bit">'[48]Harga Satuan'!#REF!</definedName>
    <definedName name="bkali">[70]UPAH!$E$23</definedName>
    <definedName name="bkarang">'[36] HARGA'!$H$30</definedName>
    <definedName name="bkarungpls">[100]bahan!#REF!</definedName>
    <definedName name="bkolom">[36]ANALISA!$G$166</definedName>
    <definedName name="bku">#REF!</definedName>
    <definedName name="blantai">[36]ANALISA!$G$190</definedName>
    <definedName name="BLK" localSheetId="1" hidden="1">{#N/A,#N/A,TRUE,"Front";#N/A,#N/A,TRUE,"Simple Letter";#N/A,#N/A,TRUE,"Inside";#N/A,#N/A,TRUE,"Contents";#N/A,#N/A,TRUE,"Basis";#N/A,#N/A,TRUE,"Inclusions";#N/A,#N/A,TRUE,"Exclusions";#N/A,#N/A,TRUE,"Areas";#N/A,#N/A,TRUE,"Summary";#N/A,#N/A,TRUE,"Detail"}</definedName>
    <definedName name="BLK" localSheetId="3" hidden="1">{#N/A,#N/A,TRUE,"Front";#N/A,#N/A,TRUE,"Simple Letter";#N/A,#N/A,TRUE,"Inside";#N/A,#N/A,TRUE,"Contents";#N/A,#N/A,TRUE,"Basis";#N/A,#N/A,TRUE,"Inclusions";#N/A,#N/A,TRUE,"Exclusions";#N/A,#N/A,TRUE,"Areas";#N/A,#N/A,TRUE,"Summary";#N/A,#N/A,TRUE,"Detail"}</definedName>
    <definedName name="BLK" localSheetId="2" hidden="1">{#N/A,#N/A,TRUE,"Front";#N/A,#N/A,TRUE,"Simple Letter";#N/A,#N/A,TRUE,"Inside";#N/A,#N/A,TRUE,"Contents";#N/A,#N/A,TRUE,"Basis";#N/A,#N/A,TRUE,"Inclusions";#N/A,#N/A,TRUE,"Exclusions";#N/A,#N/A,TRUE,"Areas";#N/A,#N/A,TRUE,"Summary";#N/A,#N/A,TRUE,"Detail"}</definedName>
    <definedName name="BLK" hidden="1">{#N/A,#N/A,TRUE,"Front";#N/A,#N/A,TRUE,"Simple Letter";#N/A,#N/A,TRUE,"Inside";#N/A,#N/A,TRUE,"Contents";#N/A,#N/A,TRUE,"Basis";#N/A,#N/A,TRUE,"Inclusions";#N/A,#N/A,TRUE,"Exclusions";#N/A,#N/A,TRUE,"Areas";#N/A,#N/A,TRUE,"Summary";#N/A,#N/A,TRUE,"Detail"}</definedName>
    <definedName name="bln">#REF!</definedName>
    <definedName name="BOBOT">#REF!</definedName>
    <definedName name="BOBOT_BETON">#REF!</definedName>
    <definedName name="BOBOT_CAT">#REF!</definedName>
    <definedName name="BOBOT_KAP">#REF!</definedName>
    <definedName name="BOBOT_KOSEN">#REF!</definedName>
    <definedName name="BOBOT_KUNCI">#REF!</definedName>
    <definedName name="BOBOT_LAIN">#REF!</definedName>
    <definedName name="BOBOT_LISTRIK">#REF!</definedName>
    <definedName name="BOBOT_PAS">#REF!</definedName>
    <definedName name="BOBOT_PERSIAPAN">#REF!</definedName>
    <definedName name="BOBOT_REALISASI">#REF!</definedName>
    <definedName name="bobot_realisasi1">#REF!</definedName>
    <definedName name="BOBOT_REALISASI2">[116]m2!$H$187</definedName>
    <definedName name="bobot_realisasi3">[116]m3!$H$187</definedName>
    <definedName name="BOBOT_REALISASI4">[116]M4!$H$187</definedName>
    <definedName name="BOBOT_REALISASI5">[116]m5!$H$186</definedName>
    <definedName name="bobot_realisasi7">#REF!</definedName>
    <definedName name="BOBOT_SANITAIR">#REF!</definedName>
    <definedName name="BOBOT_TANAH">#REF!</definedName>
    <definedName name="bobot1">#REF!</definedName>
    <definedName name="bobot10">#REF!</definedName>
    <definedName name="bobot11">#REF!</definedName>
    <definedName name="bobot12">#REF!</definedName>
    <definedName name="bobot13">#REF!</definedName>
    <definedName name="bobot14">#REF!</definedName>
    <definedName name="bobot15">#REF!</definedName>
    <definedName name="bobot16">#REF!</definedName>
    <definedName name="bobot17">#REF!</definedName>
    <definedName name="bobot18">#REF!</definedName>
    <definedName name="bobot19">#REF!</definedName>
    <definedName name="bobot2">#REF!</definedName>
    <definedName name="bobot20">#REF!</definedName>
    <definedName name="bobot21">#REF!</definedName>
    <definedName name="bobot22">#REF!</definedName>
    <definedName name="bobot222">'[116]schedul 1'!$AC$129</definedName>
    <definedName name="bobot23">#REF!</definedName>
    <definedName name="bobot24">#REF!</definedName>
    <definedName name="bobot25">#REF!</definedName>
    <definedName name="bobot26">#REF!</definedName>
    <definedName name="bobot3">#REF!</definedName>
    <definedName name="bobot4">#REF!</definedName>
    <definedName name="bobot5">#REF!</definedName>
    <definedName name="bobot6">#REF!</definedName>
    <definedName name="bobot7">#REF!</definedName>
    <definedName name="bobot8">#REF!</definedName>
    <definedName name="bobot9">#REF!</definedName>
    <definedName name="bobota2">'[116]schedul 1'!$I$129</definedName>
    <definedName name="BOK_SEKRING">#REF!</definedName>
    <definedName name="Boks_6">'[84] Upah'!$I$89</definedName>
    <definedName name="bolie">[109]bahan!$G$34</definedName>
    <definedName name="BONGKARAN">#REF!</definedName>
    <definedName name="BONGKARPBATU">[117]analisa!#REF!</definedName>
    <definedName name="BONKARBEKESTING">[66]ANALISA!$L$222</definedName>
    <definedName name="BOQ">#N/A</definedName>
    <definedName name="bor_pile">#REF!</definedName>
    <definedName name="bos">[110]REKAP!$G$21</definedName>
    <definedName name="Bout_Atap">'[78]Harga Bahan'!$H$46</definedName>
    <definedName name="Box_Panel">'[78]Harga Bahan'!$H$97</definedName>
    <definedName name="boxpanel">[51]Harga!$F$99</definedName>
    <definedName name="bpasirB">[100]bahan!#REF!</definedName>
    <definedName name="BPD">#REF!</definedName>
    <definedName name="bpecah">[74]Upah!$F$38</definedName>
    <definedName name="bpolos">[36]ANALISA!$G$136</definedName>
    <definedName name="BQ_1">[43]AHS!#REF!</definedName>
    <definedName name="BR">[68]Daftar_Harga_BAHAN_UPAH!#REF!</definedName>
    <definedName name="BRONJONG">[117]analisa!#REF!</definedName>
    <definedName name="BS">[68]Daftar_Harga_BAHAN_UPAH!#REF!</definedName>
    <definedName name="bsbtn">'[118]HARGA SATUAN'!$E$16</definedName>
    <definedName name="bsirtu">[100]bahan!#REF!</definedName>
    <definedName name="bsolar">[109]bahan!$G$33</definedName>
    <definedName name="bstrip">[74]Upah!$F$51</definedName>
    <definedName name="bt">'[48]Harga Satuan'!$G$27</definedName>
    <definedName name="bt05m">[119]BASIC!$D$30</definedName>
    <definedName name="bt11m">[119]BASIC!$D$29</definedName>
    <definedName name="bt12m">[119]BASIC!$D$28</definedName>
    <definedName name="bthinner">[100]bahan!#REF!</definedName>
    <definedName name="bubungan">'[107]Hrg satuan'!$H$48</definedName>
    <definedName name="Bubungan_Genteng_Metal">[45]Harga!$H$60</definedName>
    <definedName name="Bubungan_GentengMetal">'[63]Analisa Upah Bahan'!$J$419</definedName>
    <definedName name="Bubungan_Sakura">'[84] Upah'!#REF!</definedName>
    <definedName name="BUBUNGANGENTENG">#REF!</definedName>
    <definedName name="bubunganmetal">'[85]Harga Satuan'!$H$36</definedName>
    <definedName name="Buis_beton">'[50]DAFTAR HARGA'!$J$168</definedName>
    <definedName name="BULDOZER">#REF!</definedName>
    <definedName name="BULL">#REF!</definedName>
    <definedName name="BULLDOZER">#REF!</definedName>
    <definedName name="BULLDOZER110">#REF!</definedName>
    <definedName name="BUMBUMGANGENTENG">[66]HARGA!$F$41</definedName>
    <definedName name="bumbungan_genteng">'[4]DAFTAR HARGA'!#REF!</definedName>
    <definedName name="BUMBUNGANGENTENG">[66]ANALISA!#REF!</definedName>
    <definedName name="Bunga">#REF!</definedName>
    <definedName name="C_">[43]AHS!$B$146:$J$153</definedName>
    <definedName name="ca">#REF!</definedName>
    <definedName name="Cansteen_Block">[45]Harga!$H$53</definedName>
    <definedName name="carmeni">'[81]Harga Satuan'!$L$48</definedName>
    <definedName name="carpen">#REF!</definedName>
    <definedName name="CAT">[68]Daftar_Harga_BAHAN_UPAH!#REF!</definedName>
    <definedName name="cat_atap">'[84] Upah'!$I$109</definedName>
    <definedName name="CAT_BESI">#REF!</definedName>
    <definedName name="Cat_Genteng">[45]Harga!$H$106</definedName>
    <definedName name="Cat_kayu">[49]MANA!$H$68</definedName>
    <definedName name="cat_kelas_I">'[120] Bahan&amp;upah'!$H$100</definedName>
    <definedName name="cat_kelas_II">'[120] Bahan&amp;upah'!$H$101</definedName>
    <definedName name="cat_manie">'[47]DAFTAR HARGA'!$H$104</definedName>
    <definedName name="cat_meni">'[120] Bahan&amp;upah'!$H$99</definedName>
    <definedName name="Cat_Meni_Kayu">'[106]Harga Bahan'!$L$65</definedName>
    <definedName name="cat_menie">[49]MANA!$H$65</definedName>
    <definedName name="cat_minyak">'[120] Bahan&amp;upah'!$H$98</definedName>
    <definedName name="Cat_Seng">[45]Harga!$H$105</definedName>
    <definedName name="cat_tembok">[49]MANA!$H$66</definedName>
    <definedName name="Cat_Tembok_KLs_I">'[106]Harga Bahan'!$L$66</definedName>
    <definedName name="catap">[38]Upah!$J$69</definedName>
    <definedName name="CATBESI">#REF!</definedName>
    <definedName name="CATDIN">[121]Analisa!$K$339</definedName>
    <definedName name="catkayu">[83]Hb!$K$86</definedName>
    <definedName name="CATMANI">[121]Analisa!$K$368</definedName>
    <definedName name="catmani1">[122]Analisa!$K$368</definedName>
    <definedName name="catmeni">'[107]Hrg satuan'!$H$69</definedName>
    <definedName name="catmenibesi">'[81]Harga Satuan'!$L$49</definedName>
    <definedName name="catmenikayu">#REF!</definedName>
    <definedName name="catminyak">'[107]Hrg satuan'!$H$68</definedName>
    <definedName name="catplafond">'[107]Hrg satuan'!#REF!</definedName>
    <definedName name="CATSENG">[41]HARGA!#REF!</definedName>
    <definedName name="cattemb">'[81]Harga Satuan'!$L$46</definedName>
    <definedName name="cattemb1">[83]Hb!$K$84</definedName>
    <definedName name="cattembok">'[107]Hrg satuan'!$H$64</definedName>
    <definedName name="cattembok2">'[107]Hrg satuan'!#REF!</definedName>
    <definedName name="Cawat_Beugel">'[84] Upah'!$I$119</definedName>
    <definedName name="cb">#REF!</definedName>
    <definedName name="cbesi">[74]Upah!$F$69</definedName>
    <definedName name="cc">#REF!</definedName>
    <definedName name="cco">'[123]BAJA TUL'!#REF!</definedName>
    <definedName name="cduduk">'[81]Harga Satuan'!$L$61</definedName>
    <definedName name="ce">#REF!</definedName>
    <definedName name="chain">'[81]Harga Satuan'!$L$75</definedName>
    <definedName name="ckayu">[38]Upah!$J$56</definedName>
    <definedName name="Clamp">'[84] Upah'!$I$87</definedName>
    <definedName name="clearing">#REF!</definedName>
    <definedName name="closd">[83]Hb!$K$61</definedName>
    <definedName name="Closed_Duduk">'[78]Harga Bahan'!$H$63</definedName>
    <definedName name="Closed_Jongkok_EX_Ina">'[78]Harga Bahan'!$H$65</definedName>
    <definedName name="Closet_Duduk">[45]Harga!$H$144</definedName>
    <definedName name="Closet_Jongkok">'[4]DAFTAR HARGA'!#REF!</definedName>
    <definedName name="closj">[83]Hb!$K$63</definedName>
    <definedName name="CO">#REF!</definedName>
    <definedName name="coba" hidden="1">'[124]SITE-E'!$AI$33:$AI$144</definedName>
    <definedName name="Coef">[125]Analisa!#REF!</definedName>
    <definedName name="comp">'[48]Harga Satuan'!$G$58</definedName>
    <definedName name="compactor">#REF!</definedName>
    <definedName name="compatcing">#REF!</definedName>
    <definedName name="COMPRESSOR">#REF!</definedName>
    <definedName name="CON">#REF!</definedName>
    <definedName name="CON_MIX">#REF!</definedName>
    <definedName name="CON_VIBRO">#REF!</definedName>
    <definedName name="conbo">#REF!</definedName>
    <definedName name="conc_cutter">#REF!</definedName>
    <definedName name="conc_pump">#REF!</definedName>
    <definedName name="conc_vibrator">#REF!</definedName>
    <definedName name="CONCRETE_MIXER">#REF!</definedName>
    <definedName name="CONCRETE_VIBRO">#REF!</definedName>
    <definedName name="CONCRETEMIXER">#REF!</definedName>
    <definedName name="CONCRETEVIBRO">#REF!</definedName>
    <definedName name="conmix">#REF!</definedName>
    <definedName name="cons">#REF!</definedName>
    <definedName name="CONSTR_A02B">#N/A</definedName>
    <definedName name="CONSTR_A03">#REF!</definedName>
    <definedName name="convib">#REF!</definedName>
    <definedName name="cor_123_kubik">'[63]Analisa Upah Bahan'!#REF!</definedName>
    <definedName name="COR_BETON">#REF!</definedName>
    <definedName name="CORBETON123">[66]ANALISA!$L$165</definedName>
    <definedName name="Cosed_Duduk">'[78]Harga Bahan'!$H$63</definedName>
    <definedName name="cost">'[126]12mar98 electronic'!#REF!</definedName>
    <definedName name="COST_FACTOR">#N/A</definedName>
    <definedName name="Cover">#REF!</definedName>
    <definedName name="cp">#REF!</definedName>
    <definedName name="cp200fur">#REF!</definedName>
    <definedName name="cp200su">#REF!</definedName>
    <definedName name="cp250fur">#REF!</definedName>
    <definedName name="cp250su">#REF!</definedName>
    <definedName name="CRANE">#REF!</definedName>
    <definedName name="crane_ontrack">#REF!</definedName>
    <definedName name="CRANE_TRUCK">[76]HARGA!$T$34</definedName>
    <definedName name="CRANE_WHELL">[76]HARGA!$T$35</definedName>
    <definedName name="Crosene">#REF!</definedName>
    <definedName name="CS">#REF!</definedName>
    <definedName name="cseng">'[58] HARGA'!$H$102</definedName>
    <definedName name="CSSSSSS">#REF!</definedName>
    <definedName name="ctembok">[38]Upah!$J$67</definedName>
    <definedName name="cv">[127]Rekap!$G$30</definedName>
    <definedName name="CV._A__S__E__A__N">[128]Rab!#REF!</definedName>
    <definedName name="D">#REF!</definedName>
    <definedName name="D.001">'[61]HARGA SATUAN ALAT'!$C$14</definedName>
    <definedName name="D.010">'[61]HARGA SATUAN ALAT'!$C$15</definedName>
    <definedName name="D.031">'[61]HARGA SATUAN ALAT'!$C$16</definedName>
    <definedName name="D.052">'[61]HARGA SATUAN ALAT'!$C$17</definedName>
    <definedName name="D.080">'[61]HARGA SATUAN ALAT'!$C$18</definedName>
    <definedName name="D.081">'[61]HARGA SATUAN ALAT'!$C$19</definedName>
    <definedName name="D.082">'[61]HARGA SATUAN ALAT'!$C$20</definedName>
    <definedName name="D.084">'[61]HARGA SATUAN ALAT'!$C$21</definedName>
    <definedName name="D.087">'[61]HARGA SATUAN ALAT'!$C$22</definedName>
    <definedName name="D.088">'[61]HARGA SATUAN ALAT'!$C$23</definedName>
    <definedName name="D.089">'[61]HARGA SATUAN ALAT'!$C$24</definedName>
    <definedName name="D.153">'[61]HARGA SATUAN ALAT'!$C$25</definedName>
    <definedName name="D.155">'[61]HARGA SATUAN ALAT'!$C$26</definedName>
    <definedName name="D.157">'[61]HARGA SATUAN ALAT'!$C$27</definedName>
    <definedName name="D.182">'[61]HARGA SATUAN ALAT'!$C$28</definedName>
    <definedName name="D.211">'[61]HARGA SATUAN ALAT'!$C$29</definedName>
    <definedName name="D.212">'[61]HARGA SATUAN ALAT'!$C$30</definedName>
    <definedName name="D.221">'[61]HARGA SATUAN ALAT'!$C$31</definedName>
    <definedName name="D.252">'[61]HARGA SATUAN ALAT'!$C$32</definedName>
    <definedName name="D.253">'[61]HARGA SATUAN ALAT'!$C$33</definedName>
    <definedName name="D.301">'[61]HARGA SATUAN ALAT'!$C$34</definedName>
    <definedName name="D.341">'[61]HARGA SATUAN ALAT'!$C$35</definedName>
    <definedName name="d18t">[119]BASIC!$D$101</definedName>
    <definedName name="DADADAD">[70]UPAH!$E$381</definedName>
    <definedName name="daerah">[70]UPAH!$E$75</definedName>
    <definedName name="DAFTAR">#N/A</definedName>
    <definedName name="DAFTARSEWA">#REF!</definedName>
    <definedName name="Data">[129]Data!$H$4:$K$34</definedName>
    <definedName name="Data1">[130]Data!#REF!</definedName>
    <definedName name="Data2">[129]Data!#REF!</definedName>
    <definedName name="_xlnm.Database">#REF!</definedName>
    <definedName name="dataku">'[42]H DSR'!$A$8:$H$130</definedName>
    <definedName name="date">#REF!</definedName>
    <definedName name="DAYWORKS">#REF!</definedName>
    <definedName name="dd">#REF!</definedName>
    <definedName name="DDADADA">[70]UPAH!$E$409</definedName>
    <definedName name="DDADD">[70]UPAH!$E$10</definedName>
    <definedName name="DDD">#REF!</definedName>
    <definedName name="DDDD">#N/A</definedName>
    <definedName name="DDDDDDDDD">#REF!</definedName>
    <definedName name="debuilding">#REF!</definedName>
    <definedName name="deconcrete">#REF!</definedName>
    <definedName name="demansory">#REF!</definedName>
    <definedName name="dempul">'[107]Hrg satuan'!$H$72</definedName>
    <definedName name="dempul_kayu">'[47]DAFTAR HARGA'!$H$102</definedName>
    <definedName name="Dempul_Kayu_Plamur">[45]Harga!$H$95</definedName>
    <definedName name="DEMPULKAYU">[66]HARGA!#REF!</definedName>
    <definedName name="dempultembok">[38]Upah!$J$68</definedName>
    <definedName name="DERT">'[131]Man Power &amp; Comp'!$O$10:$O$45</definedName>
    <definedName name="des">#REF!</definedName>
    <definedName name="desa">'[68]data_lokasi&amp;pelaku'!$D$12</definedName>
    <definedName name="dess">#REF!</definedName>
    <definedName name="deviasi">[132]SCEDUL!$J$135</definedName>
    <definedName name="deviasi2">[132]SCEDUL!$K$135</definedName>
    <definedName name="deviasi3">[132]SCEDUL!$L$135</definedName>
    <definedName name="DEVIASI9">[132]SCEDUL!$R$135</definedName>
    <definedName name="df">'[73]Man Power'!$J$10:$J$45</definedName>
    <definedName name="di">'[73]Man Power'!$J$10:$J$45</definedName>
    <definedName name="Di_Kantor_Pusat">#REF!</definedName>
    <definedName name="DIA">[133]A!$K$5</definedName>
    <definedName name="dikeramik20x20">[51]Analisa!$J$186</definedName>
    <definedName name="DINAMO">[68]Daftar_Harga_BAHAN_UPAH!#REF!</definedName>
    <definedName name="dinding">[51]Analisa!$J$396</definedName>
    <definedName name="DindingKeramik_20\25">'[63]Analisa Upah Bahan'!$J$672</definedName>
    <definedName name="DINDINGKERAMIK20X20">[66]ANALISA!$L$252</definedName>
    <definedName name="dir">[127]Rekap!$G$34</definedName>
    <definedName name="Discount">#REF!</definedName>
    <definedName name="DOKUMENTASI">#REF!</definedName>
    <definedName name="dol">[83]Hb!$K$32</definedName>
    <definedName name="DOLAR">#N/A</definedName>
    <definedName name="dolken">'[81]Harga Satuan'!$L$25</definedName>
    <definedName name="Dolken_btg">'[84] Upah'!#REF!</definedName>
    <definedName name="Dolken_Kayu">'[106]Harga Bahan'!$L$33</definedName>
    <definedName name="DOMATO">[76]HARGA!$I$31</definedName>
    <definedName name="DOORCLOSSER">#REF!</definedName>
    <definedName name="Dop_PVC">'[78]Harga Bahan'!#REF!</definedName>
    <definedName name="Dop_PVC_Ø3">'[78]Harga Bahan'!#REF!</definedName>
    <definedName name="dorclos">'[36] HARGA'!$H$69</definedName>
    <definedName name="double">'[65]UP MINOR'!$C$53</definedName>
    <definedName name="Double_Nipple_Gip_3">'[78]Harga Bahan'!#REF!</definedName>
    <definedName name="Double_Nipple_GIP_6">'[78]Harga Bahan'!#REF!</definedName>
    <definedName name="DOWNLIGHT">#REF!</definedName>
    <definedName name="dozer">'[127]Upah Bahan'!$F$91</definedName>
    <definedName name="DPB">#REF!</definedName>
    <definedName name="drain">[134]Upah!$J$75</definedName>
    <definedName name="DRAINASE">#REF!</definedName>
    <definedName name="drainploor">[51]Analisa!$J$461</definedName>
    <definedName name="drftr">#REF!</definedName>
    <definedName name="DRIVER">#REF!</definedName>
    <definedName name="DRK_TP_PKK">#REF!</definedName>
    <definedName name="ds">'[73]Man Power'!$J$10:$J$45</definedName>
    <definedName name="DSAD">#REF!</definedName>
    <definedName name="DSHP">[43]AHS!#REF!</definedName>
    <definedName name="dsrp">[135]pipa32!$B$18</definedName>
    <definedName name="dt">#REF!</definedName>
    <definedName name="dt_tronton">#REF!</definedName>
    <definedName name="Dua">#REF!</definedName>
    <definedName name="dudukklosed">[51]Analisa!$J$448</definedName>
    <definedName name="DUMP_TRUCK">#REF!</definedName>
    <definedName name="Dump_truk">#REF!</definedName>
    <definedName name="DUMPTRUCK1">#REF!</definedName>
    <definedName name="DUMPTRUCK2">#REF!</definedName>
    <definedName name="dumpu">'[36] HARGA'!$H$98</definedName>
    <definedName name="dumpul">'[36] HARGA'!$H$98</definedName>
    <definedName name="Dumpul_Kayu">'[106]Harga Bahan'!$L$64</definedName>
    <definedName name="e">#REF!</definedName>
    <definedName name="E.001">'[61]HARGA SATUAN ALAT'!$G$14</definedName>
    <definedName name="E.010">'[61]HARGA SATUAN ALAT'!$G$15</definedName>
    <definedName name="E.031">'[61]HARGA SATUAN ALAT'!$G$16</definedName>
    <definedName name="E.052">'[61]HARGA SATUAN ALAT'!$G$17</definedName>
    <definedName name="E.080">'[61]HARGA SATUAN ALAT'!$G$18</definedName>
    <definedName name="E.081">'[61]HARGA SATUAN ALAT'!$G$19</definedName>
    <definedName name="E.082">'[61]HARGA SATUAN ALAT'!$G$20</definedName>
    <definedName name="E.084">'[61]HARGA SATUAN ALAT'!$G$21</definedName>
    <definedName name="E.087">'[61]HARGA SATUAN ALAT'!$G$22</definedName>
    <definedName name="E.088">'[61]HARGA SATUAN ALAT'!$G$23</definedName>
    <definedName name="E.089">'[61]HARGA SATUAN ALAT'!$G$24</definedName>
    <definedName name="E.153">'[61]HARGA SATUAN ALAT'!$G$25</definedName>
    <definedName name="E.155">'[61]HARGA SATUAN ALAT'!$G$26</definedName>
    <definedName name="E.157">'[61]HARGA SATUAN ALAT'!$G$27</definedName>
    <definedName name="E.182">'[61]HARGA SATUAN ALAT'!$G$28</definedName>
    <definedName name="E.211">'[61]HARGA SATUAN ALAT'!$G$29</definedName>
    <definedName name="E.212">'[61]HARGA SATUAN ALAT'!$G$30</definedName>
    <definedName name="E.221">'[61]HARGA SATUAN ALAT'!$G$31</definedName>
    <definedName name="E.252">'[61]HARGA SATUAN ALAT'!$G$32</definedName>
    <definedName name="E.253">'[61]HARGA SATUAN ALAT'!$G$33</definedName>
    <definedName name="E.30">'[61]HARGA SATUAN ALAT'!$G$36</definedName>
    <definedName name="E.301">'[61]HARGA SATUAN ALAT'!$G$34</definedName>
    <definedName name="E.31">'[61]HARGA SATUAN ALAT'!$G$37</definedName>
    <definedName name="E.341">'[61]HARGA SATUAN ALAT'!$G$35</definedName>
    <definedName name="e_30">#REF!</definedName>
    <definedName name="ee">#REF!</definedName>
    <definedName name="EEE06REV">'[136]5-Peralatan'!$AW$13</definedName>
    <definedName name="EEE09REV1">'[136]5-Peralatan'!$AW$16</definedName>
    <definedName name="EEE17REV">'[136]5-Peralatan'!$AW$24</definedName>
    <definedName name="EEE17REV1">'[136]5-Peralatan'!$AW$24</definedName>
    <definedName name="EEEE">[70]UPAH!$E$48</definedName>
    <definedName name="eewudu">#REF!</definedName>
    <definedName name="el_21">#REF!</definedName>
    <definedName name="el_233">#REF!</definedName>
    <definedName name="el_322">#REF!</definedName>
    <definedName name="el_33">#REF!</definedName>
    <definedName name="el_511">#REF!</definedName>
    <definedName name="el_512">#REF!</definedName>
    <definedName name="el_633">#REF!</definedName>
    <definedName name="el_635">#REF!</definedName>
    <definedName name="el_635a">#REF!</definedName>
    <definedName name="el_711">#REF!</definedName>
    <definedName name="el_754">#REF!</definedName>
    <definedName name="el_811">#REF!</definedName>
    <definedName name="el_812">#REF!</definedName>
    <definedName name="el_815">#REF!</definedName>
    <definedName name="el_841">#REF!</definedName>
    <definedName name="el_94">#REF!</definedName>
    <definedName name="el_95">#REF!</definedName>
    <definedName name="el_96">#REF!</definedName>
    <definedName name="elas">#REF!</definedName>
    <definedName name="ELBOW_0.5">[68]Daftar_Harga_BAHAN_UPAH!#REF!</definedName>
    <definedName name="ELBOW_1.5">[68]Daftar_Harga_BAHAN_UPAH!#REF!</definedName>
    <definedName name="ELBOW_2">[68]Daftar_Harga_BAHAN_UPAH!#REF!</definedName>
    <definedName name="ELBOW_2.5">[68]Daftar_Harga_BAHAN_UPAH!#REF!</definedName>
    <definedName name="ELBOW_3">[68]Daftar_Harga_BAHAN_UPAH!#REF!</definedName>
    <definedName name="ELBOW_4">[68]Daftar_Harga_BAHAN_UPAH!#REF!</definedName>
    <definedName name="ELBOW_8">[68]Daftar_Harga_BAHAN_UPAH!#REF!</definedName>
    <definedName name="elec_equip">'[126]12mar98 electronic'!#REF!</definedName>
    <definedName name="em">#REF!</definedName>
    <definedName name="EMENK">#REF!</definedName>
    <definedName name="emulsion">#REF!</definedName>
    <definedName name="End_Bal">#REF!</definedName>
    <definedName name="engsel">'[107]Hrg satuan'!#REF!</definedName>
    <definedName name="engsel_Jendela">[49]MANA!$H$44</definedName>
    <definedName name="Engsel_Kupu_kupu">[45]Harga!$H$116</definedName>
    <definedName name="Engsel_Nilon_Ring_Pintu">[45]Harga!$H$117</definedName>
    <definedName name="Engsel_Pintu">'[84] Upah'!$I$80</definedName>
    <definedName name="Engsel_Pintu_4">#REF!</definedName>
    <definedName name="engselj">[83]Hb!$K$56</definedName>
    <definedName name="engseljendela">'[107]Hrg satuan'!$H$54</definedName>
    <definedName name="engselnilonringpintu">'[113]HARGA BARU'!$F$282</definedName>
    <definedName name="engselp">[83]Hb!$K$55</definedName>
    <definedName name="engselpintu">'[107]Hrg satuan'!$H$53</definedName>
    <definedName name="engselpintuswing">'[85]Harga Satuan'!$H$65</definedName>
    <definedName name="ENSELJENDELA">[66]HARGA!$F$33</definedName>
    <definedName name="EQUIPMENT">#REF!</definedName>
    <definedName name="er">'[73]Man Power'!$J$10:$J$45</definedName>
    <definedName name="ex">'[48]Harga Satuan'!$G$60</definedName>
    <definedName name="exca">#REF!</definedName>
    <definedName name="exca2">#REF!</definedName>
    <definedName name="excamore">#REF!</definedName>
    <definedName name="EXCAV">#REF!</definedName>
    <definedName name="EXCAVATOR">#REF!</definedName>
    <definedName name="EXCAVATOR_TRUCK">[76]HARGA!$T$39</definedName>
    <definedName name="EXCAVATOR_WHELL">[76]HARGA!$T$36</definedName>
    <definedName name="excawater">#REF!</definedName>
    <definedName name="Excel_BuiltIn_Print_Area_2_1">"$#REF!.$A$1:$L$139"</definedName>
    <definedName name="Excel_BuiltIn_Print_Titles_2_1">"$#REF!.$A$1:$AMJ$10"</definedName>
    <definedName name="Excel_BuiltIn_Print_Titles_20">#REF!</definedName>
    <definedName name="Excel_BuiltIn_Print_Titles_21">#REF!</definedName>
    <definedName name="Excel_BuiltIn_Print_Titles_23">#REF!</definedName>
    <definedName name="Extra_Pay">#REF!</definedName>
    <definedName name="F" hidden="1">[137]Mobilisasi!$I$27:$I$41</definedName>
    <definedName name="fa">[65]BASIC!#REF!</definedName>
    <definedName name="facocon">#REF!</definedName>
    <definedName name="facon">#REF!</definedName>
    <definedName name="fbt">#REF!</definedName>
    <definedName name="FFF" localSheetId="1">MATCH(0.01,End_Bal,-1)+1</definedName>
    <definedName name="FFF" localSheetId="3">MATCH(0.01,End_Bal,-1)+1</definedName>
    <definedName name="FFF" localSheetId="2">MATCH(0.01,End_Bal,-1)+1</definedName>
    <definedName name="FFF">MATCH(0.01,End_Bal,-1)+1</definedName>
    <definedName name="fffff">[108]UPAH!$J$20</definedName>
    <definedName name="FFFHF">[70]UPAH!$E$397</definedName>
    <definedName name="fg">'[73]Man Power'!$E$13:$E$48</definedName>
    <definedName name="fggf">#REF!</definedName>
    <definedName name="Fiber_Glass">'[78]Harga Bahan'!#REF!</definedName>
    <definedName name="fibre">#REF!</definedName>
    <definedName name="fill" hidden="1">[138]RAB!#REF!</definedName>
    <definedName name="FILLER">[76]HARGA!$I$47</definedName>
    <definedName name="FINISHER">#REF!</definedName>
    <definedName name="finishing">#REF!</definedName>
    <definedName name="finsr">[139]HSD!$H$28</definedName>
    <definedName name="FIRUL">'[140]Harga Satuan'!$G$38</definedName>
    <definedName name="fiting">'[4]DAFTAR HARGA'!#REF!</definedName>
    <definedName name="Fiting_Duduk">'[106]Harga Bahan'!$L$86</definedName>
    <definedName name="Fiting_Gantung">'[106]Harga Bahan'!$L$87</definedName>
    <definedName name="fj">'[73]Man Power'!$J$10:$J$45</definedName>
    <definedName name="fk">'[73]Man Power'!$J$10:$J$45</definedName>
    <definedName name="FLATBEDTRUCK">#REF!</definedName>
    <definedName name="flexi">#REF!</definedName>
    <definedName name="flexi1">#REF!</definedName>
    <definedName name="floor">'[81]Harga Satuan'!$L$62</definedName>
    <definedName name="Floor_Drain">'[47]DAFTAR HARGA'!$H$127</definedName>
    <definedName name="floord">[83]Hb!$K$64</definedName>
    <definedName name="FLOORDRAIN">[141]HARGA!$E$61</definedName>
    <definedName name="FLOORDRAINPLASTIK">#REF!</definedName>
    <definedName name="FO">#REF!</definedName>
    <definedName name="fop6r4">'[142]Cabling Data&amp;Power'!#REF!</definedName>
    <definedName name="FOR">#REF!</definedName>
    <definedName name="fore">[143]BASIC!$D$10</definedName>
    <definedName name="FORM1011">#REF!</definedName>
    <definedName name="FORM1012">#REF!</definedName>
    <definedName name="FORM1013">#REF!</definedName>
    <definedName name="FORM1014">#REF!</definedName>
    <definedName name="FORM1015">#REF!</definedName>
    <definedName name="FORM21">#REF!</definedName>
    <definedName name="FORM22E">#REF!</definedName>
    <definedName name="FORM22L">#REF!</definedName>
    <definedName name="FORM231">#REF!</definedName>
    <definedName name="FORM232">#REF!</definedName>
    <definedName name="FORM233">#REF!</definedName>
    <definedName name="Form234">#REF!</definedName>
    <definedName name="Form235">#REF!</definedName>
    <definedName name="Form236">#REF!</definedName>
    <definedName name="FORM241">#REF!</definedName>
    <definedName name="FORM242">#REF!</definedName>
    <definedName name="FORM243">#REF!</definedName>
    <definedName name="FORM311">#REF!</definedName>
    <definedName name="FORM312">#REF!</definedName>
    <definedName name="FORM313">#REF!</definedName>
    <definedName name="FORM314">#REF!</definedName>
    <definedName name="FORM315">#REF!</definedName>
    <definedName name="FORM319">#REF!</definedName>
    <definedName name="FORM321">#REF!</definedName>
    <definedName name="FORM322">#REF!</definedName>
    <definedName name="FORM323">#REF!</definedName>
    <definedName name="FORM323L">#REF!</definedName>
    <definedName name="FORM324">#REF!</definedName>
    <definedName name="FORM33">#REF!</definedName>
    <definedName name="FORM331">#REF!</definedName>
    <definedName name="FORM346">#REF!</definedName>
    <definedName name="FORM421">'[144]Div. 4'!#REF!</definedName>
    <definedName name="FORM422">'[144]Div. 4'!#REF!</definedName>
    <definedName name="FORM423">'[144]Div. 4'!#REF!</definedName>
    <definedName name="FORM424">'[144]Div. 4'!#REF!</definedName>
    <definedName name="FORM425">'[144]Div. 4'!#REF!</definedName>
    <definedName name="FORM426">'[144]Div. 4'!#REF!</definedName>
    <definedName name="FORM427">'[144]Div. 4'!#REF!</definedName>
    <definedName name="FORM511">#REF!</definedName>
    <definedName name="FORM512">#REF!</definedName>
    <definedName name="FORM521">#REF!</definedName>
    <definedName name="FORM522">#REF!</definedName>
    <definedName name="FORM541">#REF!</definedName>
    <definedName name="FORM542">#REF!</definedName>
    <definedName name="FORM611">#REF!</definedName>
    <definedName name="FORM612">#REF!</definedName>
    <definedName name="FORM621">#REF!</definedName>
    <definedName name="FORM622">#REF!</definedName>
    <definedName name="FORM623">#REF!</definedName>
    <definedName name="FORM631">#REF!</definedName>
    <definedName name="FORM632">#REF!</definedName>
    <definedName name="FORM633">#REF!</definedName>
    <definedName name="FORM634">#REF!</definedName>
    <definedName name="FORM635">#REF!</definedName>
    <definedName name="FORM635A">#REF!</definedName>
    <definedName name="FORM636">#REF!</definedName>
    <definedName name="FORM641L">#REF!</definedName>
    <definedName name="FORM642">#REF!</definedName>
    <definedName name="FORM65">#REF!</definedName>
    <definedName name="FORM651">#REF!</definedName>
    <definedName name="FORM66">#REF!</definedName>
    <definedName name="FORM66PERATA">#REF!</definedName>
    <definedName name="FORM66PERMUKAAN">#REF!</definedName>
    <definedName name="FORM7101">#REF!</definedName>
    <definedName name="FORM7102">#REF!</definedName>
    <definedName name="FORM7103">#REF!</definedName>
    <definedName name="FORM711">#REF!</definedName>
    <definedName name="FORM712">#REF!</definedName>
    <definedName name="FORM713">#REF!</definedName>
    <definedName name="FORM714">#REF!</definedName>
    <definedName name="FORM715">#REF!</definedName>
    <definedName name="FORM716">#REF!</definedName>
    <definedName name="FORM717">#REF!</definedName>
    <definedName name="FORM718">#REF!</definedName>
    <definedName name="FORM721">#REF!</definedName>
    <definedName name="FORM731">#REF!</definedName>
    <definedName name="FORM732">#REF!</definedName>
    <definedName name="FORM733">#REF!</definedName>
    <definedName name="FORM734">#REF!</definedName>
    <definedName name="FORM735">#REF!</definedName>
    <definedName name="FORM73PL">#REF!</definedName>
    <definedName name="FORM73UL">#REF!</definedName>
    <definedName name="FORM744">#REF!</definedName>
    <definedName name="FORM745">#REF!</definedName>
    <definedName name="FORM751">#REF!</definedName>
    <definedName name="FORM752">#REF!</definedName>
    <definedName name="FORM7610">#REF!</definedName>
    <definedName name="FORM7611">#REF!</definedName>
    <definedName name="FORM7612">#REF!</definedName>
    <definedName name="FORM7612a">#REF!</definedName>
    <definedName name="FORM7612b">#REF!</definedName>
    <definedName name="FORM7612c">#REF!</definedName>
    <definedName name="FORM7613">#REF!</definedName>
    <definedName name="FORM7613a">#REF!</definedName>
    <definedName name="FORM7613b">#REF!</definedName>
    <definedName name="FORM7613c">#REF!</definedName>
    <definedName name="FORM7614">#REF!</definedName>
    <definedName name="FORM7614a">#REF!</definedName>
    <definedName name="FORM7614b">#REF!</definedName>
    <definedName name="FORM7614c">#REF!</definedName>
    <definedName name="FORM7614d">#REF!</definedName>
    <definedName name="FORM7614e">#REF!</definedName>
    <definedName name="FORM7615">#REF!</definedName>
    <definedName name="FORM7616">#REF!</definedName>
    <definedName name="FORM7617">#REF!</definedName>
    <definedName name="FORM7618">#REF!</definedName>
    <definedName name="FORM7619">#REF!</definedName>
    <definedName name="FORM7620">#REF!</definedName>
    <definedName name="FORM7621">#REF!</definedName>
    <definedName name="FORM7625">#REF!</definedName>
    <definedName name="FORM7626">#REF!</definedName>
    <definedName name="FORM767">#REF!</definedName>
    <definedName name="FORM768">#REF!</definedName>
    <definedName name="FORM769">#REF!</definedName>
    <definedName name="FORM76X">#REF!</definedName>
    <definedName name="FORM771">#REF!</definedName>
    <definedName name="FORM771a">#REF!</definedName>
    <definedName name="FORM771b">#REF!</definedName>
    <definedName name="FORM771c">#REF!</definedName>
    <definedName name="FORM771d">#REF!</definedName>
    <definedName name="FORM772a">#REF!</definedName>
    <definedName name="FORM772b">#REF!</definedName>
    <definedName name="FORM772c">#REF!</definedName>
    <definedName name="FORM772d">#REF!</definedName>
    <definedName name="FORM773">#REF!</definedName>
    <definedName name="FORM774">#REF!</definedName>
    <definedName name="FORM775">#REF!</definedName>
    <definedName name="FORM777">#REF!</definedName>
    <definedName name="FORM778">#REF!</definedName>
    <definedName name="FORM79">#REF!</definedName>
    <definedName name="FORM79L">#REF!</definedName>
    <definedName name="FORM79manual">#REF!</definedName>
    <definedName name="FORM79mekanis">#REF!</definedName>
    <definedName name="FORM811">#REF!</definedName>
    <definedName name="FORM812">#REF!</definedName>
    <definedName name="FORM813">#REF!</definedName>
    <definedName name="FORM814">#REF!</definedName>
    <definedName name="FORM815">#REF!</definedName>
    <definedName name="FORM817">#REF!</definedName>
    <definedName name="FORM818">#REF!</definedName>
    <definedName name="FORM819">#REF!</definedName>
    <definedName name="FORM82">#REF!</definedName>
    <definedName name="FORM83">#REF!</definedName>
    <definedName name="FORM841">#REF!</definedName>
    <definedName name="FORM8410">#REF!</definedName>
    <definedName name="FORM842">#REF!</definedName>
    <definedName name="FORM843">#REF!</definedName>
    <definedName name="FORM844">#REF!</definedName>
    <definedName name="FORM845">#REF!</definedName>
    <definedName name="FORM846">#REF!</definedName>
    <definedName name="FORM847">#REF!</definedName>
    <definedName name="FORM910">'[57]9 PEK-HARIAN'!#REF!</definedName>
    <definedName name="FORM911">'[57]9 PEK-HARIAN'!$L$187:$W$248</definedName>
    <definedName name="FORM912">'[57]9 PEK-HARIAN'!#REF!</definedName>
    <definedName name="FORM913">'[57]9 PEK-HARIAN'!$L$249:$W$310</definedName>
    <definedName name="FORM914">'[57]9 PEK-HARIAN'!#REF!</definedName>
    <definedName name="FORM915">'[57]9 PEK-HARIAN'!$L$311:$W$372</definedName>
    <definedName name="FORM916">'[57]9 PEK-HARIAN'!#REF!</definedName>
    <definedName name="FORM917">'[57]9 PEK-HARIAN'!$L$373:$W$434</definedName>
    <definedName name="FORM918">'[57]9 PEK-HARIAN'!#REF!</definedName>
    <definedName name="FORM919">'[57]9 PEK-HARIAN'!$L$435:$W$496</definedName>
    <definedName name="FORM920">'[57]9 PEK-HARIAN'!#REF!</definedName>
    <definedName name="FORM94">'[57]9 PEK-HARIAN'!$L$1:$W$62</definedName>
    <definedName name="FORM95">'[57]9 PEK-HARIAN'!#REF!</definedName>
    <definedName name="FORM96">'[57]9 PEK-HARIAN'!$L$63:$W$124</definedName>
    <definedName name="FORM97">'[57]9 PEK-HARIAN'!$L$125:$W$186</definedName>
    <definedName name="FORM98">'[57]9 PEK-HARIAN'!#REF!</definedName>
    <definedName name="FORM99">'[57]9 PEK-HARIAN'!#REF!</definedName>
    <definedName name="formc2">#REF!</definedName>
    <definedName name="FORMGEOTEKSTIL">#REF!</definedName>
    <definedName name="FORMLatasirK">#REF!</definedName>
    <definedName name="FORMLatasirKL">#REF!</definedName>
    <definedName name="FR">#REF!</definedName>
    <definedName name="FRRDS">#REF!</definedName>
    <definedName name="ft">'[68]data_lokasi&amp;pelaku'!$D$14</definedName>
    <definedName name="Full_Print">#REF!</definedName>
    <definedName name="FULLY17">[68]Daftar_Harga_BAHAN_UPAH!#REF!</definedName>
    <definedName name="FULLY50">[68]Daftar_Harga_BAHAN_UPAH!#REF!</definedName>
    <definedName name="fulvi_mixer">#REF!</definedName>
    <definedName name="FULVIMIXER">#REF!</definedName>
    <definedName name="fw">#REF!</definedName>
    <definedName name="FW_Beam">[145]Concrete!$G$148</definedName>
    <definedName name="FW_Column">[145]Concrete!$G$159</definedName>
    <definedName name="FW_Stair">[145]Concrete!$G$170</definedName>
    <definedName name="G">#REF!</definedName>
    <definedName name="G32Paku_biasa">'[146]BAHAN-UPAH'!$G$33</definedName>
    <definedName name="G34Sekrup_Kalsiboard">'[146]BAHAN-UPAH'!$G$36</definedName>
    <definedName name="G36Paku_GentengMetal">'[146]BAHAN-UPAH'!$G$38</definedName>
    <definedName name="G38Sekrup_Fixer">'[146]BAHAN-UPAH'!$G$40</definedName>
    <definedName name="G45Kayu_KlsII">'[146]BAHAN-UPAH'!$G$47</definedName>
    <definedName name="G79LisPlank_Metal">'[146]BAHAN-UPAH'!$G$81</definedName>
    <definedName name="gaji">#REF!</definedName>
    <definedName name="galian">#REF!</definedName>
    <definedName name="galian_tanah">'[68]volume pekerjaan'!$G$9</definedName>
    <definedName name="galian_tanah_biasa">#REF!</definedName>
    <definedName name="galian_tanah_bronjong">'[68]volume pekerjaan'!$G$25</definedName>
    <definedName name="GalianManual_1m">'[63]Analisa Upah Bahan'!$J$31</definedName>
    <definedName name="GALIANTANAH">[66]ANALISA!$L$9</definedName>
    <definedName name="Galiantanahbiasa">[113]analisa!$M$12</definedName>
    <definedName name="GALTAN_ALAT">#REF!</definedName>
    <definedName name="GALTAN_MANUAL">#REF!</definedName>
    <definedName name="galvanis">[68]Daftar_Harga_BAHAN_UPAH!$H$47</definedName>
    <definedName name="GED">#REF!</definedName>
    <definedName name="gefat">#REF!</definedName>
    <definedName name="gelombang">'[107]Hrg satuan'!$H$50</definedName>
    <definedName name="gemfm0">#REF!</definedName>
    <definedName name="gemfm1">#REF!</definedName>
    <definedName name="GEMUK">#REF!</definedName>
    <definedName name="GENERATOR">[76]HARGA!$T$26</definedName>
    <definedName name="gense">[139]HSD!$H$34</definedName>
    <definedName name="GENSET">#REF!</definedName>
    <definedName name="genteng">'[107]Hrg satuan'!$H$47</definedName>
    <definedName name="genteng_lokal">'[4]DAFTAR HARGA'!#REF!</definedName>
    <definedName name="Genteng_Metal">'[63]Analisa Upah Bahan'!$J$392</definedName>
    <definedName name="genteng4x2">[83]Hb!$K$125</definedName>
    <definedName name="gentengatap">[51]Analisa!$J$260</definedName>
    <definedName name="gentengbum">[51]Analisa!$J$309</definedName>
    <definedName name="GENTENGMETAL">[66]HARGA!$F$40</definedName>
    <definedName name="geprg0">#REF!</definedName>
    <definedName name="geprg1">#REF!</definedName>
    <definedName name="gereja">[147]Upah!$J$33</definedName>
    <definedName name="gesat">#REF!</definedName>
    <definedName name="GFF" hidden="1">[148]SEX!$P$7:$P$7</definedName>
    <definedName name="gg">[108]UPAH!$J$18</definedName>
    <definedName name="ggggggfd">[108]UPAH!$J$20</definedName>
    <definedName name="GGHFH">[70]UPAH!$E$149</definedName>
    <definedName name="GIP_0.5">'[84] Upah'!$I$72</definedName>
    <definedName name="GIP_0.75">'[84] Upah'!$I$73</definedName>
    <definedName name="GIP_1">'[84] Upah'!#REF!</definedName>
    <definedName name="GIP_1.5">'[84] Upah'!#REF!</definedName>
    <definedName name="GIP_2">'[84] Upah'!#REF!</definedName>
    <definedName name="GIP_4">'[84] Upah'!#REF!</definedName>
    <definedName name="GIP_DIA_1_2">[68]Daftar_Harga_BAHAN_UPAH!#REF!</definedName>
    <definedName name="gipsum">'[107]Hrg satuan'!#REF!</definedName>
    <definedName name="GIV_1">#REF!</definedName>
    <definedName name="GIV_1.5">#REF!</definedName>
    <definedName name="GIV_2">#REF!</definedName>
    <definedName name="GIV_3_4">#REF!</definedName>
    <definedName name="GL">#REF!</definedName>
    <definedName name="GLAS">[19]Material!#REF!</definedName>
    <definedName name="Glas_blok">'[4]DAFTAR HARGA'!$H$103</definedName>
    <definedName name="GLWO">[19]Material!#REF!</definedName>
    <definedName name="gmk">#REF!</definedName>
    <definedName name="godre">'[149]DAFTAR HARGA'!$H$17</definedName>
    <definedName name="gogon" hidden="1">'[150]Master 1.0'!$K$203:$CX$203</definedName>
    <definedName name="gp">#REF!</definedName>
    <definedName name="GRAD">#REF!</definedName>
    <definedName name="GRADER">#REF!</definedName>
    <definedName name="GRAND_TOTAL">#REF!</definedName>
    <definedName name="granit">[151]bahan!$F$85</definedName>
    <definedName name="grass_cutter">#REF!</definedName>
    <definedName name="greder">'[152]Upah Bahan'!#REF!</definedName>
    <definedName name="grendel">'[107]Hrg satuan'!#REF!</definedName>
    <definedName name="Grendel_Jendela">[49]MANA!$H$45</definedName>
    <definedName name="Grendel_Pintu">'[84] Upah'!$I$82</definedName>
    <definedName name="Grendel_pintu_sedang">'[106]Harga Bahan'!$L$58</definedName>
    <definedName name="Grendel_Pintu_Tanam">[45]Harga!$H$113</definedName>
    <definedName name="Grendel_Uk._Kecil">[45]Harga!$H$115</definedName>
    <definedName name="Grendel_Uk._Sedang">[45]Harga!$H$114</definedName>
    <definedName name="grendeljendela">'[107]Hrg satuan'!$H$63</definedName>
    <definedName name="grendelpintu">'[107]Hrg satuan'!$H$62</definedName>
    <definedName name="grendelpintudobel">'[85]Harga Satuan'!$H$67</definedName>
    <definedName name="GRENDELTANAM">[66]HARGA!#REF!</definedName>
    <definedName name="grendj">[83]Hb!$K$57</definedName>
    <definedName name="grendtanam">[83]Hb!$K$59</definedName>
    <definedName name="grndljndla">[153]HARGA!$F$52</definedName>
    <definedName name="GTANAHALAT">[117]analisa!#REF!</definedName>
    <definedName name="GTNHALAT">[117]analisa!#REF!</definedName>
    <definedName name="GTTL">#REF!</definedName>
    <definedName name="gypsum">[70]UPAH!$E$151</definedName>
    <definedName name="Gypsum_Uk._122_x_240_x_6_5_mm">[45]Harga!$H$87</definedName>
    <definedName name="Gypsum_Uk._122_x_240_x_9_mm">[45]Harga!$H$88</definedName>
    <definedName name="gypsum55">[83]Hb!$K$96</definedName>
    <definedName name="H">#REF!</definedName>
    <definedName name="H285_">[43]AHS!$H$158</definedName>
    <definedName name="hag">'[36] HARGA'!$H$73</definedName>
    <definedName name="HAG_ANGIN">#REF!</definedName>
    <definedName name="HAGANGIN">[66]HARGA!$F$36</definedName>
    <definedName name="hak">[83]Hb!$K$60</definedName>
    <definedName name="hak_angin">[49]MANA!$H$47</definedName>
    <definedName name="HAKANGIN">#REF!</definedName>
    <definedName name="halus">'[48]Harga Satuan'!$G$46</definedName>
    <definedName name="HAND_COMPAC">#REF!</definedName>
    <definedName name="HAND_COMPACTOR">#REF!</definedName>
    <definedName name="Handel_Jendela">'[84] Upah'!$I$85</definedName>
    <definedName name="handelj">[83]Hb!$K$53</definedName>
    <definedName name="handeljendela">'[85]Harga Satuan'!$H$63</definedName>
    <definedName name="handelpintu">'[85]Harga Satuan'!$H$62</definedName>
    <definedName name="handelpintudobel">'[85]Harga Satuan'!$H$70</definedName>
    <definedName name="handle">'[154]Daftar Upah'!#REF!</definedName>
    <definedName name="Haq_Angin_Baut_Mur">[45]Harga!$H$119</definedName>
    <definedName name="harga">[155]harga!$B$14:$G$76</definedName>
    <definedName name="HARGA2">#REF!</definedName>
    <definedName name="hawa">[83]Hb!$K$68</definedName>
    <definedName name="HE">#REF!</definedName>
    <definedName name="Header_Row">ROW(#REF!)</definedName>
    <definedName name="Hendel_3_fase">'[78]Harga Bahan'!$H$99</definedName>
    <definedName name="Hendel_jendela">'[78]Harga Bahan'!$H$56</definedName>
    <definedName name="HGF">#REF!</definedName>
    <definedName name="hh">'[73]Man Power'!$J$11:$J$45</definedName>
    <definedName name="hj">'[22]Man Power &amp; Comp'!$R$10:$R$45</definedName>
    <definedName name="hm">#REF!</definedName>
    <definedName name="houspitalplint">[66]HARGA!#REF!</definedName>
    <definedName name="HPRSIRTU">[117]analisa!#REF!</definedName>
    <definedName name="hps">#REF!</definedName>
    <definedName name="HSD">[43]AHS!#REF!</definedName>
    <definedName name="HSUB">#REF!</definedName>
    <definedName name="i">[156]ANALISA!#REF!</definedName>
    <definedName name="II">#REF!</definedName>
    <definedName name="III">[114]Sheet4!$E$26</definedName>
    <definedName name="ijuk">[83]Hb!$K$67</definedName>
    <definedName name="Indek">[157]Pengalaman!#REF!</definedName>
    <definedName name="Industri">'[42]H DSR'!$A$61:$G$61</definedName>
    <definedName name="INFPNR">[57]INF!$E$4</definedName>
    <definedName name="inst.air">#REF!</definedName>
    <definedName name="instalasi">'[107]Hrg satuan'!#REF!</definedName>
    <definedName name="Instalasi_Air">[45]Harga!$H$155</definedName>
    <definedName name="Instalasi_Listrik">[45]Harga!$H$156</definedName>
    <definedName name="Instalasi_Titik_Lampu">'[78]Harga Bahan'!#REF!</definedName>
    <definedName name="InstalasititikLampu">'[63]Harga Satuan 2011'!$F$388</definedName>
    <definedName name="instalsititik">'[85]Harga Satuan'!$H$100</definedName>
    <definedName name="Int">#REF!</definedName>
    <definedName name="Interest_Rate">#REF!</definedName>
    <definedName name="InvoiceTotal">[158]Invoice!$E$37</definedName>
    <definedName name="iu">'[73]Man Power'!$J$10:$J$45</definedName>
    <definedName name="IV">#REF!</definedName>
    <definedName name="IW">#REF!</definedName>
    <definedName name="IX">#REF!</definedName>
    <definedName name="J">#REF!</definedName>
    <definedName name="jab">[127]Rekap!$G$35</definedName>
    <definedName name="Jabatan">[159]Master!$D$7</definedName>
    <definedName name="jack_hammer">#REF!</definedName>
    <definedName name="JACKHAMMER">#REF!</definedName>
    <definedName name="JADWAL">[70]UPAH!$E$344</definedName>
    <definedName name="JagaMalam">#REF!</definedName>
    <definedName name="JAL">#REF!</definedName>
    <definedName name="JALUSI_PAPAN">#REF!</definedName>
    <definedName name="Jam">'[42]H DSR'!$F$9:$F$146</definedName>
    <definedName name="JECK_HAMMER">[76]HARGA!$T$42</definedName>
    <definedName name="jembatan">[160]Sbarani!#REF!</definedName>
    <definedName name="JEN_KACA_MATI_5">#REF!</definedName>
    <definedName name="jendela">[51]Analisa!$J$325</definedName>
    <definedName name="JENDELA_KACA_5">#REF!</definedName>
    <definedName name="jendelakaca3mm">[66]ANALISA!$L$526</definedName>
    <definedName name="jendelakaca5mm">[66]ANALISA!$L$533</definedName>
    <definedName name="JENDELAKACABENING">[66]ANALISA!$L$544</definedName>
    <definedName name="JENDELAKACABENING3MM">[66]ANALISA!$L$552</definedName>
    <definedName name="JENDELAKACARIBEN5MM">[66]ANALISA!$L$548</definedName>
    <definedName name="JENDELAKACARYBEN">[66]ANALISA!$L$548</definedName>
    <definedName name="jendelapintu">[51]Analisa!$J$268</definedName>
    <definedName name="jeruk">'[58] HARGA'!$H$43</definedName>
    <definedName name="jhu">'[22]Man Power &amp; Comp'!$J$10:$J$45</definedName>
    <definedName name="jjuruukur">#REF!</definedName>
    <definedName name="JK">#REF!</definedName>
    <definedName name="JKH">#REF!</definedName>
    <definedName name="JL_NAS">#REF!</definedName>
    <definedName name="JLN_INSPEKSI">#REF!</definedName>
    <definedName name="JOB">#REF!</definedName>
    <definedName name="JobDesc">#REF!</definedName>
    <definedName name="joint">#REF!</definedName>
    <definedName name="JPDD">[21]CORAT!#REF!</definedName>
    <definedName name="JPJD">[21]CORAT!#REF!</definedName>
    <definedName name="JUMLAH">#REF!</definedName>
    <definedName name="k">#REF!</definedName>
    <definedName name="k.tkg">'[118]HARGA SATUAN'!$E$96</definedName>
    <definedName name="K_225">[19]Material!#REF!</definedName>
    <definedName name="K_300">[145]Concrete!$G$96</definedName>
    <definedName name="k_ac">#REF!</definedName>
    <definedName name="k_tukang">[49]MANA!$H$14</definedName>
    <definedName name="k20x20">[161]Upah!$J$36</definedName>
    <definedName name="KAAY">[19]Material!#REF!</definedName>
    <definedName name="kab">#REF!</definedName>
    <definedName name="Kabel_1.5">'[84] Upah'!$I$86</definedName>
    <definedName name="kabel_2.5">'[60]DAFTAR HARGA'!#REF!</definedName>
    <definedName name="KABEL_NG">[68]Daftar_Harga_BAHAN_UPAH!#REF!</definedName>
    <definedName name="Kabel_NYA_1.5mm">'[78]Harga Bahan'!$H$111</definedName>
    <definedName name="Kabel_NYA_2.5mm">'[78]Harga Bahan'!$H$112</definedName>
    <definedName name="Kabel_NYY">'[78]Harga Bahan'!$H$113</definedName>
    <definedName name="KABEL_SR">[68]Daftar_Harga_BAHAN_UPAH!#REF!</definedName>
    <definedName name="kabupaten">'[68]data_lokasi&amp;pelaku'!$D$10</definedName>
    <definedName name="Kaca_3">'[84] Upah'!$I$114</definedName>
    <definedName name="kaca_3_mm">'[4]DAFTAR HARGA'!#REF!</definedName>
    <definedName name="kaca_3mm">'[60]DAFTAR HARGA'!$I$104</definedName>
    <definedName name="KACA_5">'[84] Upah'!$I$115</definedName>
    <definedName name="kaca_5_mm">'[4]DAFTAR HARGA'!#REF!</definedName>
    <definedName name="kaca_5mm">'[58] HARGA'!$L$54</definedName>
    <definedName name="Kaca_bening">'[36] HARGA'!$L$54</definedName>
    <definedName name="Kaca_Bening_3_mm">[45]Harga!$H$139</definedName>
    <definedName name="Kaca_Bening_5_mm">#REF!</definedName>
    <definedName name="kaca_bening_5mm">'[36] HARGA'!$L$54</definedName>
    <definedName name="Kaca_Buram_5mm">'[78]Harga Bahan'!#REF!</definedName>
    <definedName name="Kaca_Nako_Lengkap">'[78]Harga Bahan'!#REF!</definedName>
    <definedName name="KACA_POLOS_3MM">[68]Daftar_Harga_BAHAN_UPAH!#REF!</definedName>
    <definedName name="KACA_POLOS_5MM">[68]Daftar_Harga_BAHAN_UPAH!#REF!</definedName>
    <definedName name="Kaca_Rayban_3_mm">[45]Harga!$H$141</definedName>
    <definedName name="Kaca_Rayban_5_mm">[45]Harga!$H$142</definedName>
    <definedName name="Kaca_raybend_5Mm">'[78]Harga Bahan'!#REF!</definedName>
    <definedName name="KACA3MM">[66]HARGA!$F$70</definedName>
    <definedName name="kaca5">[70]UPAH!$E$344</definedName>
    <definedName name="KACA5MM">[66]HARGA!$F$71</definedName>
    <definedName name="kacabening">'[107]Hrg satuan'!$H$80</definedName>
    <definedName name="KACaBENING3MM">#REF!</definedName>
    <definedName name="KACABENING5MM">#REF!</definedName>
    <definedName name="KACABLOCK">#REF!</definedName>
    <definedName name="KACAMATI">[66]ANALISA!$L$560</definedName>
    <definedName name="kacamati3mm">[66]ANALISA!$L$572</definedName>
    <definedName name="kacamati5mm">[66]ANALISA!$L$568</definedName>
    <definedName name="kacamatibening5mm">[66]ANALISA!$L$564</definedName>
    <definedName name="kacamatiriben">[66]ANALISA!$L$568</definedName>
    <definedName name="kacarayban">'[107]Hrg satuan'!#REF!</definedName>
    <definedName name="KACARAYBEN5MM">#REF!</definedName>
    <definedName name="KACARIBEN">[66]HARGA!$F$72</definedName>
    <definedName name="KACASILANG">[66]ANALISA!$L$577</definedName>
    <definedName name="KACBENING3MM">#REF!</definedName>
    <definedName name="kaitjendela">'[107]Hrg satuan'!#REF!</definedName>
    <definedName name="KALA">[19]Material!#REF!</definedName>
    <definedName name="KALSIBOARD">#REF!</definedName>
    <definedName name="KANTOR">[162]MINGGUAN!$B$2:$M$114</definedName>
    <definedName name="KAP">'[66]R A B'!#REF!</definedName>
    <definedName name="kapresidu">[51]Analisa!$J$411</definedName>
    <definedName name="kapur">'[107]Hrg satuan'!$H$40</definedName>
    <definedName name="Kapur_aci">'[106]Harga Bahan'!#REF!</definedName>
    <definedName name="Kapur_Mil">'[84] Upah'!$I$47</definedName>
    <definedName name="kapur_milk">[49]MANA!$H$23</definedName>
    <definedName name="Kapur_Pasang">[45]Harga!$H$54</definedName>
    <definedName name="KAPURACIAN">[66]HARGA!$F$25</definedName>
    <definedName name="Kapurpasang">[134]Upah!$J$40</definedName>
    <definedName name="karet">'[85]Harga Satuan'!$H$38</definedName>
    <definedName name="kasar">'[48]Harga Satuan'!$G$45</definedName>
    <definedName name="KASAUDANRENG">[66]ANALISA!$L$340</definedName>
    <definedName name="KasauReng_GentengMetal">'[63]Analisa Upah Bahan'!$J$428</definedName>
    <definedName name="katb">#REF!</definedName>
    <definedName name="KATUKANG">#REF!</definedName>
    <definedName name="kawat">[38]Upah!$J$48</definedName>
    <definedName name="KAWAT_BENDRAT">[76]HARGA!$I$34</definedName>
    <definedName name="KAWAT_BESI">#REF!</definedName>
    <definedName name="kawat_beton">'[50]DAFTAR HARGA'!$J$74</definedName>
    <definedName name="KAWAT_BRONJONG">[68]Daftar_Harga_BAHAN_UPAH!$H$46</definedName>
    <definedName name="Kawat_duri">'[78]Harga Bahan'!#REF!</definedName>
    <definedName name="Kawat_harmonika">'[84] Upah'!#REF!</definedName>
    <definedName name="Kawat_Ikat_Beton___Benrat">[45]Harga!$H$81</definedName>
    <definedName name="Kawat_ram">'[78]Harga Bahan'!#REF!</definedName>
    <definedName name="KAWATBET">#REF!</definedName>
    <definedName name="kawatbeton">'[107]Hrg satuan'!$H$42</definedName>
    <definedName name="KAWATBRO">#REF!</definedName>
    <definedName name="kawatlas">'[81]Harga Satuan'!$L$45</definedName>
    <definedName name="kayu">[163]Analisa!$J$387</definedName>
    <definedName name="KAYU_BAKAR">[76]HARGA!$I$39</definedName>
    <definedName name="Kayu_begesting">#REF!</definedName>
    <definedName name="KAYU_BEKESTING">#REF!</definedName>
    <definedName name="KAYU_BEKISTING">[76]HARGA!$I$38</definedName>
    <definedName name="Kayu_daerah">'[104]Harga satuan'!$G$67</definedName>
    <definedName name="Kayu_II">'[84] Upah'!$I$51</definedName>
    <definedName name="Kayu_III">'[84] Upah'!$I$52</definedName>
    <definedName name="Kayu_Kelas_2">'[106]Harga Bahan'!$L$31</definedName>
    <definedName name="Kayu_Kelas_I">[45]Harga!$H$61</definedName>
    <definedName name="Kayu_Kelas_II">'[106]Harga Bahan'!$L$31</definedName>
    <definedName name="Kayu_Kelas_III">'[106]Harga Bahan'!$L$32</definedName>
    <definedName name="Kayu_Kelas_III__campuran">[45]Harga!$H$63</definedName>
    <definedName name="kayu_klas_II">[49]MANA!$H$26</definedName>
    <definedName name="Kayu_klas_III">[49]MANA!$H$27</definedName>
    <definedName name="KAYU_PALAPI">#REF!</definedName>
    <definedName name="Kayu_Perancah_Bulat__Dia_5_10_cm__P_4_m">[45]Harga!$H$64</definedName>
    <definedName name="kayu2">'[164]HARGA SATUAN'!$E$25</definedName>
    <definedName name="kayu3">'[118]HARGA SATUAN'!$E$25</definedName>
    <definedName name="Kayubulat">[134]Upah!#REF!</definedName>
    <definedName name="KAYUDAERAH">#REF!</definedName>
    <definedName name="kayudoleken">'[107]Hrg satuan'!$H$37</definedName>
    <definedName name="kayudolken">'[107]Hrg satuan'!$H$37</definedName>
    <definedName name="kayukelas1">'[107]Hrg satuan'!$H$34</definedName>
    <definedName name="kayukelas2">'[107]Hrg satuan'!$H$35</definedName>
    <definedName name="kayukelas3">'[107]Hrg satuan'!$H$36</definedName>
    <definedName name="kayuklassII">[134]Upah!$J$42</definedName>
    <definedName name="kayukls1">'[85]Harga Satuan'!$H$39</definedName>
    <definedName name="kayukls2">'[112]Harga Satuan'!$H$37</definedName>
    <definedName name="kayukls3">'[112]Harga Satuan'!$H$38</definedName>
    <definedName name="KAYUKLSI">[66]HARGA!$F$22</definedName>
    <definedName name="KAYUKLSII">[66]HARGA!$F$23</definedName>
    <definedName name="KAYUKLSIII">[66]HARGA!$F$24</definedName>
    <definedName name="KAYULIST">[66]HARGA!$F$46</definedName>
    <definedName name="KAYUPERANCAH">#REF!</definedName>
    <definedName name="KAYUPROFIL">[66]ANALISA!#REF!</definedName>
    <definedName name="kb">'[48]Harga Satuan'!$G$28</definedName>
    <definedName name="kbening5">[38]Upah!$J$79</definedName>
    <definedName name="kbeton">[74]Upah!$F$32</definedName>
    <definedName name="kd_daerah">#REF!</definedName>
    <definedName name="KDTSIRTU">#REF!</definedName>
    <definedName name="KDTTNHDT">#REF!</definedName>
    <definedName name="kec">#REF!</definedName>
    <definedName name="kecamatan">'[68]data_lokasi&amp;pelaku'!$D$11</definedName>
    <definedName name="KECER">#REF!</definedName>
    <definedName name="KELAS">#REF!</definedName>
    <definedName name="kep">'[62]H. Satuan TK'!$F$20</definedName>
    <definedName name="KEP_TUKANG">#REF!</definedName>
    <definedName name="kepala">[70]UPAH!$E$399</definedName>
    <definedName name="kepala_tukang">[49]MANA!$H$14</definedName>
    <definedName name="Kepala_Tukang_Batu">[45]Harga!$H$24</definedName>
    <definedName name="Kepala_Tukang_Besi">[45]Harga!$H$27</definedName>
    <definedName name="Kepala_Tukang_Cat">[45]Harga!$H$25</definedName>
    <definedName name="Kepala_Tukang_Gypsum">[45]Harga!$H$26</definedName>
    <definedName name="Kepala_Tukang_Kayu">[45]Harga!$H$23</definedName>
    <definedName name="Kepala_Tukang_Listrik">[45]Harga!$H$29</definedName>
    <definedName name="Kepala_Tukang_Pipa">[45]Harga!$H$28</definedName>
    <definedName name="KEPALATUKANG">[165]HARGA!$G$116</definedName>
    <definedName name="Keptkgbatu">[166]UPAH!$F$435</definedName>
    <definedName name="ker">[119]BASIC!$D$86</definedName>
    <definedName name="KERAMIK">'[66]R A B'!#REF!</definedName>
    <definedName name="keramik_20_25">'[104]Harga satuan'!$G$75</definedName>
    <definedName name="Keramik_20_x_25">#REF!</definedName>
    <definedName name="keramik_2020">'[84] Upah'!$I$101</definedName>
    <definedName name="keramik_2025">'[84] Upah'!$I$100</definedName>
    <definedName name="keramik_20x20">[49]MANA!$H$60</definedName>
    <definedName name="keramik_30">'[84] Upah'!$I$99</definedName>
    <definedName name="Keramik_30_x_30">#REF!</definedName>
    <definedName name="keramik_30x30">[49]MANA!$H$58</definedName>
    <definedName name="keramik_40">'[154]Daftar Upah'!#REF!</definedName>
    <definedName name="Keramik_Lantai_10_x_10">[45]Harga!$H$67</definedName>
    <definedName name="Keramik_Lantai_10_x_20">[45]Harga!$H$68</definedName>
    <definedName name="Keramik_Lantai_20_x_20">[45]Harga!$H$69</definedName>
    <definedName name="Keramik_Lantai_20_x_25">[45]Harga!$H$70</definedName>
    <definedName name="Keramik_Lantai_30_x_30">[45]Harga!$H$71</definedName>
    <definedName name="Keramik_Lantai_40_x_40__warna">[45]Harga!$H$72</definedName>
    <definedName name="Keramik_Lantai_60_x_60">[45]Harga!$H$73</definedName>
    <definedName name="Keramik_Uk._10_x_10_cm">'[78]Harga Bahan'!#REF!</definedName>
    <definedName name="Keramik_Uk._10_x_30_cm">'[78]Harga Bahan'!#REF!</definedName>
    <definedName name="Keramik_Uk._10x10_cm">'[78]Harga Bahan'!#REF!</definedName>
    <definedName name="Keramik_Uk._20_x_25_cm">'[106]Harga Bahan'!$L$92</definedName>
    <definedName name="Keramik_Uk._40_x_40_cm">'[167]Harga Bahan'!$H$114</definedName>
    <definedName name="Keramik_wastafel">'[78]Harga Bahan'!#REF!</definedName>
    <definedName name="Keramik_watafel">'[78]Harga Bahan'!#REF!</definedName>
    <definedName name="KERAMIK10X10">[66]HARGA!$F$42</definedName>
    <definedName name="KERAMIK10X20">[66]HARGA!#REF!</definedName>
    <definedName name="keramik120">'[107]Hrg satuan'!#REF!</definedName>
    <definedName name="keramik20">'[107]Hrg satuan'!$H$31</definedName>
    <definedName name="keramik2020">'[81]Harga Satuan'!$L$59</definedName>
    <definedName name="keramik2025">'[81]Harga Satuan'!$L$60</definedName>
    <definedName name="KERAMIK20X20">[66]HARGA!$F$43</definedName>
    <definedName name="KERAMIK20X25">[66]HARGA!#REF!</definedName>
    <definedName name="keramik25">'[107]Hrg satuan'!$H$32</definedName>
    <definedName name="keramik30">'[107]Hrg satuan'!#REF!</definedName>
    <definedName name="KERAMIK30X30">[66]HARGA!$F$44</definedName>
    <definedName name="keramik40">'[107]Hrg satuan'!$H$33</definedName>
    <definedName name="KERAMIK40X40">[66]HARGA!$F$45</definedName>
    <definedName name="keramik60">'[107]Hrg satuan'!$H$33</definedName>
    <definedName name="KERAMIKGBR">#REF!</definedName>
    <definedName name="kerb">#REF!</definedName>
    <definedName name="kerikil">[168]UPAH!$K$25</definedName>
    <definedName name="Kerikil_Beton">#REF!</definedName>
    <definedName name="Kerikil_Hasil_Saringan">[45]Harga!$H$42</definedName>
    <definedName name="Kerikil_Sungai">[45]Harga!$H$41</definedName>
    <definedName name="KERIKILBETON">[66]HARGA!$F$9</definedName>
    <definedName name="kerikilsplit">'[36] HARGA'!$H$24</definedName>
    <definedName name="kerja">'[118]HARGA SATUAN'!$E$99</definedName>
    <definedName name="KEROSENE">[76]HARGA!$I$44</definedName>
    <definedName name="kertas_pasir">[49]MANA!$H$62</definedName>
    <definedName name="kertaspasir">'[107]Hrg satuan'!$H$74</definedName>
    <definedName name="kesehatan">#REF!</definedName>
    <definedName name="KETERANGAN">'[42]H DSR'!$A$56:$G$56</definedName>
    <definedName name="KEXGTALAT">#REF!</definedName>
    <definedName name="KEXSIRTU">#REF!</definedName>
    <definedName name="KEXTNHDT">#REF!</definedName>
    <definedName name="KEXTTNHST">#REF!</definedName>
    <definedName name="kil">#REF!</definedName>
    <definedName name="Kitchen_aluminium">[49]MANA!$H$85</definedName>
    <definedName name="KITCHENZINK">[66]HARGA!$F$52</definedName>
    <definedName name="kk">[75]bahan!$G$15</definedName>
    <definedName name="kki">'[169]DFTR HARGA BAHAN'!$L$28</definedName>
    <definedName name="KKK" localSheetId="1">Scheduled_Payment+Extra_Payment</definedName>
    <definedName name="KKK" localSheetId="3">Scheduled_Payment+Extra_Payment</definedName>
    <definedName name="KKK" localSheetId="2">Scheduled_Payment+Extra_Payment</definedName>
    <definedName name="KKK">Scheduled_Payment+Extra_Payment</definedName>
    <definedName name="KKKKKK">#N/A</definedName>
    <definedName name="kkkkkkk">[19]Material!#REF!</definedName>
    <definedName name="KKTBESI">#REF!</definedName>
    <definedName name="KKTBKST">#REF!</definedName>
    <definedName name="KKTMOLLEN">#REF!</definedName>
    <definedName name="KKTPBATU">#REF!</definedName>
    <definedName name="KKTSIAR">#REF!</definedName>
    <definedName name="KLDTNHDT">#REF!</definedName>
    <definedName name="KLOSED">#REF!</definedName>
    <definedName name="KLOSEDDUDUK">[66]HARGA!#REF!</definedName>
    <definedName name="KLOSEDDUDUKBIASA">#REF!</definedName>
    <definedName name="kloseddudukmonoblok">[66]HARGA!$F$48</definedName>
    <definedName name="KLOSEDDUDUKSTANDAR">#REF!</definedName>
    <definedName name="KLOSEDJONGKOK">[66]HARGA!$F$49</definedName>
    <definedName name="KLOSEDJONGKOKSTANDAR">#REF!</definedName>
    <definedName name="KLOSET">[68]Daftar_Harga_BAHAN_UPAH!#REF!</definedName>
    <definedName name="kloset_duduk">[49]MANA!$H$84</definedName>
    <definedName name="Kloset_jongkok">'[84] Upah'!$I$66</definedName>
    <definedName name="klosetjongkok">[134]Upah!$J$69</definedName>
    <definedName name="klutp">#REF!</definedName>
    <definedName name="km">#REF!</definedName>
    <definedName name="kmbak">[51]Analisa!$J$477</definedName>
    <definedName name="KMBESI">#REF!</definedName>
    <definedName name="KMBKST">#REF!</definedName>
    <definedName name="KMBRJ">#REF!</definedName>
    <definedName name="KMGEDEK">#REF!</definedName>
    <definedName name="KMGTALAT">#REF!</definedName>
    <definedName name="KMGTNHALAT">#REF!</definedName>
    <definedName name="KMGTNHBS">#REF!</definedName>
    <definedName name="KMMOLLEN">#REF!</definedName>
    <definedName name="KMOLLEN">#REF!</definedName>
    <definedName name="KMOLLENPASBATU">#REF!</definedName>
    <definedName name="KMPARAS">#REF!</definedName>
    <definedName name="KMPBATU">#REF!</definedName>
    <definedName name="kmpintu">[51]Analisa!$J$363</definedName>
    <definedName name="KMPLS">#REF!</definedName>
    <definedName name="KMPSPT">#REF!</definedName>
    <definedName name="KMSIAR">#REF!</definedName>
    <definedName name="KMSIRTU">#REF!</definedName>
    <definedName name="KMTNHDT">#REF!</definedName>
    <definedName name="KMTTNHDT">#REF!</definedName>
    <definedName name="KMTTNHST">#REF!</definedName>
    <definedName name="Knee_GIP2">'[84] Upah'!#REF!</definedName>
    <definedName name="ko">[170]divII!$I$1</definedName>
    <definedName name="kode">#REF!</definedName>
    <definedName name="Koef">[72]divII!$I$1</definedName>
    <definedName name="Kolom15\15_BB110kg">'[63]Analisa Upah Bahan'!$J$272</definedName>
    <definedName name="Kolom15\20_BB110kg">'[63]Analisa Upah Bahan'!#REF!</definedName>
    <definedName name="Kolom20\20_BB150kg">'[63]Analisa Upah Bahan'!#REF!</definedName>
    <definedName name="kolom20x2o">[66]ANALISA!#REF!</definedName>
    <definedName name="Kolom30\30_BB200kg">'[63]Analisa Upah Bahan'!#REF!</definedName>
    <definedName name="kolom30x20">[66]ANALISA!#REF!</definedName>
    <definedName name="kolompraktis">[66]ANALISA!#REF!</definedName>
    <definedName name="kontrakfisik">#REF!</definedName>
    <definedName name="koral">[70]UPAH!$E$11</definedName>
    <definedName name="korbet">'[169]DFTR HARGA BAHAN'!$L$38</definedName>
    <definedName name="KOSEN">#REF!</definedName>
    <definedName name="kosenkayu">[66]ANALISA!$L$460</definedName>
    <definedName name="KOSENPINTUJENDELA">[66]ANALISA!#REF!</definedName>
    <definedName name="KOT">#REF!</definedName>
    <definedName name="kotak4040">'[81]Harga Satuan'!$L$43</definedName>
    <definedName name="kotakmcb">[66]HARGA!$F$74</definedName>
    <definedName name="KPBESI">#REF!</definedName>
    <definedName name="KPBKST">#REF!</definedName>
    <definedName name="KPBRJ">#REF!</definedName>
    <definedName name="KPGEDEK">#REF!</definedName>
    <definedName name="KPGTALAT">#REF!</definedName>
    <definedName name="KPGTNHALAT">#REF!</definedName>
    <definedName name="KPGTNHBS">#REF!</definedName>
    <definedName name="KPMOLLEN">#REF!</definedName>
    <definedName name="KPPARAS">#REF!</definedName>
    <definedName name="KPPBATU">#REF!</definedName>
    <definedName name="KPPLS">#REF!</definedName>
    <definedName name="KPPSPT">#REF!</definedName>
    <definedName name="KPSIAR">#REF!</definedName>
    <definedName name="KPSIRTU">#REF!</definedName>
    <definedName name="KPTNHDT">#REF!</definedName>
    <definedName name="KPTTNHDT">#REF!</definedName>
    <definedName name="KPTTNHST">#REF!</definedName>
    <definedName name="kr">'[81]Harga Satuan'!$L$36</definedName>
    <definedName name="kr20x20">[83]Hb!$K$118</definedName>
    <definedName name="kr20x25">[83]Hb!$K$119</definedName>
    <definedName name="KRAN">[68]Daftar_Harga_BAHAN_UPAH!#REF!</definedName>
    <definedName name="Kran_air">[49]MANA!$H$72</definedName>
    <definedName name="KRAN0.5">[68]Daftar_Harga_BAHAN_UPAH!#REF!</definedName>
    <definedName name="kran12">[83]Hb!$K$66</definedName>
    <definedName name="KRAN3_4">[68]Daftar_Harga_BAHAN_UPAH!#REF!</definedName>
    <definedName name="KRANAIR">[66]HARGA!$F$47</definedName>
    <definedName name="krpecah">[38]Upah!#REF!</definedName>
    <definedName name="krsungai">[171]Upah!$J$20</definedName>
    <definedName name="KSTMTTNHDT">#REF!</definedName>
    <definedName name="KSTTTNHST">#REF!</definedName>
    <definedName name="kt">#REF!</definedName>
    <definedName name="KTANKISIRTU">#REF!</definedName>
    <definedName name="KTANKITIMBUNDT">#REF!</definedName>
    <definedName name="KTBatu">[172]UPAH!$E$529</definedName>
    <definedName name="KTBesi">#REF!</definedName>
    <definedName name="KTBKST">#REF!</definedName>
    <definedName name="KTBRJ">#REF!</definedName>
    <definedName name="KTCat">#REF!</definedName>
    <definedName name="KTGali">#REF!</definedName>
    <definedName name="KTkayu">#REF!</definedName>
    <definedName name="KTKBRJ">#REF!</definedName>
    <definedName name="KTKPLS">#REF!</definedName>
    <definedName name="KTListrik">#REF!</definedName>
    <definedName name="KTMOLLEN">#REF!</definedName>
    <definedName name="KTPBATU">#REF!</definedName>
    <definedName name="KTPipa">#REF!</definedName>
    <definedName name="KTPLS">#REF!</definedName>
    <definedName name="KTPSPT">#REF!</definedName>
    <definedName name="KTSIAR">#REF!</definedName>
    <definedName name="ktukang">'[112]Harga Satuan'!$H$23</definedName>
    <definedName name="ku">#REF!</definedName>
    <definedName name="KUANTITAS">#REF!</definedName>
    <definedName name="KUAS">[41]HARGA!#REF!</definedName>
    <definedName name="KUASCAT">#REF!</definedName>
    <definedName name="KUASROL">[66]HARGA!$F$68</definedName>
    <definedName name="KUASROOL">#REF!</definedName>
    <definedName name="KUDA_KUDA">#REF!</definedName>
    <definedName name="KudaKuda_KayuKlasII">'[63]Analisa Upah Bahan'!$J$316</definedName>
    <definedName name="KUDAKUDAGORDING">[66]ANALISA!$L$324</definedName>
    <definedName name="kudakugording">[51]Analisa!$J$235</definedName>
    <definedName name="kunci">'[81]Harga Satuan'!$L$69</definedName>
    <definedName name="kunci_1slaag">'[154]Daftar Upah'!#REF!</definedName>
    <definedName name="Kunci_2.Slaag">'[84] Upah'!$I$117</definedName>
    <definedName name="kunci_biasa">'[154]Daftar Upah'!#REF!</definedName>
    <definedName name="KUNCI_PINTU">[68]Daftar_Harga_BAHAN_UPAH!#REF!</definedName>
    <definedName name="Kunci_Pintu_Lemari">[45]Harga!$H$112</definedName>
    <definedName name="Kunci_tanam">[49]MANA!$H$40</definedName>
    <definedName name="Kunci_Tanam_2_Slaag">#REF!</definedName>
    <definedName name="Kunci_Tanam_Pintu_Utama">[45]Harga!$H$109</definedName>
    <definedName name="Kunci_Tanam_Royal_1_Slaag">[45]Harga!$H$111</definedName>
    <definedName name="Kunci_Tanam_Royal_2_Slaag">[45]Harga!$H$110</definedName>
    <definedName name="kunci1slag">[66]ANALISA!#REF!</definedName>
    <definedName name="kunci2">[83]Hb!$K$52</definedName>
    <definedName name="kunci2slaag">'[107]Hrg satuan'!$H$52</definedName>
    <definedName name="kunci2slag">[66]ANALISA!$L$702</definedName>
    <definedName name="kuncikmwc">'[85]Harga Satuan'!$H$61</definedName>
    <definedName name="KUNCIPINTU1SLAG">[66]HARGA!#REF!</definedName>
    <definedName name="KUNCIPINTU2SLAG">[66]HARGA!$F$31</definedName>
    <definedName name="KUNCIPINTUBIASA">#REF!</definedName>
    <definedName name="kuncipintudouble">'[85]Harga Satuan'!$H$59</definedName>
    <definedName name="kuncitanam">'[107]Hrg satuan'!#REF!</definedName>
    <definedName name="Kuncitanam2slag">'[113]HARGA BARU'!$F$270</definedName>
    <definedName name="kuncitanam808">'[113]HARGA BARU'!$F$272</definedName>
    <definedName name="Kursi_Wasit">'[84] Upah'!#REF!</definedName>
    <definedName name="kusen">#REF!</definedName>
    <definedName name="KusenPintuJendela_KayuKlasII">'[63]Analisa Upah Bahan'!$J$296</definedName>
    <definedName name="KVIBROSIRTU">#REF!</definedName>
    <definedName name="KVIBTNHDT">#REF!</definedName>
    <definedName name="kwtbtn">'[118]HARGA SATUAN'!$E$17</definedName>
    <definedName name="kyfofuy">[173]UPAH!#REF!</definedName>
    <definedName name="L.061">'[61]HARGA SATUAN TENAGA'!$G$14</definedName>
    <definedName name="L.071">'[61]HARGA SATUAN TENAGA'!$G$15</definedName>
    <definedName name="L.072">'[61]HARGA SATUAN TENAGA'!$G$16</definedName>
    <definedName name="L.073">'[61]HARGA SATUAN TENAGA'!$G$17</definedName>
    <definedName name="L.079">'[61]HARGA SATUAN TENAGA'!$G$18</definedName>
    <definedName name="L.081">'[61]HARGA SATUAN TENAGA'!$G$19</definedName>
    <definedName name="L.082">'[61]HARGA SATUAN TENAGA'!$G$20</definedName>
    <definedName name="L.083">'[61]HARGA SATUAN TENAGA'!$G$21</definedName>
    <definedName name="L.091">'[61]HARGA SATUAN TENAGA'!$G$22</definedName>
    <definedName name="L.092">'[61]HARGA SATUAN TENAGA'!$G$23</definedName>
    <definedName name="L.099">'[61]HARGA SATUAN TENAGA'!$G$24</definedName>
    <definedName name="L.101">'[61]HARGA SATUAN TENAGA'!$G$25</definedName>
    <definedName name="L.103">'[61]HARGA SATUAN TENAGA'!$G$26</definedName>
    <definedName name="L.108">'[61]HARGA SATUAN TENAGA'!$G$27</definedName>
    <definedName name="L01_">'[42]H DSR'!$E$9:$E$146</definedName>
    <definedName name="labelisasi">#REF!</definedName>
    <definedName name="LABOUR">#REF!</definedName>
    <definedName name="LAIN_LAIN">[174]Umum!#REF!</definedName>
    <definedName name="LAINLAIN">#REF!</definedName>
    <definedName name="lama34">'[175]FRP-E04-1'!#REF!</definedName>
    <definedName name="lama35">'[175]FRP-E04-1'!#REF!</definedName>
    <definedName name="lama36">'[175]FRP-E04-1'!#REF!</definedName>
    <definedName name="lama6">'[176]FRP-E04-1'!#REF!</definedName>
    <definedName name="lama7">'[176]FRP-E04-1'!#REF!</definedName>
    <definedName name="lama8">'[176]FRP-E04-1'!#REF!</definedName>
    <definedName name="Lamp">#REF!</definedName>
    <definedName name="lampi">#REF!</definedName>
    <definedName name="lampu">[51]Harga!$F$88</definedName>
    <definedName name="LAMPU_BARET">#REF!</definedName>
    <definedName name="lampu_pijar">'[4]DAFTAR HARGA'!#REF!</definedName>
    <definedName name="Lampu_Pijar_10___40_Watt">[45]Harga!$H$134</definedName>
    <definedName name="Lampu_Pijar_5_Watt">[45]Harga!$H$133</definedName>
    <definedName name="Lampu_SL_15watt">'[63]Harga Satuan 2011'!$F$407</definedName>
    <definedName name="Lampu_SL_18_watt">'[106]Harga Bahan'!$L$84</definedName>
    <definedName name="Lampu_SL_20watt">'[63]Harga Satuan 2011'!$F$406</definedName>
    <definedName name="Lampu_SL_5_watt">'[177]Harga Bahan'!$G$83</definedName>
    <definedName name="Lampu_SL_Philips_Ecotone_20_Watt">#REF!</definedName>
    <definedName name="Lampu_Sorot_500_Watt">#REF!</definedName>
    <definedName name="Lampu_Tanam_down_Lite">'[78]Harga Bahan'!$H$108</definedName>
    <definedName name="Lampu_TL">'[4]DAFTAR HARGA'!#REF!</definedName>
    <definedName name="Lampu_TL_1x20_watt">'[106]Harga Bahan'!$L$83</definedName>
    <definedName name="LAMPU_TL_20">#REF!</definedName>
    <definedName name="LAMPU_TL_40">#REF!</definedName>
    <definedName name="Lampu_XL_11_Wat">'[78]Harga Bahan'!$H$107</definedName>
    <definedName name="Lampu_XL_18_Wat">'[78]Harga Bahan'!$H$106</definedName>
    <definedName name="lampubaret">[66]HARGA!#REF!</definedName>
    <definedName name="lampupijar">'[85]Harga Satuan'!$H$108</definedName>
    <definedName name="lamputitik">[51]Harga!$F$87</definedName>
    <definedName name="lampuxl">'[85]Harga Satuan'!$H$109</definedName>
    <definedName name="lamta">#REF!</definedName>
    <definedName name="LANGIT">'[178]DAFTAR SNI'!$A$484:$A$497</definedName>
    <definedName name="Lanjutan">'[42]H DSR'!$A$54:$G$54</definedName>
    <definedName name="lankeramik">[51]Analisa!$J$196</definedName>
    <definedName name="lankeramik40x40">[51]Analisa!$J$216</definedName>
    <definedName name="LantaiKeramik_20\20">'[63]Analisa Upah Bahan'!$J$661</definedName>
    <definedName name="LANTAIKERAMIK20X20">[66]ANALISA!$L$262</definedName>
    <definedName name="LANTAIKERAMIK30X30">[66]ANALISA!$L$272</definedName>
    <definedName name="LANTAIKERAMIK40X40">[66]ANALISA!$L$282</definedName>
    <definedName name="las">'[48]Harga Satuan'!$G$30</definedName>
    <definedName name="lasgip10">[71]Upah!$F$79</definedName>
    <definedName name="lasgip12">[74]Upah!$F$78</definedName>
    <definedName name="lasgip4">[74]Upah!$F$82</definedName>
    <definedName name="lasgip6">[74]Upah!$F$81</definedName>
    <definedName name="lasgip8">[74]Upah!$F$80</definedName>
    <definedName name="Last_Row">#N/A</definedName>
    <definedName name="LE">#REF!</definedName>
    <definedName name="LEBAR">[133]A!$K$8</definedName>
    <definedName name="lem">[83]Hb!$K$95</definedName>
    <definedName name="LEM_KAYU">[68]Daftar_Harga_BAHAN_UPAH!#REF!</definedName>
    <definedName name="LEM_PIPA">[68]Daftar_Harga_BAHAN_UPAH!#REF!</definedName>
    <definedName name="lemkayu">'[107]Hrg satuan'!$H$76</definedName>
    <definedName name="les">'[47]DAFTAR HARGA'!$H$56</definedName>
    <definedName name="les_gipsum">[49]MANA!$H$82</definedName>
    <definedName name="les_gipsum_14cm">[49]MANA!$H$83</definedName>
    <definedName name="Les_Gipsum_5cm">'[60]DAFTAR HARGA'!#REF!</definedName>
    <definedName name="Les_gipsun">'[60]DAFTAR HARGA'!#REF!</definedName>
    <definedName name="les_kaca">'[4]DAFTAR HARGA'!#REF!</definedName>
    <definedName name="Les_Kayu">#REF!</definedName>
    <definedName name="les_profil">'[4]DAFTAR HARGA'!#REF!</definedName>
    <definedName name="LesProfilGipsum">'[179]Harga Bahan &amp; Upah'!$H$115</definedName>
    <definedName name="lf">#REF!</definedName>
    <definedName name="LIGHT_TRUCK">[76]HARGA!$T$28</definedName>
    <definedName name="Lis_Kaca">[45]Harga!$H$143</definedName>
    <definedName name="Lis_Plafon_Gypsun_5x5">'[106]Harga Bahan'!$L$77</definedName>
    <definedName name="LISPLANGPAPAN">[66]ANALISA!$L$332</definedName>
    <definedName name="LISPLANK">#REF!</definedName>
    <definedName name="Lisplank_3x30_kayuKlasII">'[63]Analisa Upah Bahan'!$J$325</definedName>
    <definedName name="list">'[58] HARGA'!$H$52</definedName>
    <definedName name="List_Profil">[45]Harga!$H$65</definedName>
    <definedName name="LISTKACA">#REF!</definedName>
    <definedName name="listkayu">'[85]Harga Satuan'!$H$44</definedName>
    <definedName name="LISTRIK">'[66]R A B'!#REF!</definedName>
    <definedName name="lkioo">'[22]Man Power &amp; Comp'!$J$10:$J$45</definedName>
    <definedName name="ll">#REF!</definedName>
    <definedName name="LLO">#REF!</definedName>
    <definedName name="lo">#REF!</definedName>
    <definedName name="loader">'[152]Upah Bahan'!#REF!</definedName>
    <definedName name="LOADER_TRUCK">[76]HARGA!$T$40</definedName>
    <definedName name="Loan_Amount">#REF!</definedName>
    <definedName name="Loan_Start">#REF!</definedName>
    <definedName name="Loan_Years">#REF!</definedName>
    <definedName name="Lokal">[180]notifier!#REF!</definedName>
    <definedName name="Lokasi">'[99]BAJA TUL'!$E$11</definedName>
    <definedName name="LOKASI1">'[181]BAJA TUL'!$E$11</definedName>
    <definedName name="LOKASI2">'[181]BAJA TUL'!$E$12</definedName>
    <definedName name="looster">'[84] Upah'!$I$46</definedName>
    <definedName name="Loster">[134]Upah!$J$35</definedName>
    <definedName name="lsl">#REF!</definedName>
    <definedName name="lt">'[48]Harga Satuan'!$G$70</definedName>
    <definedName name="lt1p">[135]pipa32!$D$33</definedName>
    <definedName name="lt2p">[135]pipa32!$F$18</definedName>
    <definedName name="lt3p">[135]pipa32!$H$23</definedName>
    <definedName name="m">#REF!</definedName>
    <definedName name="M.000">'[61]HARGA SATUAN BAHAN'!$G$37</definedName>
    <definedName name="M.010">'[61]HARGA SATUAN BAHAN'!$G$16</definedName>
    <definedName name="M.014">'[61]HARGA SATUAN BAHAN'!$G$17</definedName>
    <definedName name="M.015">'[61]HARGA SATUAN BAHAN'!#REF!</definedName>
    <definedName name="M.023">'[61]HARGA SATUAN BAHAN'!$G$19</definedName>
    <definedName name="M.024">'[61]HARGA SATUAN BAHAN'!$G$20</definedName>
    <definedName name="M.025">'[61]HARGA SATUAN BAHAN'!$G$21</definedName>
    <definedName name="M.040">'[61]HARGA SATUAN BAHAN'!$G$22</definedName>
    <definedName name="M.041">'[61]HARGA SATUAN BAHAN'!$G$23</definedName>
    <definedName name="M.042">'[61]HARGA SATUAN BAHAN'!$G$24</definedName>
    <definedName name="M.050">'[61]HARGA SATUAN BAHAN'!$G$25</definedName>
    <definedName name="M.061">'[61]HARGA SATUAN BAHAN'!$G$26</definedName>
    <definedName name="M.065">'[61]HARGA SATUAN BAHAN'!$G$27</definedName>
    <definedName name="M.080">'[61]HARGA SATUAN BAHAN'!$G$28</definedName>
    <definedName name="M.162">'[61]HARGA SATUAN BAHAN'!$G$29</definedName>
    <definedName name="M.166">'[61]HARGA SATUAN BAHAN'!$G$30</definedName>
    <definedName name="M.167">'[61]HARGA SATUAN BAHAN'!$G$31</definedName>
    <definedName name="M.170">'[61]HARGA SATUAN BAHAN'!$G$32</definedName>
    <definedName name="M.180">'[61]HARGA SATUAN BAHAN'!$G$33</definedName>
    <definedName name="M.183">'[61]HARGA SATUAN BAHAN'!$G$34</definedName>
    <definedName name="M.184">'[61]HARGA SATUAN BAHAN'!$G$35</definedName>
    <definedName name="M.185">'[61]HARGA SATUAN BAHAN'!$G$36</definedName>
    <definedName name="m_09">#REF!</definedName>
    <definedName name="m_12zak">#REF!</definedName>
    <definedName name="m_18">#REF!</definedName>
    <definedName name="m_19">#REF!</definedName>
    <definedName name="m_20">#REF!</definedName>
    <definedName name="m_21">#REF!</definedName>
    <definedName name="m_22">#REF!</definedName>
    <definedName name="m_33">#REF!</definedName>
    <definedName name="m_34">#REF!</definedName>
    <definedName name="m_37">#REF!</definedName>
    <definedName name="m_39">#REF!</definedName>
    <definedName name="m_39a">#REF!</definedName>
    <definedName name="m_39b">#REF!</definedName>
    <definedName name="m_4">#REF!</definedName>
    <definedName name="m_41">#REF!</definedName>
    <definedName name="m_46">#REF!</definedName>
    <definedName name="made" hidden="1">[182]Div3!#REF!</definedName>
    <definedName name="made_b" hidden="1">[182]Div3!#REF!</definedName>
    <definedName name="maint">#REF!</definedName>
    <definedName name="man">'[183]UPAH &amp; BAHAN'!$I$14</definedName>
    <definedName name="MANAGER">'[181]BAJA TUL'!$B$182</definedName>
    <definedName name="mandor">[70]UPAH!$E$396</definedName>
    <definedName name="mandor2">'[107]Hrg satuan'!$H$21</definedName>
    <definedName name="marka">#REF!</definedName>
    <definedName name="marking">#REF!</definedName>
    <definedName name="MASINIS">#REF!</definedName>
    <definedName name="MATERIAL">#REF!</definedName>
    <definedName name="matikaca">[51]Analisa!$J$337</definedName>
    <definedName name="MATL_A02B">#N/A</definedName>
    <definedName name="MATL_A03">#REF!</definedName>
    <definedName name="mbek">[83]Hb!$K$45</definedName>
    <definedName name="mbekesting">[71]Upah!$F$73</definedName>
    <definedName name="mcat">[38]Upah!$J$65</definedName>
    <definedName name="MCB">[68]Daftar_Harga_BAHAN_UPAH!#REF!</definedName>
    <definedName name="MCB_16_AM">'[78]Harga Bahan'!$H$98</definedName>
    <definedName name="mcb16a">[83]Hb!$K$101</definedName>
    <definedName name="MCFA">[180]notifier!#REF!</definedName>
    <definedName name="md">#REF!</definedName>
    <definedName name="MDE02_13">#N/A</definedName>
    <definedName name="mdor">'[118]HARGA SATUAN'!$E$97</definedName>
    <definedName name="mdrj">[184]HSD!$H$46</definedName>
    <definedName name="mejabeton">[66]ANALISA!$L$230</definedName>
    <definedName name="MEKANIK">'[61]HARGA SATUAN TENAGA'!$G$15</definedName>
    <definedName name="MEKANIKAL">'[178]DAFTAR SNI'!$A$771:$A$871</definedName>
    <definedName name="Memasang_1_Buah__Kran_Air">[45]Analisa!$H$677</definedName>
    <definedName name="Memasang_1_Buah_Bak_Kontrol_Air_Hujan_Pas._Batu_Bata">[45]Analisa!$H$619</definedName>
    <definedName name="Memasang_1_Buah_Bak_Mandi_Batu_Bata_Volume_0_3_M3">[45]Analisa!$H$692</definedName>
    <definedName name="Memasang_1_Buah_Floor_Drain">[45]Analisa!$H$684</definedName>
    <definedName name="MEMASANGENGSELPINTU">[66]ANALISA!$L$709</definedName>
    <definedName name="MEMASANGKUNCIPINTU2SLAG">[66]ANALISA!#REF!</definedName>
    <definedName name="MENGECAT_ATAP">#REF!</definedName>
    <definedName name="MENGECAT_BESI">#REF!</definedName>
    <definedName name="MENGECAT_KAYU">#REF!</definedName>
    <definedName name="MENGECAT_MENIE">#REF!</definedName>
    <definedName name="MENGECAT_TEMBOK">#REF!</definedName>
    <definedName name="meni">[11]Upah!$J$63</definedName>
    <definedName name="MENI_KAYU">'[185]harga on site'!$H$79</definedName>
    <definedName name="MENIE">#REF!</definedName>
    <definedName name="Menie_Besi">[45]Harga!$H$94</definedName>
    <definedName name="Menie_Kayu">[45]Harga!$H$93</definedName>
    <definedName name="menik">[83]Hb!$K$83</definedName>
    <definedName name="menikayu">'[107]Hrg satuan'!#REF!</definedName>
    <definedName name="menka">[163]Analisa!$J$405</definedName>
    <definedName name="MENUBOQ">[3]Rek!#REF!</definedName>
    <definedName name="Mesin_Pompa_Air_Listrik_250_Watt">[45]Harga!$H$153</definedName>
    <definedName name="mesinlas">'[81]Harga Satuan'!$L$76</definedName>
    <definedName name="MESS">#REF!</definedName>
    <definedName name="mg">#REF!</definedName>
    <definedName name="MIBE">[19]Material!#REF!</definedName>
    <definedName name="mibe1">[19]Material!#REF!</definedName>
    <definedName name="MILLING">#REF!</definedName>
    <definedName name="minggu1">[186]Mingguan!$O$74</definedName>
    <definedName name="Minggu10">[187]Mingguan!$O$950</definedName>
    <definedName name="Minggu11">[187]Mingguan!$O$1048</definedName>
    <definedName name="Minggu12">[187]Mingguan!$O$1146</definedName>
    <definedName name="minggu2">[186]Mingguan!$O$185</definedName>
    <definedName name="Minggu24">[187]Mingguan!#REF!</definedName>
    <definedName name="minggu3">[186]Mingguan!$O$296</definedName>
    <definedName name="minggu4">[186]Mingguan!$O$407</definedName>
    <definedName name="Minggu5">[187]Mingguan!$O$460</definedName>
    <definedName name="minggu6">[186]Mingguan!$O$629</definedName>
    <definedName name="minggu7">[186]Mingguan!$O$740</definedName>
    <definedName name="minggu8">[186]Mingguan!$O$851</definedName>
    <definedName name="minggu9">[186]Mingguan!$O$962</definedName>
    <definedName name="MINOR">#REF!</definedName>
    <definedName name="minyak">'[112]Harga Satuan'!$H$41</definedName>
    <definedName name="Minyak_bekesting">'[50]DAFTAR HARGA'!$J$139</definedName>
    <definedName name="Minyak_Bekisting">#REF!</definedName>
    <definedName name="Minyak_cat">[49]MANA!$H$69</definedName>
    <definedName name="Minyak_Cat___Afduner">#REF!</definedName>
    <definedName name="minyakbekisting">'[107]Hrg satuan'!$H$79</definedName>
    <definedName name="minyakcat">'[107]Hrg satuan'!$H$67</definedName>
    <definedName name="MINYAKPELUMAS">[188]HARGA!$G$92</definedName>
    <definedName name="mixer">'[48]Harga Satuan'!$G$65</definedName>
    <definedName name="ml">'[48]Harga Satuan'!$G$72</definedName>
    <definedName name="mm">'[22]Man Power &amp; Comp'!$O$10:$O$45</definedName>
    <definedName name="mmc" localSheetId="1" hidden="1">{#N/A,#N/A,TRUE,"Front";#N/A,#N/A,TRUE,"Simple Letter";#N/A,#N/A,TRUE,"Inside";#N/A,#N/A,TRUE,"Contents";#N/A,#N/A,TRUE,"Basis";#N/A,#N/A,TRUE,"Inclusions";#N/A,#N/A,TRUE,"Exclusions";#N/A,#N/A,TRUE,"Areas";#N/A,#N/A,TRUE,"Summary";#N/A,#N/A,TRUE,"Detail"}</definedName>
    <definedName name="mmc" localSheetId="3" hidden="1">{#N/A,#N/A,TRUE,"Front";#N/A,#N/A,TRUE,"Simple Letter";#N/A,#N/A,TRUE,"Inside";#N/A,#N/A,TRUE,"Contents";#N/A,#N/A,TRUE,"Basis";#N/A,#N/A,TRUE,"Inclusions";#N/A,#N/A,TRUE,"Exclusions";#N/A,#N/A,TRUE,"Areas";#N/A,#N/A,TRUE,"Summary";#N/A,#N/A,TRUE,"Detail"}</definedName>
    <definedName name="mmc" localSheetId="2" hidden="1">{#N/A,#N/A,TRUE,"Front";#N/A,#N/A,TRUE,"Simple Letter";#N/A,#N/A,TRUE,"Inside";#N/A,#N/A,TRUE,"Contents";#N/A,#N/A,TRUE,"Basis";#N/A,#N/A,TRUE,"Inclusions";#N/A,#N/A,TRUE,"Exclusions";#N/A,#N/A,TRUE,"Areas";#N/A,#N/A,TRUE,"Summary";#N/A,#N/A,TRUE,"Detail"}</definedName>
    <definedName name="mmc" hidden="1">{#N/A,#N/A,TRUE,"Front";#N/A,#N/A,TRUE,"Simple Letter";#N/A,#N/A,TRUE,"Inside";#N/A,#N/A,TRUE,"Contents";#N/A,#N/A,TRUE,"Basis";#N/A,#N/A,TRUE,"Inclusions";#N/A,#N/A,TRUE,"Exclusions";#N/A,#N/A,TRUE,"Areas";#N/A,#N/A,TRUE,"Summary";#N/A,#N/A,TRUE,"Detail"}</definedName>
    <definedName name="MMM16a">[189]Basic!$F$71</definedName>
    <definedName name="MMM17A">#REF!</definedName>
    <definedName name="MMM35A">#REF!</definedName>
    <definedName name="mmn">'[22]Man Power &amp; Comp'!$P$10:$P$45</definedName>
    <definedName name="mnyk_bekesting">'[104]Harga satuan'!$G$418</definedName>
    <definedName name="MO">#REF!</definedName>
    <definedName name="mob">#REF!</definedName>
    <definedName name="MOBILISASI">#REF!</definedName>
    <definedName name="Module">[180]notifier!#REF!</definedName>
    <definedName name="MOLEN">#REF!</definedName>
    <definedName name="Mono_Block">[45]Harga!$H$146</definedName>
    <definedName name="Month1">#REF!</definedName>
    <definedName name="Month10">#REF!</definedName>
    <definedName name="Month11">[190]indirect!#REF!</definedName>
    <definedName name="Month12">#REF!</definedName>
    <definedName name="Month13">#REF!</definedName>
    <definedName name="Month14">#REF!</definedName>
    <definedName name="Month15">#REF!</definedName>
    <definedName name="Month16">#REF!</definedName>
    <definedName name="Month17">#REF!</definedName>
    <definedName name="Month18">#REF!</definedName>
    <definedName name="Month19">#REF!</definedName>
    <definedName name="Month2">#REF!</definedName>
    <definedName name="Month20">#REF!</definedName>
    <definedName name="Month21">#REF!</definedName>
    <definedName name="Month22">#REF!</definedName>
    <definedName name="Month23">#REF!</definedName>
    <definedName name="Month24">#REF!</definedName>
    <definedName name="Month25">#REF!</definedName>
    <definedName name="Month26">#REF!</definedName>
    <definedName name="Month27">#REF!</definedName>
    <definedName name="Month28">#REF!</definedName>
    <definedName name="Month29">#REF!</definedName>
    <definedName name="Month3">#REF!</definedName>
    <definedName name="Month30">#REF!</definedName>
    <definedName name="Month31">#REF!</definedName>
    <definedName name="Month32">#REF!</definedName>
    <definedName name="Month33">#REF!</definedName>
    <definedName name="Month4">#REF!</definedName>
    <definedName name="Month5">#REF!</definedName>
    <definedName name="Month6">#REF!</definedName>
    <definedName name="Month7">#REF!</definedName>
    <definedName name="Month8">#REF!</definedName>
    <definedName name="Month9">#REF!</definedName>
    <definedName name="MORTARPLEX">#REF!</definedName>
    <definedName name="MOTOR_GRADER">#REF!</definedName>
    <definedName name="Mozaik_Wall_Tile_20_x_20_cm_Putih">[45]Harga!$H$74</definedName>
    <definedName name="Mozaik_Wall_Tile_20_x_20_cm_Warna">[45]Harga!$H$75</definedName>
    <definedName name="Mozaik_Wall_Tile_30_x_30_Warna">[45]Harga!$H$76</definedName>
    <definedName name="mp">'[48]Harga Satuan'!$G$25</definedName>
    <definedName name="MP_21">[191]D2!$L$2:$V$62</definedName>
    <definedName name="MP_221">[191]D2!$L$123:$V$183</definedName>
    <definedName name="MP_222">[192]D2!#REF!</definedName>
    <definedName name="MP_311">[192]D3!#REF!</definedName>
    <definedName name="MP_311a">[192]D3!#REF!</definedName>
    <definedName name="MP_312">[192]D3!#REF!</definedName>
    <definedName name="MP_312b">[192]D3!#REF!</definedName>
    <definedName name="MP_321">[192]D3!#REF!</definedName>
    <definedName name="MP_322">[191]D3!#REF!</definedName>
    <definedName name="MP_33">[192]D3!#REF!</definedName>
    <definedName name="MP_421">#REF!</definedName>
    <definedName name="MP_422">#REF!</definedName>
    <definedName name="MP_423">#REF!</definedName>
    <definedName name="MP_424">#REF!</definedName>
    <definedName name="MP_511">[191]D4!#REF!</definedName>
    <definedName name="MP_512">[191]D4!#REF!</definedName>
    <definedName name="MP_513">'[192]MPU-D4'!#REF!</definedName>
    <definedName name="MP_52">'[192]MPU-D4'!#REF!</definedName>
    <definedName name="MP_55">'[192]MPU-D4'!#REF!</definedName>
    <definedName name="MP_611">#REF!</definedName>
    <definedName name="MP_612">#REF!</definedName>
    <definedName name="MP_621">'[192]MPU-D6'!#REF!</definedName>
    <definedName name="MP_622">'[192]MPU-D6'!#REF!</definedName>
    <definedName name="MP_623">'[192]MPU-D6'!#REF!</definedName>
    <definedName name="MP_632">'[192]MPU-D6'!#REF!</definedName>
    <definedName name="MP_633">#REF!</definedName>
    <definedName name="MP_634a">'[192]MPU-D6'!#REF!</definedName>
    <definedName name="MP_635">#REF!</definedName>
    <definedName name="MP_66">'[192]MPU-D6'!#REF!</definedName>
    <definedName name="MP_7121">[192]D7!#REF!</definedName>
    <definedName name="MP_7122">[192]D7!#REF!</definedName>
    <definedName name="MP_7123">[192]D7!#REF!</definedName>
    <definedName name="MP_714">[192]D7!#REF!</definedName>
    <definedName name="MP_715">[192]D7!#REF!</definedName>
    <definedName name="MP_716">[192]D7!#REF!</definedName>
    <definedName name="MP_717">[192]D7!#REF!</definedName>
    <definedName name="MP_718">[192]D7!#REF!</definedName>
    <definedName name="MP_7212">[192]D7!#REF!</definedName>
    <definedName name="MP_725">[192]D7!#REF!</definedName>
    <definedName name="MP_731">[192]D7!#REF!</definedName>
    <definedName name="MP_734">[192]D7!#REF!</definedName>
    <definedName name="MP_762">[192]D7!#REF!</definedName>
    <definedName name="MP_781a">[191]D7!$L$5:$V$63</definedName>
    <definedName name="MP_782">[192]D7!#REF!</definedName>
    <definedName name="MP_783">[192]D7!#REF!</definedName>
    <definedName name="MP_811">#REF!</definedName>
    <definedName name="MP_8110">#REF!</definedName>
    <definedName name="MP_8111">#REF!</definedName>
    <definedName name="MP_812">#REF!</definedName>
    <definedName name="MP_813">#REF!</definedName>
    <definedName name="MP_814">#REF!</definedName>
    <definedName name="MP_815">#REF!</definedName>
    <definedName name="MP_817">#REF!</definedName>
    <definedName name="MP_818">#REF!</definedName>
    <definedName name="MP_819">#REF!</definedName>
    <definedName name="MP_831">#REF!</definedName>
    <definedName name="MP_841">#REF!</definedName>
    <definedName name="MP_843">#REF!</definedName>
    <definedName name="MP_844a">#REF!</definedName>
    <definedName name="MP_844b">#REF!</definedName>
    <definedName name="MP_845">#REF!</definedName>
    <definedName name="mt">'[48]Harga Satuan'!$G$16</definedName>
    <definedName name="MU">'[193]CF-satu'!$BI$69</definedName>
    <definedName name="Multipleks_9mm_1_2x2_4">#REF!</definedName>
    <definedName name="multiroof">[70]UPAH!$E$62</definedName>
    <definedName name="MULTY_TEST">[68]Daftar_Harga_BAHAN_UPAH!#REF!</definedName>
    <definedName name="N">#REF!</definedName>
    <definedName name="NA">#REF!</definedName>
    <definedName name="nail">#REF!</definedName>
    <definedName name="NAKO">[68]Daftar_Harga_BAHAN_UPAH!#REF!</definedName>
    <definedName name="Nako_5">'[84] Upah'!$I$116</definedName>
    <definedName name="nama">[194]Master!$D$6</definedName>
    <definedName name="nat">'[107]Hrg satuan'!$H$25</definedName>
    <definedName name="Nilai_KD_dan_Rangking_Gabungan">#REF!</definedName>
    <definedName name="nip">'[68]data_lokasi&amp;pelaku'!$D$16</definedName>
    <definedName name="NIPENG">'[181]BAJA TUL'!$J$91</definedName>
    <definedName name="nmdaerah">#REF!</definedName>
    <definedName name="NN" localSheetId="1">DATE(YEAR(Loan_Start),MONTH(Loan_Start)+Payment_Number,DAY(Loan_Start))</definedName>
    <definedName name="NN" localSheetId="3">DATE(YEAR(Loan_Start),MONTH(Loan_Start)+Payment_Number,DAY(Loan_Start))</definedName>
    <definedName name="NN" localSheetId="2">DATE(YEAR(Loan_Start),MONTH(Loan_Start)+Payment_Number,DAY(Loan_Start))</definedName>
    <definedName name="NN">DATE(YEAR(Loan_Start),MONTH(Loan_Start)+Payment_Number,DAY(Loan_Start))</definedName>
    <definedName name="NNNNN">#REF!</definedName>
    <definedName name="No.Anl">'[92]Rek.anls'!$A$3:$O$170</definedName>
    <definedName name="no_rab">'[68]data_lokasi&amp;pelaku'!$D$17</definedName>
    <definedName name="nok">[83]Hb!$K$126</definedName>
    <definedName name="NOK_AL">#REF!</definedName>
    <definedName name="Nok_Genteng_Metal">'[106]Harga Bahan'!$L$108</definedName>
    <definedName name="Nokgenteng">[66]ANALISA!$L$357</definedName>
    <definedName name="Nokseng">[66]ANALISA!$L$373</definedName>
    <definedName name="nomor">#REF!</definedName>
    <definedName name="NONPPN">'[116]R.A.B.  (1)'!$G$164</definedName>
    <definedName name="NOUM">[19]Material!#REF!</definedName>
    <definedName name="Num_Pmt_Per_Year">#REF!</definedName>
    <definedName name="Number_of_Payments" localSheetId="1">MATCH(0.01,End_Bal,-1)+1</definedName>
    <definedName name="Number_of_Payments" localSheetId="3">MATCH(0.01,End_Bal,-1)+1</definedName>
    <definedName name="Number_of_Payments" localSheetId="2">MATCH(0.01,End_Bal,-1)+1</definedName>
    <definedName name="Number_of_Payments">MATCH(0.01,End_Bal,-1)+1</definedName>
    <definedName name="Nusabord">'[78]Harga Bahan'!$H$35</definedName>
    <definedName name="o">[195]UPAH!#REF!</definedName>
    <definedName name="oe">#REF!</definedName>
    <definedName name="oef">[170]divII!$I$1</definedName>
    <definedName name="OK">[11]Upah!$J$45</definedName>
    <definedName name="old">'[126]12mar98 electronic'!#REF!</definedName>
    <definedName name="oli">'[81]Harga Satuan'!$L$58</definedName>
    <definedName name="olie">[196]bahan!$G$34</definedName>
    <definedName name="om">#REF!</definedName>
    <definedName name="OMC" localSheetId="1" hidden="1">{#N/A,#N/A,TRUE,"Front";#N/A,#N/A,TRUE,"Simple Letter";#N/A,#N/A,TRUE,"Inside";#N/A,#N/A,TRUE,"Contents";#N/A,#N/A,TRUE,"Basis";#N/A,#N/A,TRUE,"Inclusions";#N/A,#N/A,TRUE,"Exclusions";#N/A,#N/A,TRUE,"Areas";#N/A,#N/A,TRUE,"Summary";#N/A,#N/A,TRUE,"Detail"}</definedName>
    <definedName name="OMC" localSheetId="3" hidden="1">{#N/A,#N/A,TRUE,"Front";#N/A,#N/A,TRUE,"Simple Letter";#N/A,#N/A,TRUE,"Inside";#N/A,#N/A,TRUE,"Contents";#N/A,#N/A,TRUE,"Basis";#N/A,#N/A,TRUE,"Inclusions";#N/A,#N/A,TRUE,"Exclusions";#N/A,#N/A,TRUE,"Areas";#N/A,#N/A,TRUE,"Summary";#N/A,#N/A,TRUE,"Detail"}</definedName>
    <definedName name="OMC" localSheetId="2" hidden="1">{#N/A,#N/A,TRUE,"Front";#N/A,#N/A,TRUE,"Simple Letter";#N/A,#N/A,TRUE,"Inside";#N/A,#N/A,TRUE,"Contents";#N/A,#N/A,TRUE,"Basis";#N/A,#N/A,TRUE,"Inclusions";#N/A,#N/A,TRUE,"Exclusions";#N/A,#N/A,TRUE,"Areas";#N/A,#N/A,TRUE,"Summary";#N/A,#N/A,TRUE,"Detail"}</definedName>
    <definedName name="OMC" hidden="1">{#N/A,#N/A,TRUE,"Front";#N/A,#N/A,TRUE,"Simple Letter";#N/A,#N/A,TRUE,"Inside";#N/A,#N/A,TRUE,"Contents";#N/A,#N/A,TRUE,"Basis";#N/A,#N/A,TRUE,"Inclusions";#N/A,#N/A,TRUE,"Exclusions";#N/A,#N/A,TRUE,"Areas";#N/A,#N/A,TRUE,"Summary";#N/A,#N/A,TRUE,"Detail"}</definedName>
    <definedName name="OOOO">'[197]BAJA TUL'!$E$11</definedName>
    <definedName name="Operator">#REF!</definedName>
    <definedName name="OPERATOR_ALAT">#REF!</definedName>
    <definedName name="OPORAN_1.5_0.5">[68]Daftar_Harga_BAHAN_UPAH!#REF!</definedName>
    <definedName name="OPORAN_1.5_1">[68]Daftar_Harga_BAHAN_UPAH!#REF!</definedName>
    <definedName name="OPORAN_2.5_2">[68]Daftar_Harga_BAHAN_UPAH!#REF!</definedName>
    <definedName name="OPORAN_2__1.5">[68]Daftar_Harga_BAHAN_UPAH!#REF!</definedName>
    <definedName name="OPORAN_3_2.5">[68]Daftar_Harga_BAHAN_UPAH!#REF!</definedName>
    <definedName name="OPORAN_4_3">[68]Daftar_Harga_BAHAN_UPAH!#REF!</definedName>
    <definedName name="opskantor">#REF!</definedName>
    <definedName name="Org_Hr">#REF!</definedName>
    <definedName name="Orinoir">'[78]Harga Bahan'!#REF!</definedName>
    <definedName name="p">[3]Rek!#REF!</definedName>
    <definedName name="P.PERSONIL">[198]H!$B$33:$S$45</definedName>
    <definedName name="P_10">#REF!</definedName>
    <definedName name="P_12">#REF!</definedName>
    <definedName name="pa">'[48]Harga Satuan'!$G$20</definedName>
    <definedName name="PA0">#REF!</definedName>
    <definedName name="PABL_1">[19]Material!#REF!</definedName>
    <definedName name="PABL_2">[19]Material!#REF!</definedName>
    <definedName name="pabl2a">[19]Material!#REF!</definedName>
    <definedName name="Pagar_besi_kotak">'[78]Harga Bahan'!#REF!</definedName>
    <definedName name="Pagar_brc">'[84] Upah'!$I$122</definedName>
    <definedName name="painst">#REF!</definedName>
    <definedName name="PAJAK">#REF!</definedName>
    <definedName name="PAKET">'[181]BAJA TUL'!$E$9</definedName>
    <definedName name="PAKU">#REF!</definedName>
    <definedName name="PAKU_B2">[68]Daftar_Harga_BAHAN_UPAH!$H$37</definedName>
    <definedName name="PAKU_BIASA">'[84] Upah'!$I$64</definedName>
    <definedName name="Paku_Biasa___2">[45]Harga!$H$123</definedName>
    <definedName name="Paku_Biasa_2_5____3_5">[45]Harga!$H$124</definedName>
    <definedName name="Paku_Biasa_4____6">[45]Harga!$H$125</definedName>
    <definedName name="Paku_Gipsun">'[106]Harga Bahan'!$L$48</definedName>
    <definedName name="Paku_Gypsum">[45]Harga!$H$126</definedName>
    <definedName name="PAKU_K2">[68]Daftar_Harga_BAHAN_UPAH!$H$36</definedName>
    <definedName name="Paku_metal">'[106]Harga Bahan'!$L$51</definedName>
    <definedName name="Paku_Nusabord">'[78]Harga Bahan'!$H$50</definedName>
    <definedName name="Paku_Sekrup">[45]Harga!$H$127</definedName>
    <definedName name="PAKU_SENG">'[84] Upah'!$I$65</definedName>
    <definedName name="paku_tanam">'[120] Bahan&amp;upah'!$H$79</definedName>
    <definedName name="paku_tilux">'[4]DAFTAR HARGA'!#REF!</definedName>
    <definedName name="PAKU_TRIPLEKS">'[84] Upah'!$I$63</definedName>
    <definedName name="paku_triplex">'[50]DAFTAR HARGA'!$J$75</definedName>
    <definedName name="pakub">'[164]HARGA SATUAN'!$E$19</definedName>
    <definedName name="pakubiasa">[38]Upah!$J$45</definedName>
    <definedName name="PAKUGENTENG">[66]HARGA!$F$20</definedName>
    <definedName name="PAKUGENTENGMETAL">#REF!</definedName>
    <definedName name="PAKUGIPSUM">#REF!</definedName>
    <definedName name="pakugyp">[83]Hb!$K$47</definedName>
    <definedName name="pakugypsum">[66]HARGA!$F$19</definedName>
    <definedName name="pakujemb">'[81]Harga Satuan'!$L$30</definedName>
    <definedName name="pakus">'[169]DFTR HARGA BAHAN'!$L$34</definedName>
    <definedName name="PAKUSEKRUP">[66]HARGA!$F$17</definedName>
    <definedName name="pakuseng">'[107]Hrg satuan'!$H$46</definedName>
    <definedName name="pakutrip">[83]Hb!$K$46</definedName>
    <definedName name="PAKUTRIPLEK">[66]HARGA!$F$21</definedName>
    <definedName name="pakutripleks">'[107]Hrg satuan'!$H$45</definedName>
    <definedName name="palapi">[70]UPAH!$E$74</definedName>
    <definedName name="Palop_Socked_PVC_6x6">'[78]Harga Bahan'!#REF!</definedName>
    <definedName name="Palu__8_Juni_2007">[128]Rab!#REF!</definedName>
    <definedName name="palung">[133]A!$L$7</definedName>
    <definedName name="PANEL_KONTROL">[68]Daftar_Harga_BAHAN_UPAH!#REF!</definedName>
    <definedName name="PANELBOX">#REF!</definedName>
    <definedName name="panilpintu">[51]Analisa!$J$370</definedName>
    <definedName name="panwasfel">[51]Analisa!$J$457</definedName>
    <definedName name="papan">[71]Upah!$F$56</definedName>
    <definedName name="papan_fiber_4mm">[49]MANA!$H$28</definedName>
    <definedName name="papan_fiber_6mm">'[4]DAFTAR HARGA'!#REF!</definedName>
    <definedName name="papan_fiber_9mm">'[4]DAFTAR HARGA'!#REF!</definedName>
    <definedName name="papangipsum">'[50]DAFTAR HARGA'!$J$48</definedName>
    <definedName name="papankls2">'[85]Harga Satuan'!$H$41</definedName>
    <definedName name="papanlisplang">[51]Analisa!$J$243</definedName>
    <definedName name="PARAS">[117]analisa!#REF!</definedName>
    <definedName name="PARASAN">#REF!</definedName>
    <definedName name="Pas.batako">[113]analisa!$M$702</definedName>
    <definedName name="pas.batubata1.5">[113]analisa!$M$713</definedName>
    <definedName name="Pas.Batukali">[113]analisa!$M$651</definedName>
    <definedName name="Pas.batukosong">[113]analisa!$M$618</definedName>
    <definedName name="Pas.roster">[113]analisa!$M$988</definedName>
    <definedName name="pas.tegelkeramik30x30">[113]analisa!$M$1023</definedName>
    <definedName name="PAS_BATU_BATA_2">#REF!</definedName>
    <definedName name="PAS_BATU_BATA_5">#REF!</definedName>
    <definedName name="pas_batu_kali">'[68]volume pekerjaan'!$G$12</definedName>
    <definedName name="pas_batu_kosong">'[68]volume pekerjaan'!$G$11</definedName>
    <definedName name="PAS_BATU_KOSONG_TALUD">'[68]volume pekerjaan'!$G$35</definedName>
    <definedName name="PAS_BATU_TALUD">'[68]volume pekerjaan'!$G$36</definedName>
    <definedName name="PAS_BOWLANK_TALUD">'[68]volume pekerjaan'!$G$32</definedName>
    <definedName name="pas_bowpalank">'[68]volume pekerjaan'!$G$8</definedName>
    <definedName name="pas_bronjong_3mm">'[68]volume pekerjaan'!$G$27</definedName>
    <definedName name="pas_bronjong_4mm">'[68]volume pekerjaan'!$G$28</definedName>
    <definedName name="PAS_BTKALI_">#REF!</definedName>
    <definedName name="Pas_FloorDrain">'[63]Analisa Upah Bahan'!$J$907</definedName>
    <definedName name="pas_kaca_bluegreen">'[111]Analisa '!#REF!</definedName>
    <definedName name="pas_kaca_ryband">'[111]Analisa '!#REF!</definedName>
    <definedName name="PAS_KERAMIK_20_">#REF!</definedName>
    <definedName name="Pas_KlosetJongkok">'[63]Analisa Upah Bahan'!$J$901</definedName>
    <definedName name="Pas_KranAir_1\2inci">'[63]Analisa Upah Bahan'!$J$913</definedName>
    <definedName name="Pasanganbatubata15">[51]Analisa!$J$54</definedName>
    <definedName name="PASANGANBATUKOSONG">[66]ANALISA!$L$33</definedName>
    <definedName name="PASANGANDANPLESTERAN">'[66]R A B'!#REF!</definedName>
    <definedName name="PASANGBAKKM">[66]ANALISA!$L$688</definedName>
    <definedName name="PASANGBATUBATA12">[66]ANALISA!$L$51</definedName>
    <definedName name="PASANGBATUBATA15">[66]ANALISA!$L$60</definedName>
    <definedName name="PASANGBATUKALI">[66]ANALISA!$L$42</definedName>
    <definedName name="PASANGBATUKOSONG">[66]ANALISA!$L$33</definedName>
    <definedName name="PASANGGRENDEL">[66]ANALISA!$L$723</definedName>
    <definedName name="PASANGGRENDELPINTUTANAM">[66]ANALISA!#REF!</definedName>
    <definedName name="PASANGHAGANGIN">[66]ANALISA!$L$737</definedName>
    <definedName name="pasanghouspitalplint">[66]ANALISA!$L$313</definedName>
    <definedName name="pasangjalusi">[66]ANALISA!$L$504</definedName>
    <definedName name="pasangkaca3mm">[66]ANALISA!$L$526</definedName>
    <definedName name="PASANGKLOSEDDUDUK">[66]ANALISA!#REF!</definedName>
    <definedName name="PASANGKLOSEDJONGKOK">[66]ANALISA!#REF!</definedName>
    <definedName name="PASANGKRANAIR">[66]ANALISA!$L$677</definedName>
    <definedName name="Pasanglisprofil">[66]ANALISA!$L$445</definedName>
    <definedName name="PASANGPLOORDRAIN">[66]ANALISA!$L$669</definedName>
    <definedName name="pasangtarikanjendela">[66]ANALISA!$L$730</definedName>
    <definedName name="PASANGWASTAFEL">[66]ANALISA!$L$662</definedName>
    <definedName name="PasBataTrasram_1_2">'[63]Analisa Upah Bahan'!$J$95</definedName>
    <definedName name="PASBATU">[199]analisa!$L$434</definedName>
    <definedName name="pasbet">'[169]DFTR HARGA BAHAN'!$L$20</definedName>
    <definedName name="PASBRONJONG">[117]analisa!#REF!</definedName>
    <definedName name="PASIR">#REF!</definedName>
    <definedName name="pasir_beton">[49]MANA!$H$21</definedName>
    <definedName name="PASIR_HALUS">[76]HARGA!$I$27</definedName>
    <definedName name="pasir_pasang">[49]MANA!$H$20</definedName>
    <definedName name="Pasir_Pasang_Beton">[45]Harga!$H$38</definedName>
    <definedName name="pasir_pasangfan">'[60]DAFTAR HARGA'!#REF!</definedName>
    <definedName name="PASIR_TIMBUNAN">#REF!</definedName>
    <definedName name="pasir_urug">'[50]DAFTAR HARGA'!$J$33</definedName>
    <definedName name="PasirBawahPondasi_Lantai">'[63]Analisa Upah Bahan'!$J$53</definedName>
    <definedName name="PASIRBETON">[66]HARGA!#REF!</definedName>
    <definedName name="pasirp">[83]Hb!$K$21</definedName>
    <definedName name="PASIRPASANG">#REF!</definedName>
    <definedName name="PASIRPASANGAN">[66]HARGA!$F$8</definedName>
    <definedName name="Pasirpsg.beton">[166]UPAH!$F$18</definedName>
    <definedName name="pasiru">[83]Hb!$K$22</definedName>
    <definedName name="pasirurug">[200]BAHAN!#REF!</definedName>
    <definedName name="PASKLOSEDDUDUKMONOBLOK">[66]ANALISA!$L$653</definedName>
    <definedName name="PASPINTU">[117]analisa!#REF!</definedName>
    <definedName name="PATOK">[68]Daftar_Harga_BAHAN_UPAH!$H$48</definedName>
    <definedName name="paving">[11]Upah!$J$24</definedName>
    <definedName name="Paving_Block">[45]Harga!$H$50</definedName>
    <definedName name="Paving_Block_Warna">'[84] Upah'!$I$45</definedName>
    <definedName name="PAVING_BLOK">#REF!</definedName>
    <definedName name="Pavingblock">[134]Upah!#REF!</definedName>
    <definedName name="Pay_Date">#REF!</definedName>
    <definedName name="Pay_Num">#REF!</definedName>
    <definedName name="Payment_Date" localSheetId="1">DATE(YEAR(Loan_Start),MONTH(Loan_Start)+Payment_Number,DAY(Loan_Start))</definedName>
    <definedName name="Payment_Date" localSheetId="3">DATE(YEAR(Loan_Start),MONTH(Loan_Start)+Payment_Number,DAY(Loan_Start))</definedName>
    <definedName name="Payment_Date" localSheetId="2">DATE(YEAR(Loan_Start),MONTH(Loan_Start)+Payment_Number,DAY(Loan_Start))</definedName>
    <definedName name="Payment_Date">DATE(YEAR(Loan_Start),MONTH(Loan_Start)+Payment_Number,DAY(Loan_Start))</definedName>
    <definedName name="PB">#REF!</definedName>
    <definedName name="pbeton">[70]UPAH!$E$10</definedName>
    <definedName name="pbiasa">[201]BAHAN!$G$124</definedName>
    <definedName name="pc">[74]Upah!$F$34</definedName>
    <definedName name="pcl">#REF!</definedName>
    <definedName name="pcpdri">#REF!</definedName>
    <definedName name="pcpfur">#REF!</definedName>
    <definedName name="pecah1015">'[48]Harga Satuan'!$G$41</definedName>
    <definedName name="pecah1020">'[48]Harga Satuan'!$G$42</definedName>
    <definedName name="pedest_roller">#REF!</definedName>
    <definedName name="PEDESTRIANROLLER">#REF!</definedName>
    <definedName name="pek">'[183]UPAH &amp; BAHAN'!$I$17</definedName>
    <definedName name="Pek_Bekesting_Kolom">'[106]Analisa '!$J$154</definedName>
    <definedName name="Pek_Bekesting_Untuk_Sloof">'[106]Analisa '!$J$142</definedName>
    <definedName name="Pek_Pembesian_SNI">'[106]Analisa '!$J$193</definedName>
    <definedName name="PEKAKHIR">#REF!</definedName>
    <definedName name="PEKALATPENGGANTUNG">#REF!</definedName>
    <definedName name="PEKBETON">#REF!</definedName>
    <definedName name="Peker">#REF!</definedName>
    <definedName name="pekerja">[70]UPAH!$E$409</definedName>
    <definedName name="PEKKAYUKOSENDANKAP">#REF!</definedName>
    <definedName name="PEKLANTAIKERAMIK">#REF!</definedName>
    <definedName name="PEKLISTRIK">#REF!</definedName>
    <definedName name="PEKPASANGANDANPLESTERAN">#REF!</definedName>
    <definedName name="PEKPENGECETAN">#REF!</definedName>
    <definedName name="Pekpersiapan">#REF!</definedName>
    <definedName name="PEKSANITASI">#REF!</definedName>
    <definedName name="PEKTANAHDANPASIR">#REF!</definedName>
    <definedName name="pelaburan">#REF!</definedName>
    <definedName name="pelumas">[70]UPAH!$E$381</definedName>
    <definedName name="PEM_LAP_TALUD">'[68]volume pekerjaan'!$G$31</definedName>
    <definedName name="PEMASARAN">#REF!</definedName>
    <definedName name="PEMB">#REF!</definedName>
    <definedName name="pemb_lap_bronjong">'[68]volume pekerjaan'!$G$24</definedName>
    <definedName name="pemb_lapangan">'[68]volume pekerjaan'!$G$7</definedName>
    <definedName name="pemb_mek">#REF!</definedName>
    <definedName name="pemb_sopir">#REF!</definedName>
    <definedName name="Pembagi">#REF!</definedName>
    <definedName name="pembantu">'[36] HARGA'!#REF!</definedName>
    <definedName name="pembesia">#REF!</definedName>
    <definedName name="pembesian">'[68]volume pekerjaan'!$G$17</definedName>
    <definedName name="pembesian_atas">'[68]volume pekerjaan'!$G$21</definedName>
    <definedName name="PEMBESIAN_BIASA">[76]ANALISA!$I$945</definedName>
    <definedName name="Pembongkaran">[202]NP!$L$841:$V$901</definedName>
    <definedName name="pembort">[196]Upah!$G$14</definedName>
    <definedName name="pembsopir">[203]upah!#REF!</definedName>
    <definedName name="Pembuatan_Pagar_Besi">#REF!</definedName>
    <definedName name="Pembuatan_Tombak_Besi_Pagar_Tembok">#REF!</definedName>
    <definedName name="pemeliharaan">#REF!</definedName>
    <definedName name="PEMN">'[204]BAJA TUL CCO'!$J$90</definedName>
    <definedName name="PEMTUK">#REF!</definedName>
    <definedName name="PEN">#REF!</definedName>
    <definedName name="penduduk">#REF!</definedName>
    <definedName name="Pengali">#REF!</definedName>
    <definedName name="PENGAWAS">'[181]BAJA TUL'!$J$90</definedName>
    <definedName name="PENGECATAN">[76]ANALISA!$I$988</definedName>
    <definedName name="PENGECETAN">'[66]R A B'!#REF!</definedName>
    <definedName name="Pengecetan_DindingTembok\Plafond">'[63]Analisa Upah Bahan'!$J$728</definedName>
    <definedName name="Pengecetan_Kayu">'[63]Analisa Upah Bahan'!$J$739</definedName>
    <definedName name="PENGECETANDINDINGTEMBOK">[66]ANALISA!$L$598</definedName>
    <definedName name="PENGECETANKAYU">[66]ANALISA!$L$589</definedName>
    <definedName name="PENGECETANMENIKAYU">[66]ANALISA!$L$606</definedName>
    <definedName name="PENGUKURAN">#REF!</definedName>
    <definedName name="PENJAGA_API">#REF!</definedName>
    <definedName name="Penjaga_Malam">[45]Harga!$H$31</definedName>
    <definedName name="PENJAGA_MESIN">#REF!</definedName>
    <definedName name="per">'[205]R A B'!$F$307</definedName>
    <definedName name="perdinas">#REF!</definedName>
    <definedName name="PERKERASAN">#REF!</definedName>
    <definedName name="permintaan">#REF!</definedName>
    <definedName name="PERSIAPAN">[141]BEDAH!#REF!</definedName>
    <definedName name="Pertamina">'[42]H DSR'!$A$62:$G$62</definedName>
    <definedName name="pgypsum">#REF!</definedName>
    <definedName name="Pijar_5.40">'[84] Upah'!$I$93</definedName>
    <definedName name="Pijar_60">'[84] Upah'!$I$94</definedName>
    <definedName name="PIJAR15">[66]HARGA!#REF!</definedName>
    <definedName name="PIJAR25">[66]HARGA!$F$78</definedName>
    <definedName name="PIJAR40">#REF!</definedName>
    <definedName name="PINTU_ALUMINIUM">#REF!</definedName>
    <definedName name="pintu_dobel_teakwood">#REF!</definedName>
    <definedName name="Pintu_Fiber_KM_WC">[45]Harga!$H$159</definedName>
    <definedName name="pintu_lapis_seng">#REF!</definedName>
    <definedName name="PINTU_PANEL">#REF!</definedName>
    <definedName name="pintu_panil">'[4]DAFTAR HARGA'!#REF!</definedName>
    <definedName name="Pintu_tanam_2_Slag">'[106]Harga Bahan'!$L$52</definedName>
    <definedName name="PINTU_TEAKWOOD">#REF!</definedName>
    <definedName name="pintukamarmandi">[66]ANALISA!$L$497</definedName>
    <definedName name="PINTUKM">[66]ANALISA!#REF!</definedName>
    <definedName name="PINTUKM2">[66]ANALISA!$L$478</definedName>
    <definedName name="pintukunci">[51]Analisa!$J$487</definedName>
    <definedName name="pintupanil">[66]ANALISA!$L$467</definedName>
    <definedName name="pintuteakwood">[66]ANALISA!$L$487</definedName>
    <definedName name="PIPA">[66]HARGA!$F$58</definedName>
    <definedName name="PIPA_16">[68]Daftar_Harga_BAHAN_UPAH!#REF!</definedName>
    <definedName name="pipa_4">'[154]Daftar Upah'!#REF!</definedName>
    <definedName name="PIPA_6_">#REF!</definedName>
    <definedName name="PIPA_8">[68]Daftar_Harga_BAHAN_UPAH!#REF!</definedName>
    <definedName name="PIPA_D3">[68]Daftar_Harga_BAHAN_UPAH!#REF!</definedName>
    <definedName name="PIPA_D4">[68]Daftar_Harga_BAHAN_UPAH!#REF!</definedName>
    <definedName name="Pipa_galvanis2">'[50]DAFTAR HARGA'!$J$166</definedName>
    <definedName name="Pipa_galvanis3">'[50]DAFTAR HARGA'!$J$165</definedName>
    <definedName name="Pipa_GIP_1">'[78]Harga Bahan'!#REF!</definedName>
    <definedName name="Pipa_GIP_1_2">'[78]Harga Bahan'!#REF!</definedName>
    <definedName name="Pipa_GIP_2">'[78]Harga Bahan'!#REF!</definedName>
    <definedName name="Pipa_GIP_3">'[78]Harga Bahan'!#REF!</definedName>
    <definedName name="Pipa_GIP_3_4">'[78]Harga Bahan'!#REF!</definedName>
    <definedName name="Pipa_GIP_4">'[78]Harga Bahan'!#REF!</definedName>
    <definedName name="Pipa_GIP_6">'[78]Harga Bahan'!#REF!</definedName>
    <definedName name="PIPA_GIV_0.5">[68]Daftar_Harga_BAHAN_UPAH!#REF!</definedName>
    <definedName name="Pipa_Hawa_Septictank">'[78]Harga Bahan'!$H$70</definedName>
    <definedName name="pipa_listrik">'[4]DAFTAR HARGA'!$H$89</definedName>
    <definedName name="PIPA_Ø3">[68]Daftar_Harga_BAHAN_UPAH!#REF!</definedName>
    <definedName name="Pipa_Oferflow_GIP_6">'[78]Harga Bahan'!#REF!</definedName>
    <definedName name="Pipa_Otlet_Gip_6">'[78]Harga Bahan'!#REF!</definedName>
    <definedName name="Pipa_outlet_3">'[78]Harga Bahan'!#REF!</definedName>
    <definedName name="Pipa_over_flow_GIP">'[78]Harga Bahan'!#REF!</definedName>
    <definedName name="Pipa_Penghawaan">[45]Harga!$H$158</definedName>
    <definedName name="Pipa_PVC_1_Per_2">'[206]Harga Bahan'!$K$135</definedName>
    <definedName name="Pipa_PVC_4">[45]Harga!$H$90</definedName>
    <definedName name="Pipa_PVC_Ø1">'[78]Harga Bahan'!$H$73</definedName>
    <definedName name="Pipa_PVC_Ø1_Stengah">'[78]Harga Bahan'!#REF!</definedName>
    <definedName name="Pipa_PVC_Ø2">'[78]Harga Bahan'!#REF!</definedName>
    <definedName name="Pipa_PVC_Ø3">'[78]Harga Bahan'!#REF!</definedName>
    <definedName name="Pipa_PVC_Ø3_4">'[78]Harga Bahan'!#REF!</definedName>
    <definedName name="Pipa_PVC_Ø4">'[78]Harga Bahan'!$H$74</definedName>
    <definedName name="Pipa_PVC_Ø6">'[78]Harga Bahan'!#REF!</definedName>
    <definedName name="Pipa_PVC_ØTigaseperampat">'[78]Harga Bahan'!#REF!</definedName>
    <definedName name="Pipa_PVC2">'[50]DAFTAR HARGA'!$J$170</definedName>
    <definedName name="Pipa_PVC3">'[50]DAFTAR HARGA'!$J$171</definedName>
    <definedName name="Pipa_PVC4">'[50]DAFTAR HARGA'!$J$172</definedName>
    <definedName name="Pipa_PVC6">'[50]DAFTAR HARGA'!$J$173</definedName>
    <definedName name="PIPA_SNI_0.5">[68]Daftar_Harga_BAHAN_UPAH!#REF!</definedName>
    <definedName name="PIPA_SNI_1">[68]Daftar_Harga_BAHAN_UPAH!#REF!</definedName>
    <definedName name="PIPA_SNI_1.5">[68]Daftar_Harga_BAHAN_UPAH!#REF!</definedName>
    <definedName name="PIPA_SNI_2">[68]Daftar_Harga_BAHAN_UPAH!#REF!</definedName>
    <definedName name="PIPA_SNI_2.5">[68]Daftar_Harga_BAHAN_UPAH!#REF!</definedName>
    <definedName name="PIPA_SNI_3">[68]Daftar_Harga_BAHAN_UPAH!#REF!</definedName>
    <definedName name="PIPA_SNI_4">[68]Daftar_Harga_BAHAN_UPAH!#REF!</definedName>
    <definedName name="Pipa_T">'[84] Upah'!$I$121</definedName>
    <definedName name="pipabeton">[134]Upah!#REF!</definedName>
    <definedName name="PIPAGIP">[66]HARGA!#REF!</definedName>
    <definedName name="pipagip112">'[207]BAHAN 2'!#REF!</definedName>
    <definedName name="pipagip114">[134]Upah!#REF!</definedName>
    <definedName name="PIPAGIP2">[66]HARGA!$F$54</definedName>
    <definedName name="PIPAGIP3">[66]HARGA!$F$53</definedName>
    <definedName name="pipagip34">[161]Upah!$J$71</definedName>
    <definedName name="PIPAGIV_6_">#REF!</definedName>
    <definedName name="PIPAPENGHAWAAN">[66]HARGA!#REF!</definedName>
    <definedName name="PIPAPVC">[66]HARGA!$F$55</definedName>
    <definedName name="Pisau_Dempul">[45]Harga!$H$97</definedName>
    <definedName name="pisaudempul">'[85]Harga Satuan'!$H$78</definedName>
    <definedName name="pj">'[73]Man Power'!$J$10:$J$45</definedName>
    <definedName name="pjok">'[68]data_lokasi&amp;pelaku'!$D$15</definedName>
    <definedName name="pk">#REF!</definedName>
    <definedName name="pkhr">[184]HSD!$H$45</definedName>
    <definedName name="pkj">[184]HSD!$H$48</definedName>
    <definedName name="pku">#REF!</definedName>
    <definedName name="pl">'[73]Man Power'!$J$10:$J$45</definedName>
    <definedName name="plafon">[51]Analisa!$J$292</definedName>
    <definedName name="PLAFOND">#REF!</definedName>
    <definedName name="Plafond_Tripleks3mm">'[63]Analisa Upah Bahan'!$J$372</definedName>
    <definedName name="PLAFONGIPSUM">[66]ANALISA!$L$415</definedName>
    <definedName name="plafonpapan">[66]ANALISA!$L$435</definedName>
    <definedName name="plafonplywood">[66]ANALISA!#REF!</definedName>
    <definedName name="PLAFONTRIPLEK">[66]ANALISA!$L$424</definedName>
    <definedName name="plamir">[83]Hb!$K$91</definedName>
    <definedName name="Plamir_Tembok">[45]Harga!$H$108</definedName>
    <definedName name="plamirk">'[81]Harga Satuan'!$L$52</definedName>
    <definedName name="plamirt">'[81]Harga Satuan'!$L$53</definedName>
    <definedName name="plamur">'[107]Hrg satuan'!$H$73</definedName>
    <definedName name="PLAMUR_KAYU">[68]Daftar_Harga_BAHAN_UPAH!#REF!</definedName>
    <definedName name="plamur_tembok">'[47]DAFTAR HARGA'!$H$103</definedName>
    <definedName name="plaponplywood">[66]ANALISA!#REF!</definedName>
    <definedName name="plastik_gelombang">'[4]DAFTAR HARGA'!#REF!</definedName>
    <definedName name="plat">'[107]Hrg satuan'!$H$49</definedName>
    <definedName name="PLAT_BED_TRUCK">[76]HARGA!$T$37</definedName>
    <definedName name="PlatDak_10cm_BB110kg">'[63]Analisa Upah Bahan'!#REF!</definedName>
    <definedName name="PlatKanopi_10cm_BB110kg">'[63]Analisa Upah Bahan'!#REF!</definedName>
    <definedName name="PlatLantai_10cm_BB110kg">'[63]Analisa Upah Bahan'!#REF!</definedName>
    <definedName name="PlatLantai_12cm_BB130kg">'[63]Analisa Upah Bahan'!#REF!</definedName>
    <definedName name="playwod4">[71]Upah!$F$68</definedName>
    <definedName name="playwod9">[74]Upah!$F$65</definedName>
    <definedName name="Playwood_tebal_9mm">'[78]Harga Bahan'!#REF!</definedName>
    <definedName name="ples12">[51]Analisa!$J$79</definedName>
    <definedName name="PLES15">[121]Analisa!$K$94</definedName>
    <definedName name="plespondasi">[51]Analisa!$J$87</definedName>
    <definedName name="PLESTER12">[66]ANALISA!#REF!</definedName>
    <definedName name="PLESTER15">[66]ANALISA!$L$68</definedName>
    <definedName name="plesteran">'[68]volume pekerjaan'!$G$13</definedName>
    <definedName name="PLESTERAN_5">#REF!</definedName>
    <definedName name="PLESTERAN_TALUD">'[68]volume pekerjaan'!$G$37</definedName>
    <definedName name="PlesteranDinding_1_5">'[63]Analisa Upah Bahan'!$J$140</definedName>
    <definedName name="plesterandindingbeton1.5tebal1cm">[113]analisa!$M$877</definedName>
    <definedName name="PlesteranPondasiBeton_1_3">'[63]Analisa Upah Bahan'!$J$114</definedName>
    <definedName name="PLESTERKAKIPONDASI">[66]ANALISA!$L$76</definedName>
    <definedName name="plin">[51]Analisa!$J$226</definedName>
    <definedName name="PLIN_10_30">#REF!</definedName>
    <definedName name="Plin10x30">[66]ANALISA!$L$302</definedName>
    <definedName name="PLINKERAMIK">[66]ANALISA!$L$292</definedName>
    <definedName name="Plinkeramik30">[66]ANALISA!$C$1:$C$65536</definedName>
    <definedName name="plint">'[36] HARGA'!$H$94</definedName>
    <definedName name="Plint_Uk_10x40">'[208]Harga Bahan'!$H$85</definedName>
    <definedName name="plitur_jadi">'[120] Bahan&amp;upah'!$H$102</definedName>
    <definedName name="PLOU">#REF!</definedName>
    <definedName name="plywood">[66]HARGA!#REF!</definedName>
    <definedName name="pm">'[73]Man Power'!$J$10:$J$45</definedName>
    <definedName name="PNEUMATICK">[76]HARGA!$T$15</definedName>
    <definedName name="po">'[73]Man Power'!$J$10:$J$45</definedName>
    <definedName name="pohon">'[48]Harga Satuan'!$G$48</definedName>
    <definedName name="Point_Acc">#REF!</definedName>
    <definedName name="Point_Cable">#REF!</definedName>
    <definedName name="Point_El">#REF!</definedName>
    <definedName name="Point_Jasa">#REF!</definedName>
    <definedName name="point2">#REF!</definedName>
    <definedName name="point3">#REF!</definedName>
    <definedName name="POLITUR">[68]Daftar_Harga_BAHAN_UPAH!#REF!</definedName>
    <definedName name="Politur_Vernis">[45]Harga!$H$92</definedName>
    <definedName name="polos_kabinuang">#REF!</definedName>
    <definedName name="polos_ogogasang">#REF!</definedName>
    <definedName name="polos_ogotua">#REF!</definedName>
    <definedName name="pomc" localSheetId="1" hidden="1">{#N/A,#N/A,TRUE,"Front";#N/A,#N/A,TRUE,"Simple Letter";#N/A,#N/A,TRUE,"Inside";#N/A,#N/A,TRUE,"Contents";#N/A,#N/A,TRUE,"Basis";#N/A,#N/A,TRUE,"Inclusions";#N/A,#N/A,TRUE,"Exclusions";#N/A,#N/A,TRUE,"Areas";#N/A,#N/A,TRUE,"Summary";#N/A,#N/A,TRUE,"Detail"}</definedName>
    <definedName name="pomc" localSheetId="3" hidden="1">{#N/A,#N/A,TRUE,"Front";#N/A,#N/A,TRUE,"Simple Letter";#N/A,#N/A,TRUE,"Inside";#N/A,#N/A,TRUE,"Contents";#N/A,#N/A,TRUE,"Basis";#N/A,#N/A,TRUE,"Inclusions";#N/A,#N/A,TRUE,"Exclusions";#N/A,#N/A,TRUE,"Areas";#N/A,#N/A,TRUE,"Summary";#N/A,#N/A,TRUE,"Detail"}</definedName>
    <definedName name="pomc" localSheetId="2" hidden="1">{#N/A,#N/A,TRUE,"Front";#N/A,#N/A,TRUE,"Simple Letter";#N/A,#N/A,TRUE,"Inside";#N/A,#N/A,TRUE,"Contents";#N/A,#N/A,TRUE,"Basis";#N/A,#N/A,TRUE,"Inclusions";#N/A,#N/A,TRUE,"Exclusions";#N/A,#N/A,TRUE,"Areas";#N/A,#N/A,TRUE,"Summary";#N/A,#N/A,TRUE,"Detail"}</definedName>
    <definedName name="pomc" hidden="1">{#N/A,#N/A,TRUE,"Front";#N/A,#N/A,TRUE,"Simple Letter";#N/A,#N/A,TRUE,"Inside";#N/A,#N/A,TRUE,"Contents";#N/A,#N/A,TRUE,"Basis";#N/A,#N/A,TRUE,"Inclusions";#N/A,#N/A,TRUE,"Exclusions";#N/A,#N/A,TRUE,"Areas";#N/A,#N/A,TRUE,"Summary";#N/A,#N/A,TRUE,"Detail"}</definedName>
    <definedName name="Pompa_air">#REF!</definedName>
    <definedName name="pompa_dragon">'[4]DAFTAR HARGA'!#REF!</definedName>
    <definedName name="POMPA_SANYO">#REF!</definedName>
    <definedName name="pompaair">[134]Upah!#REF!</definedName>
    <definedName name="pompamanual">'[207]BAHAN 2'!#REF!</definedName>
    <definedName name="PONDASI">'[178]DAFTAR SNI'!$A$56:$A$70</definedName>
    <definedName name="PONDASI_BATU">#REF!</definedName>
    <definedName name="PoorPlat_100x100_BB165kg">'[63]Analisa Upah Bahan'!#REF!</definedName>
    <definedName name="PoorPlat_120x120_BB180kg">'[63]Analisa Upah Bahan'!#REF!</definedName>
    <definedName name="PORLANSEMEN">[66]HARGA!$F$10</definedName>
    <definedName name="Porselin_1111">'[84] Upah'!$I$102</definedName>
    <definedName name="Porselin_2020">'[84] Upah'!$I$103</definedName>
    <definedName name="poselin11x11">[161]Upah!$J$37</definedName>
    <definedName name="ppasang">[70]UPAH!$E$9</definedName>
    <definedName name="PPEMBESIAN">[66]ANALISA!$L$156</definedName>
    <definedName name="pplester">[168]UPAH!$K$23</definedName>
    <definedName name="Premium">#REF!</definedName>
    <definedName name="prep">#REF!</definedName>
    <definedName name="Princ">#REF!</definedName>
    <definedName name="_xlnm.Print_Area" localSheetId="1">'Lamp  DURK'!$B$2:$N$40</definedName>
    <definedName name="_xlnm.Print_Area" localSheetId="3">'Lamp 1b APBDes 2026'!$B$2:$F$128</definedName>
    <definedName name="_xlnm.Print_Area" localSheetId="0">'Matriks RKPDes TA 2026'!$C$2:$Q$125</definedName>
    <definedName name="_xlnm.Print_Area" localSheetId="2">'Perdes usulan APBDes 2026'!$B$3:$J$94</definedName>
    <definedName name="_xlnm.Print_Area">'[209]F-25.b LEMBAR CATATAN'!$A$3:$L$68</definedName>
    <definedName name="Print_Area_MI">#REF!</definedName>
    <definedName name="Print_Area_Reset" localSheetId="1">OFFSET(Full_Print,0,0,Last_Row)</definedName>
    <definedName name="Print_Area_Reset" localSheetId="3">OFFSET(Full_Print,0,0,Last_Row)</definedName>
    <definedName name="Print_Area_Reset" localSheetId="2">OFFSET(Full_Print,0,0,Last_Row)</definedName>
    <definedName name="Print_Area_Reset">OFFSET(Full_Print,0,0,Last_Row)</definedName>
    <definedName name="_xlnm.Print_Titles" localSheetId="3">'Lamp 1b APBDes 2026'!$11:$12</definedName>
    <definedName name="_xlnm.Print_Titles" localSheetId="0">'Matriks RKPDes TA 2026'!$10:$12</definedName>
    <definedName name="_xlnm.Print_Titles">#REF!</definedName>
    <definedName name="Print_Titles_MI">#REF!</definedName>
    <definedName name="pro">#REF!</definedName>
    <definedName name="Profil_Beton">#REF!</definedName>
    <definedName name="Profil_Gypsum">[45]Harga!$H$89</definedName>
    <definedName name="profilkayu">[163]Analisa!$J$376</definedName>
    <definedName name="propinsi">'[68]data_lokasi&amp;pelaku'!$D$9</definedName>
    <definedName name="prot">#REF!</definedName>
    <definedName name="pseng">[70]UPAH!$E$298</definedName>
    <definedName name="psf">#REF!</definedName>
    <definedName name="PTJW">#REF!</definedName>
    <definedName name="ptripleks">[70]UPAH!$E$293</definedName>
    <definedName name="pu">#REF!</definedName>
    <definedName name="PUMP">#REF!</definedName>
    <definedName name="puring">#REF!</definedName>
    <definedName name="purug">[70]UPAH!$E$8</definedName>
    <definedName name="PUSAT">'[210]REK.'!#REF!</definedName>
    <definedName name="PUSTAKA">#REF!</definedName>
    <definedName name="pvc">#REF!</definedName>
    <definedName name="PVC_4">'[84] Upah'!$I$120</definedName>
    <definedName name="pvc1inc">'[81]Harga Satuan'!$L$63</definedName>
    <definedName name="qertew">'[211]Man Power'!$M$10:$M$45</definedName>
    <definedName name="QQ">'[87]PEK TANAH'!#REF!</definedName>
    <definedName name="qr">'[73]Man Power'!$O$10:$O$45</definedName>
    <definedName name="qt">'[73]Man Power'!$P$10:$P$45</definedName>
    <definedName name="qu">'[73]Man Power'!$R$10:$R$45</definedName>
    <definedName name="Quarry">'[42]H DSR'!$A$37:$G$37</definedName>
    <definedName name="qw">'[73]Man Power'!$N$10:$N$45</definedName>
    <definedName name="qwer">'[1]ENG-101'!#REF!</definedName>
    <definedName name="QWERQWE" localSheetId="1" hidden="1">{#N/A,#N/A,TRUE,"Front";#N/A,#N/A,TRUE,"Simple Letter";#N/A,#N/A,TRUE,"Inside";#N/A,#N/A,TRUE,"Contents";#N/A,#N/A,TRUE,"Basis";#N/A,#N/A,TRUE,"Inclusions";#N/A,#N/A,TRUE,"Exclusions";#N/A,#N/A,TRUE,"Areas";#N/A,#N/A,TRUE,"Summary";#N/A,#N/A,TRUE,"Detail"}</definedName>
    <definedName name="QWERQWE" localSheetId="3" hidden="1">{#N/A,#N/A,TRUE,"Front";#N/A,#N/A,TRUE,"Simple Letter";#N/A,#N/A,TRUE,"Inside";#N/A,#N/A,TRUE,"Contents";#N/A,#N/A,TRUE,"Basis";#N/A,#N/A,TRUE,"Inclusions";#N/A,#N/A,TRUE,"Exclusions";#N/A,#N/A,TRUE,"Areas";#N/A,#N/A,TRUE,"Summary";#N/A,#N/A,TRUE,"Detail"}</definedName>
    <definedName name="QWERQWE" localSheetId="2" hidden="1">{#N/A,#N/A,TRUE,"Front";#N/A,#N/A,TRUE,"Simple Letter";#N/A,#N/A,TRUE,"Inside";#N/A,#N/A,TRUE,"Contents";#N/A,#N/A,TRUE,"Basis";#N/A,#N/A,TRUE,"Inclusions";#N/A,#N/A,TRUE,"Exclusions";#N/A,#N/A,TRUE,"Areas";#N/A,#N/A,TRUE,"Summary";#N/A,#N/A,TRUE,"Detail"}</definedName>
    <definedName name="QWERQWE" hidden="1">{#N/A,#N/A,TRUE,"Front";#N/A,#N/A,TRUE,"Simple Letter";#N/A,#N/A,TRUE,"Inside";#N/A,#N/A,TRUE,"Contents";#N/A,#N/A,TRUE,"Basis";#N/A,#N/A,TRUE,"Inclusions";#N/A,#N/A,TRUE,"Exclusions";#N/A,#N/A,TRUE,"Areas";#N/A,#N/A,TRUE,"Summary";#N/A,#N/A,TRUE,"Detail"}</definedName>
    <definedName name="qy">'[73]Man Power'!$Q$10:$Q$45</definedName>
    <definedName name="RA">#REF!</definedName>
    <definedName name="RAB" localSheetId="1">Scheduled_Payment+Extra_Payment</definedName>
    <definedName name="RAB" localSheetId="3">Scheduled_Payment+Extra_Payment</definedName>
    <definedName name="RAB" localSheetId="2">Scheduled_Payment+Extra_Payment</definedName>
    <definedName name="RAB">Scheduled_Payment+Extra_Payment</definedName>
    <definedName name="RAB." localSheetId="1">IF(Loan_Amount*Interest_Rate*Loan_Years*Loan_Start&gt;0,1,0)</definedName>
    <definedName name="RAB." localSheetId="3">IF(Loan_Amount*Interest_Rate*Loan_Years*Loan_Start&gt;0,1,0)</definedName>
    <definedName name="RAB." localSheetId="2">IF(Loan_Amount*Interest_Rate*Loan_Years*Loan_Start&gt;0,1,0)</definedName>
    <definedName name="RAB.">IF(Loan_Amount*Interest_Rate*Loan_Years*Loan_Start&gt;0,1,0)</definedName>
    <definedName name="RABBOQ" localSheetId="1">DATE(YEAR(Loan_Start),MONTH(Loan_Start)+Payment_Number,DAY(Loan_Start))</definedName>
    <definedName name="RABBOQ" localSheetId="3">DATE(YEAR(Loan_Start),MONTH(Loan_Start)+Payment_Number,DAY(Loan_Start))</definedName>
    <definedName name="RABBOQ" localSheetId="2">DATE(YEAR(Loan_Start),MONTH(Loan_Start)+Payment_Number,DAY(Loan_Start))</definedName>
    <definedName name="RABBOQ">DATE(YEAR(Loan_Start),MONTH(Loan_Start)+Payment_Number,DAY(Loan_Start))</definedName>
    <definedName name="rabi">[128]Rab!#REF!</definedName>
    <definedName name="rabiii">[128]Rab!#REF!</definedName>
    <definedName name="raiben3">[38]Upah!#REF!</definedName>
    <definedName name="rail">#REF!</definedName>
    <definedName name="railing_teras">'[4]DAFTAR HARGA'!#REF!</definedName>
    <definedName name="RAMIS" localSheetId="1">DATE(YEAR(Loan_Start),MONTH(Loan_Start)+Payment_Number,DAY(Loan_Start))</definedName>
    <definedName name="RAMIS" localSheetId="3">DATE(YEAR(Loan_Start),MONTH(Loan_Start)+Payment_Number,DAY(Loan_Start))</definedName>
    <definedName name="RAMIS" localSheetId="2">DATE(YEAR(Loan_Start),MONTH(Loan_Start)+Payment_Number,DAY(Loan_Start))</definedName>
    <definedName name="RAMIS">DATE(YEAR(Loan_Start),MONTH(Loan_Start)+Payment_Number,DAY(Loan_Start))</definedName>
    <definedName name="Rangka_0.35_0.45">'[78]Harga Bahan'!#REF!</definedName>
    <definedName name="Rangka_C75_65">'[78]Harga Bahan'!#REF!</definedName>
    <definedName name="rangka_daun_jendela">'[111]Analisa '!#REF!</definedName>
    <definedName name="rangka_jendela_Al">'[111]Analisa '!#REF!</definedName>
    <definedName name="Rangka_Kap_Baja_Ringan">'[78]Harga Bahan'!#REF!</definedName>
    <definedName name="Rangka_KayuKlasII">'[63]Analisa Upah Bahan'!$J$334</definedName>
    <definedName name="rangka_pintu_Al">'[111]Analisa '!#REF!</definedName>
    <definedName name="RANGKAPLAFON">[66]ANALISA!$L$406</definedName>
    <definedName name="rbkaderisasi">#REF!</definedName>
    <definedName name="rbkantor">#REF!</definedName>
    <definedName name="rbkendaraan">#REF!</definedName>
    <definedName name="rborkes">#REF!</definedName>
    <definedName name="rbpajak">#REF!</definedName>
    <definedName name="rbperdainas">#REF!</definedName>
    <definedName name="real">[110]REKAP!$G$21</definedName>
    <definedName name="realisasi">[132]RAB!$I$180</definedName>
    <definedName name="REALISASI_BOBOT2">[116]m2!$H$187</definedName>
    <definedName name="REALISASI2">#REF!</definedName>
    <definedName name="Redused_Socked_PVC_3x3">'[78]Harga Bahan'!#REF!</definedName>
    <definedName name="Redused_Socked_PVC_6x6">'[78]Harga Bahan'!#REF!</definedName>
    <definedName name="Redused_Socked_Tee_PVC_6x6">'[78]Harga Bahan'!#REF!</definedName>
    <definedName name="Redused_Socket_Tee_PVC_3x3">'[78]Harga Bahan'!#REF!</definedName>
    <definedName name="Reinf">[145]Concrete!$G$137</definedName>
    <definedName name="rek">'[212]Analisa Harga'!#REF!</definedName>
    <definedName name="REKAP">#REF!</definedName>
    <definedName name="REKAP1" localSheetId="1">MATCH(0.01,End_Bal,-1)+1</definedName>
    <definedName name="REKAP1" localSheetId="3">MATCH(0.01,End_Bal,-1)+1</definedName>
    <definedName name="REKAP1" localSheetId="2">MATCH(0.01,End_Bal,-1)+1</definedName>
    <definedName name="REKAP1">MATCH(0.01,End_Bal,-1)+1</definedName>
    <definedName name="rekap2">'[123]BAJA TUL'!#REF!</definedName>
    <definedName name="rekap3">'[69]BAJA TUL'!#REF!</definedName>
    <definedName name="REKAPA" localSheetId="1">IF(Loan_Amount*Interest_Rate*Loan_Years*Loan_Start&gt;0,1,0)</definedName>
    <definedName name="REKAPA" localSheetId="3">IF(Loan_Amount*Interest_Rate*Loan_Years*Loan_Start&gt;0,1,0)</definedName>
    <definedName name="REKAPA" localSheetId="2">IF(Loan_Amount*Interest_Rate*Loan_Years*Loan_Start&gt;0,1,0)</definedName>
    <definedName name="REKAPA">IF(Loan_Amount*Interest_Rate*Loan_Years*Loan_Start&gt;0,1,0)</definedName>
    <definedName name="REKAPITULASI" localSheetId="1">DATE(YEAR(Loan_Start),MONTH(Loan_Start)+Payment_Number,DAY(Loan_Start))</definedName>
    <definedName name="REKAPITULASI" localSheetId="3">DATE(YEAR(Loan_Start),MONTH(Loan_Start)+Payment_Number,DAY(Loan_Start))</definedName>
    <definedName name="REKAPITULASI" localSheetId="2">DATE(YEAR(Loan_Start),MONTH(Loan_Start)+Payment_Number,DAY(Loan_Start))</definedName>
    <definedName name="REKAPITULASI">DATE(YEAR(Loan_Start),MONTH(Loan_Start)+Payment_Number,DAY(Loan_Start))</definedName>
    <definedName name="RES_KUDA_KUDA">#REF!</definedName>
    <definedName name="residu">[11]Upah!$J$70</definedName>
    <definedName name="Residu_KudaKuda">'[63]Analisa Upah Bahan'!$J$754</definedName>
    <definedName name="RESIDUKAP">[66]ANALISA!$L$611</definedName>
    <definedName name="RINCIANSEWA">#REF!</definedName>
    <definedName name="RINCIANSEWA2">#REF!</definedName>
    <definedName name="ring58">'[81]Harga Satuan'!$L$29</definedName>
    <definedName name="ringbalk">[66]ANALISA!#REF!</definedName>
    <definedName name="RingBalk15\15_BB110kg">'[63]Analisa Upah Bahan'!#REF!</definedName>
    <definedName name="RingBalk15\20_BB110kg">'[63]Analisa Upah Bahan'!$J$286</definedName>
    <definedName name="RINGBALK20X35">[66]ANALISA!#REF!</definedName>
    <definedName name="rm">[213]UPAH!$F$41</definedName>
    <definedName name="ROLLER">#REF!</definedName>
    <definedName name="rooster">'[107]Hrg satuan'!#REF!</definedName>
    <definedName name="roster">[70]UPAH!$E$28</definedName>
    <definedName name="Roster_Beton_20_20">[45]Harga!$H$48</definedName>
    <definedName name="Roster_Beton_25_25">[45]Harga!$H$49</definedName>
    <definedName name="ROSTER25X25">#REF!</definedName>
    <definedName name="ROSTER75CM">#REF!</definedName>
    <definedName name="ROSTERBETON">[66]ANALISA!#REF!</definedName>
    <definedName name="Rp.">#REF!</definedName>
    <definedName name="rr">'[73]Man Power'!$J$10:$J$45</definedName>
    <definedName name="RRR">#REF!</definedName>
    <definedName name="rs">#REF!</definedName>
    <definedName name="rt">'[73]Man Power'!$J$10:$J$45</definedName>
    <definedName name="RTEG">'[214]Man Power'!$L$10:$L$45</definedName>
    <definedName name="ruble">#REF!</definedName>
    <definedName name="RUGILABA">#REF!</definedName>
    <definedName name="RUMAH_JAGA">#REF!</definedName>
    <definedName name="rumput">'[48]Harga Satuan'!$G$47</definedName>
    <definedName name="RUTIN">'[52]Kuantitas &amp; Harga'!#REF!</definedName>
    <definedName name="s">[3]Rek!#REF!</definedName>
    <definedName name="S.TEKNIK">[70]UPAH!$E$396</definedName>
    <definedName name="SA">[45]Harga!$H$128</definedName>
    <definedName name="sakelar_ganda">'[4]DAFTAR HARGA'!#REF!</definedName>
    <definedName name="Sakelar_tunggal">'[4]DAFTAR HARGA'!#REF!</definedName>
    <definedName name="sakelart">[215]UPAH!$F$44</definedName>
    <definedName name="Saklar">'[185]harga on site'!$H$66</definedName>
    <definedName name="SAKLAR_DOBEL">[68]Daftar_Harga_BAHAN_UPAH!#REF!</definedName>
    <definedName name="Saklar_Double">[45]Harga!$H$130</definedName>
    <definedName name="Saklar_Ganda">'[84] Upah'!$I$90</definedName>
    <definedName name="SAKLAR_STOP">[68]Daftar_Harga_BAHAN_UPAH!#REF!</definedName>
    <definedName name="Saklar_Triple">[45]Harga!$H$131</definedName>
    <definedName name="Saklar_Tunggal">'[84] Upah'!$I$91</definedName>
    <definedName name="saklardouble">'[107]Hrg satuan'!#REF!</definedName>
    <definedName name="saklarg">[83]Hb!$K$105</definedName>
    <definedName name="SAKLARGANDA">[66]HARGA!$F$79</definedName>
    <definedName name="SAKLARKOMBINASI">#REF!</definedName>
    <definedName name="saklartigafase">'[85]Harga Satuan'!$H$105</definedName>
    <definedName name="SAKLARTUNGGAL">[66]HARGA!$F$80</definedName>
    <definedName name="Sakura_Roof">'[84] Upah'!#REF!</definedName>
    <definedName name="salhujan">[51]Analisa!$J$418</definedName>
    <definedName name="SALURAN_AIR">#REF!</definedName>
    <definedName name="SALURANAIRHUJAN">[66]ANALISA!$L$619</definedName>
    <definedName name="sand">#REF!</definedName>
    <definedName name="SANITASI">'[66]R A B'!#REF!</definedName>
    <definedName name="SARINGAN_AIR">'[185]harga on site'!#REF!</definedName>
    <definedName name="satuan">'[178]DAFTAR SNI'!$A$1094:$A$1104</definedName>
    <definedName name="sc">#REF!</definedName>
    <definedName name="scc">#REF!</definedName>
    <definedName name="scedu">#REF!</definedName>
    <definedName name="Sched_Pay">#REF!</definedName>
    <definedName name="Scheduled_Extra_Payments">#REF!</definedName>
    <definedName name="Scheduled_Interest_Rate">#REF!</definedName>
    <definedName name="Scheduled_Monthly_Payment">#REF!</definedName>
    <definedName name="SCI.2">#REF!</definedName>
    <definedName name="SCII">#REF!</definedName>
    <definedName name="SCIII">#REF!</definedName>
    <definedName name="SCIV">#REF!</definedName>
    <definedName name="screwatap">[83]Hb!$K$42</definedName>
    <definedName name="SCVI">#REF!</definedName>
    <definedName name="SCVIII">#REF!</definedName>
    <definedName name="SCX">#REF!</definedName>
    <definedName name="sdm">#REF!</definedName>
    <definedName name="SDTR">'[23]Man Power &amp; Comp'!$J$10:$J$45</definedName>
    <definedName name="seal">'[81]Harga Satuan'!$L$65</definedName>
    <definedName name="seal_tape">'[84] Upah'!$I$71</definedName>
    <definedName name="sek">#REF!</definedName>
    <definedName name="sekeringboks">'[85]Harga Satuan'!$H$101</definedName>
    <definedName name="sekring">'[107]Hrg satuan'!$H$103</definedName>
    <definedName name="sekringbox">[134]Upah!#REF!</definedName>
    <definedName name="selected">#REF!</definedName>
    <definedName name="SELISIH">'[2]MHR-ANLIS'!#REF!</definedName>
    <definedName name="semen">[70]UPAH!$E$36</definedName>
    <definedName name="Semen_PC">[45]Harga!$H$56</definedName>
    <definedName name="Semen_portlan">[49]MANA!$H$24</definedName>
    <definedName name="SEMEN_PUTIH">#REF!</definedName>
    <definedName name="Semen_warna">[49]MANA!$H$25</definedName>
    <definedName name="semenp">'[118]HARGA SATUAN'!$E$10</definedName>
    <definedName name="SemenPc">[166]UPAH!$F$48</definedName>
    <definedName name="SEMENPUTIH">[41]HARGA!#REF!</definedName>
    <definedName name="semenw">[83]Hb!$K$28</definedName>
    <definedName name="SEMENWARNA">[66]HARGA!$F$11</definedName>
    <definedName name="SENG">[66]HARGA!$F$38</definedName>
    <definedName name="SENG_BUBUNGAN">[68]Daftar_Harga_BAHAN_UPAH!#REF!</definedName>
    <definedName name="Seng_gelombang">[49]MANA!$H$78</definedName>
    <definedName name="Seng_gelombang_B">'[60]DAFTAR HARGA'!#REF!</definedName>
    <definedName name="Seng_gelombang_besar">'[60]DAFTAR HARGA'!#REF!</definedName>
    <definedName name="Seng_gelombnag_Kecil">[49]MANA!$H$79</definedName>
    <definedName name="seng_plat">'[4]DAFTAR HARGA'!#REF!</definedName>
    <definedName name="Seng_Plat_BJLS_No._20">[45]Harga!$H$58</definedName>
    <definedName name="seng_plat20">'[84] Upah'!$I$57</definedName>
    <definedName name="seng20">[70]UPAH!$E$48</definedName>
    <definedName name="sengg">'[169]DFTR HARGA BAHAN'!$L$26</definedName>
    <definedName name="senggelombang">'[107]Hrg satuan'!$H$47</definedName>
    <definedName name="sengplat">'[107]Hrg satuan'!$H$48</definedName>
    <definedName name="Sensor">[180]notifier!#REF!</definedName>
    <definedName name="Septictank">'[4]DAFTAR HARGA'!#REF!</definedName>
    <definedName name="Septictank150x245_BakPeresapan">'[63]Analisa Upah Bahan'!$J$970</definedName>
    <definedName name="septik">#REF!</definedName>
    <definedName name="SEPTIKTANG">[66]ANALISA!#REF!</definedName>
    <definedName name="sgelombang">[71]Upah!$F$59</definedName>
    <definedName name="sgelombang20">[38]Upah!$J$30</definedName>
    <definedName name="SHOVEL">#REF!</definedName>
    <definedName name="SIARAN">#REF!</definedName>
    <definedName name="sidu">[51]Harga!$F$76</definedName>
    <definedName name="silangkaca">[51]Analisa!$J$354</definedName>
    <definedName name="single">'[65]UP MINOR'!$C$52</definedName>
    <definedName name="SIRTU">#REF!</definedName>
    <definedName name="SITE">'[181]BAJA TUL'!$B$183</definedName>
    <definedName name="SK">#REF!</definedName>
    <definedName name="skontak">[213]UPAH!$F$43</definedName>
    <definedName name="SLH">[3]Rek!#REF!</definedName>
    <definedName name="SLOOF">#REF!</definedName>
    <definedName name="Sloof15\20_BB110kg">'[63]Analisa Upah Bahan'!$J$279</definedName>
    <definedName name="Sloof20\30_BB150kg">'[63]Analisa Upah Bahan'!#REF!</definedName>
    <definedName name="Sloop">[41]ANALISA!#REF!</definedName>
    <definedName name="sm">'[81]Harga Satuan'!$L$37</definedName>
    <definedName name="SMFI.2">#REF!</definedName>
    <definedName name="SMFII">#REF!</definedName>
    <definedName name="SMFIII">#REF!</definedName>
    <definedName name="SMFIV">#REF!</definedName>
    <definedName name="SMFVI">#REF!</definedName>
    <definedName name="SMFVIII">#REF!</definedName>
    <definedName name="SMFX">#REF!</definedName>
    <definedName name="SMLI.2">#REF!</definedName>
    <definedName name="SMLII">#REF!</definedName>
    <definedName name="SMLIII">#REF!</definedName>
    <definedName name="SMLIV">#REF!</definedName>
    <definedName name="SMLVI">#REF!</definedName>
    <definedName name="SMLVIII">#REF!</definedName>
    <definedName name="SMLX">#REF!</definedName>
    <definedName name="SO">#REF!</definedName>
    <definedName name="SOC_DRAT_D0.5">[68]Daftar_Harga_BAHAN_UPAH!#REF!</definedName>
    <definedName name="SOC_DRAT_L0.5">[68]Daftar_Harga_BAHAN_UPAH!#REF!</definedName>
    <definedName name="SOC_DRAT_L1.5">[68]Daftar_Harga_BAHAN_UPAH!#REF!</definedName>
    <definedName name="SOC_DRAT_L2">[68]Daftar_Harga_BAHAN_UPAH!#REF!</definedName>
    <definedName name="SOC_DRAT_L2.5">[68]Daftar_Harga_BAHAN_UPAH!#REF!</definedName>
    <definedName name="SOCK_DRAT_L3">[68]Daftar_Harga_BAHAN_UPAH!#REF!</definedName>
    <definedName name="Sock_GIP1.5">'[185]harga on site'!$H$55</definedName>
    <definedName name="Socked_Drat6">'[78]Harga Bahan'!#REF!</definedName>
    <definedName name="Socket_Drat_3">'[78]Harga Bahan'!#REF!</definedName>
    <definedName name="sodding">#REF!</definedName>
    <definedName name="soil">#REF!</definedName>
    <definedName name="soka">'[81]Harga Satuan'!$L$70</definedName>
    <definedName name="Solar">#REF!</definedName>
    <definedName name="Sopir">#REF!</definedName>
    <definedName name="span">[160]Sbarani!#REF!</definedName>
    <definedName name="span5">#REF!</definedName>
    <definedName name="SPEMBA">[3]Rek!#REF!</definedName>
    <definedName name="splat">[71]Upah!$F$60</definedName>
    <definedName name="splat20">[11]Upah!$J$32</definedName>
    <definedName name="split">[74]Upah!$F$42</definedName>
    <definedName name="spray">'[48]Harga Satuan'!$G$59</definedName>
    <definedName name="SPRAYER">#REF!</definedName>
    <definedName name="sps">'[216]std.wt.'!$A$1:$B$66</definedName>
    <definedName name="SRT.PRM">[70]UPAH!$E$26</definedName>
    <definedName name="SS">'[217]tabel besi beton'!#REF!</definedName>
    <definedName name="SSDSDSD">[70]UPAH!$E$36</definedName>
    <definedName name="SSS">#REF!</definedName>
    <definedName name="SSSDSD">[70]UPAH!$E$28</definedName>
    <definedName name="ST">#REF!</definedName>
    <definedName name="st_crusher">#REF!</definedName>
    <definedName name="Stamper">'[154]Daftar Upah'!#REF!</definedName>
    <definedName name="STDE">[19]Material!#REF!</definedName>
    <definedName name="stde1">[19]Material!#REF!</definedName>
    <definedName name="stone">#REF!</definedName>
    <definedName name="STONE_CRUISHER">[76]HARGA!$T$23</definedName>
    <definedName name="STONE_WALLS">#REF!</definedName>
    <definedName name="STONECRUSHER">#REF!</definedName>
    <definedName name="Stop_Kontak">'[84] Upah'!$I$92</definedName>
    <definedName name="STOP_KRAN_0.5">[68]Daftar_Harga_BAHAN_UPAH!#REF!</definedName>
    <definedName name="STOP_KRAN_1.5">[68]Daftar_Harga_BAHAN_UPAH!#REF!</definedName>
    <definedName name="STOP_KRAN_2">[68]Daftar_Harga_BAHAN_UPAH!#REF!</definedName>
    <definedName name="STOP_KRAN_2.5">[68]Daftar_Harga_BAHAN_UPAH!#REF!</definedName>
    <definedName name="STOP_KRAN_3">[68]Daftar_Harga_BAHAN_UPAH!#REF!</definedName>
    <definedName name="stopk">[83]Hb!$K$103</definedName>
    <definedName name="STOPKONTAK">[66]HARGA!$F$81</definedName>
    <definedName name="STOPKONTAKAC">[66]HARGA!$F$82</definedName>
    <definedName name="STRUKTUR">#REF!</definedName>
    <definedName name="SUBKON">#REF!</definedName>
    <definedName name="sw">'[81]Harga Satuan'!$L$38</definedName>
    <definedName name="swarna">'[218]UPAH PRINT'!$F$48</definedName>
    <definedName name="t">'[48]Harga Satuan'!$G$10</definedName>
    <definedName name="t_loader">#REF!</definedName>
    <definedName name="ta">'[48]Harga Satuan'!$G$71</definedName>
    <definedName name="Tabel">[219]Sheet1!$H$8:$I$17</definedName>
    <definedName name="Tabel_Alat">#REF!</definedName>
    <definedName name="Tabel_Material">#REF!</definedName>
    <definedName name="Tabel_Sub_Contractor">#REF!</definedName>
    <definedName name="Tabel_Upah">#REF!</definedName>
    <definedName name="Talang_Air">#REF!</definedName>
    <definedName name="Talang_Air_Karet">[45]Harga!$H$157</definedName>
    <definedName name="Talang_Karet">'[84] Upah'!$I$59</definedName>
    <definedName name="talang_PVC">'[185]harga on site'!#REF!</definedName>
    <definedName name="talangair">[66]ANALISA!$L$398</definedName>
    <definedName name="TALANGKARET">#REF!</definedName>
    <definedName name="tambah">#REF!</definedName>
    <definedName name="TAMPER">#REF!</definedName>
    <definedName name="TAMPER_VIBRATOR">[76]HARGA!$T$32</definedName>
    <definedName name="TANAH">#REF!</definedName>
    <definedName name="TANAH_BIASA">[76]HARGA!$I$46</definedName>
    <definedName name="TANAH_LIAT">#REF!</definedName>
    <definedName name="Tanah_merah">#REF!</definedName>
    <definedName name="TANAH_TIMBUNAN">#REF!</definedName>
    <definedName name="Tanah_uru">'[60]DAFTAR HARGA'!$I$64</definedName>
    <definedName name="Tanah_Urug">'[50]DAFTAR HARGA'!$J$34</definedName>
    <definedName name="TanahBawahLantai">'[63]Analisa Upah Bahan'!$J$47</definedName>
    <definedName name="TANAHDANPASIR">'[66]R A B'!#REF!</definedName>
    <definedName name="tanahtimbunan">'[112]Harga Satuan'!$H$29</definedName>
    <definedName name="TANAHURUG">[66]HARGA!$F$6</definedName>
    <definedName name="tanam">[213]UPAH!$F$42</definedName>
    <definedName name="tandem">#REF!</definedName>
    <definedName name="Tandem_roller">#REF!</definedName>
    <definedName name="TANDEMROLLER">#REF!</definedName>
    <definedName name="tangkiair">[134]Upah!#REF!</definedName>
    <definedName name="tanjung">#REF!</definedName>
    <definedName name="tarikan">'[58] HARGA'!$H$72</definedName>
    <definedName name="Tarikan_Jendela">[49]MANA!$H$46</definedName>
    <definedName name="TARIKANJENDELA">[66]HARGA!$F$37</definedName>
    <definedName name="TASIRTU">#REF!</definedName>
    <definedName name="TaxTV">10%</definedName>
    <definedName name="TaxXL">5%</definedName>
    <definedName name="TBatu">[172]UPAH!$E$530</definedName>
    <definedName name="TBesi">#REF!</definedName>
    <definedName name="TCat">#REF!</definedName>
    <definedName name="TEAK_OIL">'[84] Upah'!$I$110</definedName>
    <definedName name="teak_wood">'[50]DAFTAR HARGA'!$J$149</definedName>
    <definedName name="TEAKOILVERNIS">#REF!</definedName>
    <definedName name="teakwod">'[36] HARGA'!$H$44</definedName>
    <definedName name="teakwood">'[107]Hrg satuan'!#REF!</definedName>
    <definedName name="Teakwood_Uk._120_x_240_x_3_mm">[45]Harga!$H$85</definedName>
    <definedName name="teakwood90">[38]Upah!$J$53</definedName>
    <definedName name="TEE_0.5">[68]Daftar_Harga_BAHAN_UPAH!#REF!</definedName>
    <definedName name="TEE_1.5_">[68]Daftar_Harga_BAHAN_UPAH!#REF!</definedName>
    <definedName name="TEE_1.5_1.5_0.5">[68]Daftar_Harga_BAHAN_UPAH!#REF!</definedName>
    <definedName name="TEE_2">[68]Daftar_Harga_BAHAN_UPAH!#REF!</definedName>
    <definedName name="TEE_3">[68]Daftar_Harga_BAHAN_UPAH!#REF!</definedName>
    <definedName name="TEE_4">[68]Daftar_Harga_BAHAN_UPAH!#REF!</definedName>
    <definedName name="teer">[83]Hb!$K$90</definedName>
    <definedName name="Teer_residu">'[78]Harga Bahan'!$H$88</definedName>
    <definedName name="TEGEL">[70]UPAH!$E$104</definedName>
    <definedName name="TEGEL_20X20">[68]Daftar_Harga_BAHAN_UPAH!#REF!</definedName>
    <definedName name="TEGEL_30X30">[68]Daftar_Harga_BAHAN_UPAH!#REF!</definedName>
    <definedName name="Tegel_porselin_11x11">'[104]Harga satuan'!$G$72</definedName>
    <definedName name="Tegel10x20">'[218]UPAH PRINT'!$F$119</definedName>
    <definedName name="tegel22">'[36] HARGA'!$H$92</definedName>
    <definedName name="tegel25">'[36] HARGA'!$H$95</definedName>
    <definedName name="tegel30">[70]UPAH!$E$104</definedName>
    <definedName name="tegel33">'[36] HARGA'!$H$91</definedName>
    <definedName name="tegel44">'[36] HARGA'!$H$93</definedName>
    <definedName name="tegelartistik">'[85]Harga Satuan'!$H$114</definedName>
    <definedName name="tegeldinding">'[85]Harga Satuan'!$H$111</definedName>
    <definedName name="tegellantai30">'[85]Harga Satuan'!$H$112</definedName>
    <definedName name="tegelwafel">'[85]Harga Satuan'!$H$110</definedName>
    <definedName name="tejo">'[220]DAFTAR HARGA'!#REF!</definedName>
    <definedName name="tejo1">[221]Upah!#REF!</definedName>
    <definedName name="tejo2">[31]HARGA!#REF!</definedName>
    <definedName name="Tenaga">'[222]Harga S Dasar'!$B$3:$F$60</definedName>
    <definedName name="tendon_air">'[4]DAFTAR HARGA'!#REF!</definedName>
    <definedName name="ter">[215]UPAH!$F$31</definedName>
    <definedName name="tes">#REF!</definedName>
    <definedName name="TEST">#REF!</definedName>
    <definedName name="Tgali">#REF!</definedName>
    <definedName name="tgl">[127]Rekap!$G$28</definedName>
    <definedName name="THANDEM_ROLLER">[76]HARGA!$T$18</definedName>
    <definedName name="thineer">[203]bahan!#REF!</definedName>
    <definedName name="THINNER">[76]HARGA!$I$43</definedName>
    <definedName name="THREEWHEELROLLER">#REF!</definedName>
    <definedName name="TI">#REF!</definedName>
    <definedName name="tiara">[11]Upah!$J$11</definedName>
    <definedName name="Tidak_tersedia">'[42]H DSR'!$A$69:$G$69</definedName>
    <definedName name="tigaroda">[134]Upah!#REF!</definedName>
    <definedName name="tiktang">[51]Analisa!$J$437</definedName>
    <definedName name="tilux_bumbungan">'[4]DAFTAR HARGA'!#REF!</definedName>
    <definedName name="Tilux_Gelombang">'[4]DAFTAR HARGA'!#REF!</definedName>
    <definedName name="TIMB_DATANGKAN">#REF!</definedName>
    <definedName name="TIMB_KEMBALI">#REF!</definedName>
    <definedName name="TIMB_SETEMPAT">#REF!</definedName>
    <definedName name="timbunan">'[68]volume pekerjaan'!$G$10</definedName>
    <definedName name="TIMBUNAN_KEMBAL">#REF!</definedName>
    <definedName name="timdri">#REF!</definedName>
    <definedName name="timfur">#REF!</definedName>
    <definedName name="TIREROLLER">#REF!</definedName>
    <definedName name="titik">'[58] HARGA'!$H$74</definedName>
    <definedName name="TITIKLAMPU">[66]HARGA!$F$73</definedName>
    <definedName name="tk">#REF!</definedName>
    <definedName name="TKayu">#REF!</definedName>
    <definedName name="tkg">'[169]DFTR HARGA BAHAN'!$L$42</definedName>
    <definedName name="TKGBATU">#REF!</definedName>
    <definedName name="TKGGALI">#REF!</definedName>
    <definedName name="tkj">[184]HSD!$H$47</definedName>
    <definedName name="tl">#REF!</definedName>
    <definedName name="TL_20">'[84] Upah'!$I$95</definedName>
    <definedName name="TL_Biasa_20_Watt">[45]Harga!$H$136</definedName>
    <definedName name="TL_Biasa_40_Watt">[45]Harga!$H$137</definedName>
    <definedName name="TL1X25">#REF!</definedName>
    <definedName name="TL1X40">#REF!</definedName>
    <definedName name="TL2X40">#REF!</definedName>
    <definedName name="tlapaluminium">[134]Upah!$J$51</definedName>
    <definedName name="TListrik">#REF!</definedName>
    <definedName name="tn">#REF!</definedName>
    <definedName name="tok">#REF!</definedName>
    <definedName name="tonasa">[223]Upah!$J$27</definedName>
    <definedName name="TOTA">#REF!</definedName>
    <definedName name="total">#REF!</definedName>
    <definedName name="total_fisik">[132]RAB!$N$148</definedName>
    <definedName name="Total_Interest">#REF!</definedName>
    <definedName name="Total_Pay">#REF!</definedName>
    <definedName name="Total_Payment" localSheetId="1">Scheduled_Payment+Extra_Payment</definedName>
    <definedName name="Total_Payment" localSheetId="3">Scheduled_Payment+Extra_Payment</definedName>
    <definedName name="Total_Payment" localSheetId="2">Scheduled_Payment+Extra_Payment</definedName>
    <definedName name="Total_Payment">Scheduled_Payment+Extra_Payment</definedName>
    <definedName name="totalpipa">#REF!</definedName>
    <definedName name="TOTB">'[224]RAB. Rencana '!#REF!</definedName>
    <definedName name="TOTC">#REF!</definedName>
    <definedName name="TOTD">[225]Rencana!#REF!</definedName>
    <definedName name="TOTE">'[224]RAB. Rencana '!#REF!</definedName>
    <definedName name="TOTF">[225]Rencana!#REF!</definedName>
    <definedName name="TOTG">[225]Rencana!#REF!</definedName>
    <definedName name="tpancang">'[81]Harga Satuan'!$L$19</definedName>
    <definedName name="TPAPD">#REF!</definedName>
    <definedName name="TPipa">#REF!</definedName>
    <definedName name="tpk">'[68]data_lokasi&amp;pelaku'!$D$13</definedName>
    <definedName name="tr">[159]Master!$D$6</definedName>
    <definedName name="TRACKLOADER">#REF!</definedName>
    <definedName name="TRAILLER">#REF!</definedName>
    <definedName name="trans">#REF!</definedName>
    <definedName name="TRASRAM">#REF!</definedName>
    <definedName name="TREE_ROLLER">[76]HARGA!$T$31</definedName>
    <definedName name="tree30">#REF!</definedName>
    <definedName name="tree51">#REF!</definedName>
    <definedName name="tripalu">'[81]Harga Satuan'!$L$66</definedName>
    <definedName name="TRIPLEK">[66]HARGA!$F$26</definedName>
    <definedName name="tripleks">[70]UPAH!$E$149</definedName>
    <definedName name="Tripleks_3_mm">#REF!</definedName>
    <definedName name="Tripleks_Lapis_Almunium__120_x_240_x_4_mm">[45]Harga!$H$84</definedName>
    <definedName name="Tripleks_Uk._120_x_240_x_3_mm">[45]Harga!$H$82</definedName>
    <definedName name="Tripleks_Uk._120_x_240_x_4_mm">[45]Harga!$H$83</definedName>
    <definedName name="tripleks2">'[107]Hrg satuan'!#REF!</definedName>
    <definedName name="tripleks3">[38]Upah!$J$49</definedName>
    <definedName name="TRIPLEKSALUMINIUM3MM">#REF!</definedName>
    <definedName name="TRIPLEKSALUMINIUMKULITJERUK">#REF!</definedName>
    <definedName name="TRIPLEX">[68]Daftar_Harga_BAHAN_UPAH!#REF!</definedName>
    <definedName name="trpleks">[74]Upah!$F$62</definedName>
    <definedName name="TRUCK">#REF!</definedName>
    <definedName name="Truk_tanki">#REF!</definedName>
    <definedName name="truk4">'[48]Harga Satuan'!$G$68</definedName>
    <definedName name="truk8">'[48]Harga Satuan'!$G$69</definedName>
    <definedName name="trunk">#REF!</definedName>
    <definedName name="ts">#REF!</definedName>
    <definedName name="tstcbl">#REF!</definedName>
    <definedName name="tt">'[73]Man Power'!$J$10:$J$45</definedName>
    <definedName name="TTKD">[21]CORAT!#REF!</definedName>
    <definedName name="TTTTTT">[70]UPAH!$E$104</definedName>
    <definedName name="tu">'[48]Harga Satuan'!$G$24</definedName>
    <definedName name="tuk">'[62]H. Satuan TK'!$F$16</definedName>
    <definedName name="TUKANG">[226]HARGA!$I$17</definedName>
    <definedName name="Tukang_Batu">#REF!</definedName>
    <definedName name="Tukang_Batu___Kayu___Cat___Pipa___Listrik">#REF!</definedName>
    <definedName name="Tukang_Besi">#REF!</definedName>
    <definedName name="Tukang_Cat">[45]Harga!$H$17</definedName>
    <definedName name="Tukang_gali">'[227]Hrga Bhn'!$H$19</definedName>
    <definedName name="Tukang_Gypsum">[45]Harga!$H$19</definedName>
    <definedName name="Tukang_Kayu">#REF!</definedName>
    <definedName name="Tukang_Las">#REF!</definedName>
    <definedName name="Tukang_Listrik">[45]Harga!$H$22</definedName>
    <definedName name="Tukang_Pipa">#REF!</definedName>
    <definedName name="Tukang_Snei">#REF!</definedName>
    <definedName name="turug">[71]Upah!$F$27</definedName>
    <definedName name="TUTUP_BAK">[68]Daftar_Harga_BAHAN_UPAH!#REF!</definedName>
    <definedName name="ty">'[73]Man Power'!$J$10:$J$45</definedName>
    <definedName name="tyred">#REF!</definedName>
    <definedName name="Tyred_roller">#REF!</definedName>
    <definedName name="u">#REF!</definedName>
    <definedName name="U1_">'[42]H DSR'!$B$9:$H$130</definedName>
    <definedName name="U10_">'[42]H DSR'!$B$17:$H$17</definedName>
    <definedName name="U2_">'[42]H DSR'!$B$9:$H$9</definedName>
    <definedName name="U3_">'[42]H DSR'!$B$10:$H$10</definedName>
    <definedName name="U4_">'[42]H DSR'!$B$11:$H$11</definedName>
    <definedName name="U5_">'[42]H DSR'!$B$12:$H$12</definedName>
    <definedName name="U6_">'[42]H DSR'!$B$13:$H$13</definedName>
    <definedName name="U7_">'[42]H DSR'!$B$14:$H$14</definedName>
    <definedName name="U8_">'[42]H DSR'!$B$15:$H$15</definedName>
    <definedName name="U9_">'[42]H DSR'!$B$16:$H$16</definedName>
    <definedName name="ua2a">'[30]Daftar Harga Upah dan Bahan'!$F$16</definedName>
    <definedName name="ua2b">'[30]Daftar Harga Upah dan Bahan'!$F$17</definedName>
    <definedName name="UB">'[92]Upah&amp;Bahan'!$B$11:$I$184</definedName>
    <definedName name="UBESI24">[228]HSD!#REF!</definedName>
    <definedName name="UBIN_10_30">#REF!</definedName>
    <definedName name="UBIN_20_20">#REF!</definedName>
    <definedName name="UBIN_30_30">#REF!</definedName>
    <definedName name="UBIN_30X30">#REF!</definedName>
    <definedName name="ubin_plin">'[4]DAFTAR HARGA'!#REF!</definedName>
    <definedName name="UBKST">[228]HSD!#REF!</definedName>
    <definedName name="UBUIS">[228]HSD!#REF!</definedName>
    <definedName name="UCOR">[228]HSD!#REF!</definedName>
    <definedName name="UGALI">[228]HSD!#REF!</definedName>
    <definedName name="UGALKER">[228]HSD!#REF!</definedName>
    <definedName name="ulir_kabinuang">#REF!</definedName>
    <definedName name="ulir_ogogasang">#REF!</definedName>
    <definedName name="ulir_ogotua">#REF!</definedName>
    <definedName name="UMUM">#REF!</definedName>
    <definedName name="UNME">[19]Material!#REF!</definedName>
    <definedName name="Untuk_1_M2_Pek._Pasang_Rangka___Plafond_Gypsum">[45]Analisa!$H$471</definedName>
    <definedName name="Untuk_1_M2_Pek._Pasang_Rangka___Plafond_Tripleks">[45]Analisa!$H$456</definedName>
    <definedName name="UOPERATOR">[109]Upah!$G$13</definedName>
    <definedName name="UP">[180]notifier!#REF!</definedName>
    <definedName name="upac">'[96]Unit Price'!#REF!</definedName>
    <definedName name="UPAH">#REF!</definedName>
    <definedName name="UPAH_ANG_PAVING">#REF!</definedName>
    <definedName name="Upah_Kerja_Pemasangan_Rangka_Baja">'[78]Harga Bahan'!#REF!</definedName>
    <definedName name="upclassa">'[96]Unit Price'!#REF!</definedName>
    <definedName name="upclassb">'[96]Unit Price'!#REF!</definedName>
    <definedName name="upcommon">'[96]Unit Price'!#REF!</definedName>
    <definedName name="UPEKERJA">[28]Upah!$G$10</definedName>
    <definedName name="upembankment">'[96]Unit Price'!#REF!</definedName>
    <definedName name="UPEMBOPRT">[109]Upah!$G$14</definedName>
    <definedName name="UPEMBSOPIR">[100]upah!#REF!</definedName>
    <definedName name="uphcn">[26]FORM1!$AU$79</definedName>
    <definedName name="uphpp">[26]FORM1!$AU$64</definedName>
    <definedName name="uphpwr">[26]FORM1!$AB$36</definedName>
    <definedName name="upk225el">'[96]Unit Price'!#REF!</definedName>
    <definedName name="upk225found">'[96]Unit Price'!#REF!</definedName>
    <definedName name="upkerb">'[96]Unit Price'!#REF!</definedName>
    <definedName name="UPLESB">[228]HSD!#REF!</definedName>
    <definedName name="upms">'[96]Unit Price'!#REF!</definedName>
    <definedName name="uprime">'[96]Unit Price'!#REF!</definedName>
    <definedName name="upselect">'[96]Unit Price'!#REF!</definedName>
    <definedName name="upsm">'[96]Unit Price'!#REF!</definedName>
    <definedName name="upsma">'[96]Unit Price'!#REF!</definedName>
    <definedName name="upsrs24">'[96]Unit Price'!#REF!</definedName>
    <definedName name="uptack">'[96]Unit Price'!#REF!</definedName>
    <definedName name="URAIAN">#REF!</definedName>
    <definedName name="URAIAN21">#REF!</definedName>
    <definedName name="URAIAN22E">#REF!</definedName>
    <definedName name="URAIAN22L">#REF!</definedName>
    <definedName name="URAIAN231">#REF!</definedName>
    <definedName name="URAIAN232">#REF!</definedName>
    <definedName name="URAIAN233">#REF!</definedName>
    <definedName name="Uraian234">#REF!</definedName>
    <definedName name="URAIAN234L">#REF!</definedName>
    <definedName name="Uraian235">#REF!</definedName>
    <definedName name="Uraian236">#REF!</definedName>
    <definedName name="URAIAN241">#REF!</definedName>
    <definedName name="URAIAN242">#REF!</definedName>
    <definedName name="URAIAN243">#REF!</definedName>
    <definedName name="Uraian311">#REF!</definedName>
    <definedName name="Uraian312">#REF!</definedName>
    <definedName name="Uraian313">#REF!</definedName>
    <definedName name="Uraian314">#REF!</definedName>
    <definedName name="Uraian315">#REF!</definedName>
    <definedName name="Uraian319">#REF!</definedName>
    <definedName name="Uraian321">#REF!</definedName>
    <definedName name="Uraian322">#REF!</definedName>
    <definedName name="Uraian323">#REF!</definedName>
    <definedName name="URAIAN323L">#REF!</definedName>
    <definedName name="Uraian324">#REF!</definedName>
    <definedName name="Uraian33">#REF!</definedName>
    <definedName name="Uraian331">#REF!</definedName>
    <definedName name="Uraian346">#REF!</definedName>
    <definedName name="URAIAN421">#REF!</definedName>
    <definedName name="URAIAN422">#REF!</definedName>
    <definedName name="URAIAN423">'[144]Div. 4'!#REF!</definedName>
    <definedName name="URAIAN424">'[144]Div. 4'!#REF!</definedName>
    <definedName name="URAIAN425">'[144]Div. 4'!#REF!</definedName>
    <definedName name="URAIAN426">'[144]Div. 4'!#REF!</definedName>
    <definedName name="URAIAN427">'[144]Div. 4'!#REF!</definedName>
    <definedName name="URAIAN511">#REF!</definedName>
    <definedName name="URAIAN512">#REF!</definedName>
    <definedName name="URAIAN521">#REF!</definedName>
    <definedName name="URAIAN522">#REF!</definedName>
    <definedName name="URAIAN541">#REF!</definedName>
    <definedName name="URAIAN542">#REF!</definedName>
    <definedName name="URAIAN611">#REF!</definedName>
    <definedName name="URAIAN612">#REF!</definedName>
    <definedName name="URAIAN621">#REF!</definedName>
    <definedName name="URAIAN622">#REF!</definedName>
    <definedName name="URAIAN623">#REF!</definedName>
    <definedName name="URAIAN631">#REF!</definedName>
    <definedName name="URAIAN632">#REF!</definedName>
    <definedName name="URAIAN633">#REF!</definedName>
    <definedName name="URAIAN634">#REF!</definedName>
    <definedName name="URAIAN635">#REF!</definedName>
    <definedName name="URAIAN635A">#REF!</definedName>
    <definedName name="URAIAN636">#REF!</definedName>
    <definedName name="URAIAN641L">#REF!</definedName>
    <definedName name="URAIAN642">#REF!</definedName>
    <definedName name="URAIAN65">#REF!</definedName>
    <definedName name="URAIAN651">#REF!</definedName>
    <definedName name="URAIAN66">#REF!</definedName>
    <definedName name="URAIAN66PERATA">#REF!</definedName>
    <definedName name="URAIAN66PERMUKAAN">#REF!</definedName>
    <definedName name="URAIAN7101">#REF!</definedName>
    <definedName name="URAIAN7102">#REF!</definedName>
    <definedName name="URAIAN7103">#REF!</definedName>
    <definedName name="URAIAN711">#REF!</definedName>
    <definedName name="URAIAN712">#REF!</definedName>
    <definedName name="URAIAN713">#REF!</definedName>
    <definedName name="URAIAN714">#REF!</definedName>
    <definedName name="URAIAN715">#REF!</definedName>
    <definedName name="URAIAN716">#REF!</definedName>
    <definedName name="URAIAN717">#REF!</definedName>
    <definedName name="URAIAN718">#REF!</definedName>
    <definedName name="URAIAN721">#REF!</definedName>
    <definedName name="URAIAN731">#REF!</definedName>
    <definedName name="URAIAN732">#REF!</definedName>
    <definedName name="URAIAN733">#REF!</definedName>
    <definedName name="URAIAN734">#REF!</definedName>
    <definedName name="URAIAN735">#REF!</definedName>
    <definedName name="URAIAN73PL">#REF!</definedName>
    <definedName name="URAIAN73UL">#REF!</definedName>
    <definedName name="URAIAN744">#REF!</definedName>
    <definedName name="URAIAN745">#REF!</definedName>
    <definedName name="URAIAN751">#REF!</definedName>
    <definedName name="URAIAN752">#REF!</definedName>
    <definedName name="URAIAN7610">#REF!</definedName>
    <definedName name="URAIAN7611">#REF!</definedName>
    <definedName name="URAIAN7612">#REF!</definedName>
    <definedName name="URAIAN7612a">#REF!</definedName>
    <definedName name="URAIAN7612b">#REF!</definedName>
    <definedName name="URAIAN7612c">#REF!</definedName>
    <definedName name="URAIAN7613">#REF!</definedName>
    <definedName name="URAIAN7613a">#REF!</definedName>
    <definedName name="URAIAN7613b">#REF!</definedName>
    <definedName name="URAIAN7613c">#REF!</definedName>
    <definedName name="URAIAN7614">#REF!</definedName>
    <definedName name="URAIAN7614a">#REF!</definedName>
    <definedName name="URAIAN7614b">#REF!</definedName>
    <definedName name="URAIAN7614d">#REF!</definedName>
    <definedName name="URAIAN7614e">#REF!</definedName>
    <definedName name="URAIAN7615">#REF!</definedName>
    <definedName name="URAIAN7616">#REF!</definedName>
    <definedName name="URAIAN7617">#REF!</definedName>
    <definedName name="URAIAN7618">#REF!</definedName>
    <definedName name="URAIAN7619">#REF!</definedName>
    <definedName name="URAIAN7620">#REF!</definedName>
    <definedName name="URAIAN7621">#REF!</definedName>
    <definedName name="URAIAN7625">#REF!</definedName>
    <definedName name="URAIAN7626">#REF!</definedName>
    <definedName name="URAIAN767">#REF!</definedName>
    <definedName name="URAIAN768">#REF!</definedName>
    <definedName name="URAIAN769">#REF!</definedName>
    <definedName name="URAIAN76x">#REF!</definedName>
    <definedName name="URAIAN771">#REF!</definedName>
    <definedName name="URAIAN771a">#REF!</definedName>
    <definedName name="URAIAN771b">#REF!</definedName>
    <definedName name="URAIAN771c">#REF!</definedName>
    <definedName name="URAIAN771d">#REF!</definedName>
    <definedName name="URAIAN772a">#REF!</definedName>
    <definedName name="URAIAN772b">#REF!</definedName>
    <definedName name="URAIAN772c">#REF!</definedName>
    <definedName name="URAIAN772d">#REF!</definedName>
    <definedName name="URAIAN773">#REF!</definedName>
    <definedName name="URAIAN774">#REF!</definedName>
    <definedName name="URAIAN775">#REF!</definedName>
    <definedName name="URAIAN777">#REF!</definedName>
    <definedName name="URAIAN778">#REF!</definedName>
    <definedName name="URAIAN79">#REF!</definedName>
    <definedName name="URAIAN79L">#REF!</definedName>
    <definedName name="URAIAN79manual">#REF!</definedName>
    <definedName name="URAIAN79mekanis">#REF!</definedName>
    <definedName name="URAIAN811">#REF!</definedName>
    <definedName name="URAIAN812">#REF!</definedName>
    <definedName name="URAIAN813">#REF!</definedName>
    <definedName name="URAIAN814">#REF!</definedName>
    <definedName name="URAIAN815">#REF!</definedName>
    <definedName name="URAIAN817">#REF!</definedName>
    <definedName name="URAIAN818">#REF!</definedName>
    <definedName name="URAIAN819">#REF!</definedName>
    <definedName name="URAIAN82">#REF!</definedName>
    <definedName name="URAIAN83">#REF!</definedName>
    <definedName name="Uraian841">#REF!</definedName>
    <definedName name="Uraian8410">#REF!</definedName>
    <definedName name="Uraian842">#REF!</definedName>
    <definedName name="Uraian843">#REF!</definedName>
    <definedName name="Uraian844">#REF!</definedName>
    <definedName name="Uraian845">#REF!</definedName>
    <definedName name="Uraian846">#REF!</definedName>
    <definedName name="Uraian847">#REF!</definedName>
    <definedName name="URAIAN910">'[57]9 PEK-HARIAN'!#REF!</definedName>
    <definedName name="URAIAN911">'[57]9 PEK-HARIAN'!$A$187:$J$248</definedName>
    <definedName name="URAIAN912">'[57]9 PEK-HARIAN'!#REF!</definedName>
    <definedName name="URAIAN913">'[57]9 PEK-HARIAN'!$A$249:$J$310</definedName>
    <definedName name="URAIAN914">'[57]9 PEK-HARIAN'!#REF!</definedName>
    <definedName name="URAIAN915">'[57]9 PEK-HARIAN'!$A$311:$J$372</definedName>
    <definedName name="URAIAN916">'[57]9 PEK-HARIAN'!#REF!</definedName>
    <definedName name="URAIAN917">'[57]9 PEK-HARIAN'!$A$373:$J$434</definedName>
    <definedName name="URAIAN918">'[57]9 PEK-HARIAN'!#REF!</definedName>
    <definedName name="URAIAN919">'[57]9 PEK-HARIAN'!$A$435:$J$495</definedName>
    <definedName name="URAIAN920">'[57]9 PEK-HARIAN'!#REF!</definedName>
    <definedName name="URAIAN94">'[57]9 PEK-HARIAN'!$A$1:$J$62</definedName>
    <definedName name="URAIAN95">'[57]9 PEK-HARIAN'!#REF!</definedName>
    <definedName name="URAIAN96">'[57]9 PEK-HARIAN'!$A$63:$J$124</definedName>
    <definedName name="URAIAN97">'[57]9 PEK-HARIAN'!$A$125:$J$186</definedName>
    <definedName name="URAIAN98">'[57]9 PEK-HARIAN'!#REF!</definedName>
    <definedName name="URAIAN99">'[57]9 PEK-HARIAN'!#REF!</definedName>
    <definedName name="URAIANGEOTEKSTIL">#REF!</definedName>
    <definedName name="URAIANLatasirK">#REF!</definedName>
    <definedName name="URAIANLatasirKL">#REF!</definedName>
    <definedName name="URINOIR">#REF!</definedName>
    <definedName name="Urinoir_Keramik">[45]Harga!$H$147</definedName>
    <definedName name="Urug.psrbwhlantai">[113]analisa!$M$99</definedName>
    <definedName name="URUGAN_PASIR">#REF!</definedName>
    <definedName name="URUGAN_TANAH">#REF!</definedName>
    <definedName name="Uruganbekasgalian">[113]analisa!$M$127</definedName>
    <definedName name="URUGANKEMBALI">[66]ANALISA!$L$13</definedName>
    <definedName name="URUGANPASIRBAWAHLANTAI">[66]ANALISA!$L$18</definedName>
    <definedName name="URUGANTANAHBAWAHLANTAI">[66]ANALISA!$L$23</definedName>
    <definedName name="URUGKEM">[228]HSD!#REF!</definedName>
    <definedName name="USD">'[193]CF Rp-USD'!$BJ$1</definedName>
    <definedName name="USOPIR">[109]Upah!$G$15</definedName>
    <definedName name="USPO">[228]HSD!#REF!</definedName>
    <definedName name="UTAIAN7614c">#REF!</definedName>
    <definedName name="UTAMA">[3]Rek!#REF!</definedName>
    <definedName name="UTILITY_ELECTRICAL_MATERIAL">#REF!</definedName>
    <definedName name="UURUGPASIR">[228]HSD!#REF!</definedName>
    <definedName name="uy">'[73]Man Power'!$T$10:$T$45</definedName>
    <definedName name="V">[43]AHS!#REF!</definedName>
    <definedName name="V_BALOK_20.35">'[229]MIS ALHARERAT PUSAT'!$G$50</definedName>
    <definedName name="V_BALOK_20.40">'[229]MIS ALHARERAT PUSAT'!$G$49</definedName>
    <definedName name="V_BALOK_25.50">'[229]MIS ALHARERAT PUSAT'!$G$48</definedName>
    <definedName name="V_BT_KALI">'[229]MIS ALHARERAT PUSAT'!$G$28</definedName>
    <definedName name="V_BT_KOSONG">'[229]MIS ALHARERAT PUSAT'!$G$27</definedName>
    <definedName name="V_GAL_BT_KALI">'[229]MIS ALHARERAT PUSAT'!$G$19</definedName>
    <definedName name="V_GAL_POER">'[229]MIS ALHARERAT PUSAT'!$G$18</definedName>
    <definedName name="V_KOLOM_40">'[229]MIS ALHARERAT PUSAT'!$G$46</definedName>
    <definedName name="V_METER">[68]Daftar_Harga_BAHAN_UPAH!#REF!</definedName>
    <definedName name="V_PLAT">'[229]MIS ALHARERAT PUSAT'!$G$51</definedName>
    <definedName name="V_POER">'[229]MIS ALHARERAT PUSAT'!$G$43</definedName>
    <definedName name="V_RINGBALK">'[229]MIS ALHARERAT PUSAT'!$G$52</definedName>
    <definedName name="V_SLOOF">'[229]MIS ALHARERAT PUSAT'!$G$44</definedName>
    <definedName name="v_UR_PASIR">'[229]MIS ALHARERAT PUSAT'!$G$23</definedName>
    <definedName name="V_UR_sirtu">'[229]MIS ALHARERAT PUSAT'!$G$22</definedName>
    <definedName name="V_URKEM_BT_KALI">'[229]MIS ALHARERAT PUSAT'!$G$20</definedName>
    <definedName name="Values_Entered" localSheetId="1">IF(Loan_Amount*Interest_Rate*Loan_Years*Loan_Start&gt;0,1,0)</definedName>
    <definedName name="Values_Entered" localSheetId="3">IF(Loan_Amount*Interest_Rate*Loan_Years*Loan_Start&gt;0,1,0)</definedName>
    <definedName name="Values_Entered" localSheetId="2">IF(Loan_Amount*Interest_Rate*Loan_Years*Loan_Start&gt;0,1,0)</definedName>
    <definedName name="Values_Entered">IF(Loan_Amount*Interest_Rate*Loan_Years*Loan_Start&gt;0,1,0)</definedName>
    <definedName name="Valve_Socked_Tee_PVC_6x6">'[78]Harga Bahan'!#REF!</definedName>
    <definedName name="variabel">#REF!</definedName>
    <definedName name="vernis">[11]Upah!$J$62</definedName>
    <definedName name="VI">#REF!</definedName>
    <definedName name="VIBRATOR">#REF!</definedName>
    <definedName name="VIBRATOR_ROLLER">#REF!</definedName>
    <definedName name="vibratory">#REF!</definedName>
    <definedName name="vibro">'[48]Harga Satuan'!$G$61</definedName>
    <definedName name="VIBRO_ROLL">#REF!</definedName>
    <definedName name="VIBROROLLER">#REF!</definedName>
    <definedName name="VII">#REF!</definedName>
    <definedName name="VIII">#REF!</definedName>
    <definedName name="VIN_SILANG_T_5">#REF!</definedName>
    <definedName name="VOLUME">#REF!</definedName>
    <definedName name="VVV">'[217]tabel besi beton'!#REF!</definedName>
    <definedName name="w">[96]BASIC!#REF!</definedName>
    <definedName name="w2w2">#REF!</definedName>
    <definedName name="w35d">[143]BASIC!$D$41</definedName>
    <definedName name="WA">#REF!</definedName>
    <definedName name="Wafel_20.20">'[84] Upah'!$I$98</definedName>
    <definedName name="walas">#REF!</definedName>
    <definedName name="Wall_pipa_otlet_6">'[78]Harga Bahan'!#REF!</definedName>
    <definedName name="Wall_Pipa_Outlet_3">'[78]Harga Bahan'!#REF!</definedName>
    <definedName name="WASTAFEL">[41]HARGA!#REF!</definedName>
    <definedName name="Wastafel_Standar">[45]Harga!$H$148</definedName>
    <definedName name="wastafeldinding">'[85]Harga Satuan'!$H$72</definedName>
    <definedName name="WASTAFELINA">[66]HARGA!#REF!</definedName>
    <definedName name="Wastavel_standar">'[78]Harga Bahan'!$H$124</definedName>
    <definedName name="WATE">[19]Material!#REF!</definedName>
    <definedName name="water">#REF!</definedName>
    <definedName name="Water_mur_3">'[78]Harga Bahan'!#REF!</definedName>
    <definedName name="Water_mur_GIP_6">'[78]Harga Bahan'!#REF!</definedName>
    <definedName name="WATER_PUMP">#REF!</definedName>
    <definedName name="WATER_TANK">#REF!</definedName>
    <definedName name="water250">[74]Upah!$F$57</definedName>
    <definedName name="water300">[74]Upah!$F$58</definedName>
    <definedName name="waterproofing">'[85]Harga Satuan'!$H$80</definedName>
    <definedName name="WATERPUMP">#REF!</definedName>
    <definedName name="WATERTANKER">#REF!</definedName>
    <definedName name="wed">'[230]Man Power &amp; Comp'!$L$10:$L$45</definedName>
    <definedName name="welding_set">#REF!</definedName>
    <definedName name="wer">#REF!</definedName>
    <definedName name="WERD" hidden="1">#REF!</definedName>
    <definedName name="werfg">'[231]Man Power &amp; Comp'!$J$10:$J$45</definedName>
    <definedName name="WERQWREQW" localSheetId="1" hidden="1">{#N/A,#N/A,TRUE,"Front";#N/A,#N/A,TRUE,"Simple Letter";#N/A,#N/A,TRUE,"Inside";#N/A,#N/A,TRUE,"Contents";#N/A,#N/A,TRUE,"Basis";#N/A,#N/A,TRUE,"Inclusions";#N/A,#N/A,TRUE,"Exclusions";#N/A,#N/A,TRUE,"Areas";#N/A,#N/A,TRUE,"Summary";#N/A,#N/A,TRUE,"Detail"}</definedName>
    <definedName name="WERQWREQW" localSheetId="3" hidden="1">{#N/A,#N/A,TRUE,"Front";#N/A,#N/A,TRUE,"Simple Letter";#N/A,#N/A,TRUE,"Inside";#N/A,#N/A,TRUE,"Contents";#N/A,#N/A,TRUE,"Basis";#N/A,#N/A,TRUE,"Inclusions";#N/A,#N/A,TRUE,"Exclusions";#N/A,#N/A,TRUE,"Areas";#N/A,#N/A,TRUE,"Summary";#N/A,#N/A,TRUE,"Detail"}</definedName>
    <definedName name="WERQWREQW" localSheetId="2" hidden="1">{#N/A,#N/A,TRUE,"Front";#N/A,#N/A,TRUE,"Simple Letter";#N/A,#N/A,TRUE,"Inside";#N/A,#N/A,TRUE,"Contents";#N/A,#N/A,TRUE,"Basis";#N/A,#N/A,TRUE,"Inclusions";#N/A,#N/A,TRUE,"Exclusions";#N/A,#N/A,TRUE,"Areas";#N/A,#N/A,TRUE,"Summary";#N/A,#N/A,TRUE,"Detail"}</definedName>
    <definedName name="WERQWREQW" hidden="1">{#N/A,#N/A,TRUE,"Front";#N/A,#N/A,TRUE,"Simple Letter";#N/A,#N/A,TRUE,"Inside";#N/A,#N/A,TRUE,"Contents";#N/A,#N/A,TRUE,"Basis";#N/A,#N/A,TRUE,"Inclusions";#N/A,#N/A,TRUE,"Exclusions";#N/A,#N/A,TRUE,"Areas";#N/A,#N/A,TRUE,"Summary";#N/A,#N/A,TRUE,"Detail"}</definedName>
    <definedName name="wers">'[20]Man Power'!$J$10:$J$45</definedName>
    <definedName name="WESTAFEL">#REF!</definedName>
    <definedName name="WESTAFELGANDA">#REF!</definedName>
    <definedName name="WEW">#REF!</definedName>
    <definedName name="WHEEL_LOAD">#REF!</definedName>
    <definedName name="WHEEL_LOADER">#REF!</definedName>
    <definedName name="WHEELLOADER">#REF!</definedName>
    <definedName name="WHELL_LOADER">[76]HARGA!$T$21</definedName>
    <definedName name="wl">#REF!</definedName>
    <definedName name="Work">#REF!</definedName>
    <definedName name="wp">#REF!</definedName>
    <definedName name="WR">#REF!</definedName>
    <definedName name="wrn.AAA." localSheetId="1" hidden="1">{#N/A,#N/A,FALSE,"REK";#N/A,#N/A,FALSE,"Bq-ARS"}</definedName>
    <definedName name="wrn.AAA." localSheetId="3" hidden="1">{#N/A,#N/A,FALSE,"REK";#N/A,#N/A,FALSE,"Bq-ARS"}</definedName>
    <definedName name="wrn.AAA." localSheetId="2" hidden="1">{#N/A,#N/A,FALSE,"REK";#N/A,#N/A,FALSE,"Bq-ARS"}</definedName>
    <definedName name="wrn.AAA." hidden="1">{#N/A,#N/A,FALSE,"REK";#N/A,#N/A,FALSE,"Bq-ARS"}</definedName>
    <definedName name="wrn.chi._.tiÆt." localSheetId="1" hidden="1">{#N/A,#N/A,FALSE,"Chi tiÆt"}</definedName>
    <definedName name="wrn.chi._.tiÆt." localSheetId="3" hidden="1">{#N/A,#N/A,FALSE,"Chi tiÆt"}</definedName>
    <definedName name="wrn.chi._.tiÆt." localSheetId="2" hidden="1">{#N/A,#N/A,FALSE,"Chi tiÆt"}</definedName>
    <definedName name="wrn.chi._.tiÆt." hidden="1">{#N/A,#N/A,FALSE,"Chi tiÆt"}</definedName>
    <definedName name="wrn.Full._.Report." localSheetId="1" hidden="1">{#N/A,#N/A,TRUE,"Front";#N/A,#N/A,TRUE,"Simple Letter";#N/A,#N/A,TRUE,"Inside";#N/A,#N/A,TRUE,"Contents";#N/A,#N/A,TRUE,"Basis";#N/A,#N/A,TRUE,"Inclusions";#N/A,#N/A,TRUE,"Exclusions";#N/A,#N/A,TRUE,"Areas";#N/A,#N/A,TRUE,"Summary";#N/A,#N/A,TRUE,"Detail"}</definedName>
    <definedName name="wrn.Full._.Report." localSheetId="3"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rtpl." localSheetId="1" hidden="1">{#N/A,#N/A,FALSE,"REK-S-TPL";#N/A,#N/A,FALSE,"REK-TPML";#N/A,#N/A,FALSE,"RAB-TEMPEL"}</definedName>
    <definedName name="wrn.rtpl." localSheetId="3" hidden="1">{#N/A,#N/A,FALSE,"REK-S-TPL";#N/A,#N/A,FALSE,"REK-TPML";#N/A,#N/A,FALSE,"RAB-TEMPEL"}</definedName>
    <definedName name="wrn.rtpl." localSheetId="2" hidden="1">{#N/A,#N/A,FALSE,"REK-S-TPL";#N/A,#N/A,FALSE,"REK-TPML";#N/A,#N/A,FALSE,"RAB-TEMPEL"}</definedName>
    <definedName name="wrn.rtpl." hidden="1">{#N/A,#N/A,FALSE,"REK-S-TPL";#N/A,#N/A,FALSE,"REK-TPML";#N/A,#N/A,FALSE,"RAB-TEMPEL"}</definedName>
    <definedName name="wrn.ry." localSheetId="1" hidden="1">{#N/A,#N/A,FALSE,"REK";#N/A,#N/A,FALSE,"rab"}</definedName>
    <definedName name="wrn.ry." localSheetId="3" hidden="1">{#N/A,#N/A,FALSE,"REK";#N/A,#N/A,FALSE,"rab"}</definedName>
    <definedName name="wrn.ry." localSheetId="2" hidden="1">{#N/A,#N/A,FALSE,"REK";#N/A,#N/A,FALSE,"rab"}</definedName>
    <definedName name="wrn.ry." hidden="1">{#N/A,#N/A,FALSE,"REK";#N/A,#N/A,FALSE,"rab"}</definedName>
    <definedName name="wtr_pump">#REF!</definedName>
    <definedName name="wtt">#REF!</definedName>
    <definedName name="www">#REF!</definedName>
    <definedName name="X">#REF!</definedName>
    <definedName name="xb">'[73]Man Power'!$J$10:$J$45</definedName>
    <definedName name="xc">'[73]Man Power'!$J$10:$J$45</definedName>
    <definedName name="xm">'[73]Man Power'!$J$10:$J$45</definedName>
    <definedName name="xn">'[73]Man Power'!$J$10:$J$45</definedName>
    <definedName name="xv">'[73]Man Power'!$J$10:$J$45</definedName>
    <definedName name="xx" hidden="1">#REF!</definedName>
    <definedName name="yield">#REF!</definedName>
    <definedName name="yo">'[73]Man Power'!$L$10:$L$45</definedName>
    <definedName name="YONS">#REF!</definedName>
    <definedName name="Z">#N/A</definedName>
    <definedName name="Z_062F37CF_EA4D_4E44_8A25_30F7F8EE07FB_.wvu.PrintArea" hidden="1">'[232]ANALISA railing'!#REF!</definedName>
    <definedName name="Z_062F37CF_EA4D_4E44_8A25_30F7F8EE07FB_.wvu.Rows" hidden="1">'[232]ANALISA railing'!#REF!,'[232]ANALISA railing'!$A$58:$IV$58</definedName>
    <definedName name="Z_4900D912_D400_4A61_8DD9_12CD5711EDE2_.wvu.FilterData" hidden="1">'[55]HRG BAHAN &amp; UPAH okk'!#REF!</definedName>
    <definedName name="Z_4A4DBCF5_6E02_43D6_8F4D_223D21633DB8_.wvu.PrintArea" hidden="1">#REF!</definedName>
    <definedName name="Z_4A4DBCF5_6E02_43D6_8F4D_223D21633DB8_.wvu.Rows" hidden="1">#REF!,#REF!</definedName>
    <definedName name="Z_5107985B_0AF1_481E_8B01_41E5AE471770_.wvu.FilterData" hidden="1">'[55]HRG BAHAN &amp; UPAH okk'!#REF!</definedName>
    <definedName name="Z_579C6866_27D7_4D76_AFB4_0265FFFA8617_.wvu.Rows" hidden="1">'[233]P-late'!$A$9:$IV$9,'[233]P-late'!$A$11:$IV$16,'[233]P-late'!$A$20:$IV$22,'[233]P-late'!$A$65:$IV$69,'[233]P-late'!$A$71:$IV$105,'[233]P-late'!$A$111:$IV$115,'[233]P-late'!$A$119:$IV$119,'[233]P-late'!$A$126:$IV$145,'[233]P-late'!$A$147:$IV$226</definedName>
    <definedName name="Z_5E4338DB_0000_47B7_801C_FD302927C5A0_.wvu.Rows" hidden="1">'[234]AnalisaSIPIL RIIL RAP'!$A$1325:$IV$1350</definedName>
    <definedName name="Z_60C09D59_E1B8_4DE0_84A5_C4D52EC877AC_.wvu.Rows" hidden="1">'[55]Analis Kusen okk'!$A$17:$IV$20,'[55]Analis Kusen okk'!$A$25:$IV$26,'[55]Analis Kusen okk'!$A$28:$IV$30,'[55]Analis Kusen okk'!$A$33:$IV$42,'[55]Analis Kusen okk'!$A$44:$IV$44,'[55]Analis Kusen okk'!$A$47:$IV$50,'[55]Analis Kusen okk'!$A$52:$IV$60,'[55]Analis Kusen okk'!$A$65:$IV$67,'[55]Analis Kusen okk'!$A$143:$IV$878</definedName>
    <definedName name="Z_8A65AEEF_2720_423E_8097_8F96864863B5_.wvu.Rows" hidden="1">'[234]AnalisaSIPIL RIIL RAP'!$A$1325:$IV$1350</definedName>
    <definedName name="Z_905CC869_795C_4E5E_B879_52BB42470404_.wvu.FilterData" hidden="1">'[55]HRG BAHAN &amp; UPAH okk'!#REF!</definedName>
    <definedName name="Z_951381D6_C6D1_4C6C_A572_59CAF1F656FA_.wvu.Rows" hidden="1">#REF!</definedName>
    <definedName name="Z_C68F7E66_DBEE_4C62_8CE7_6B99B31303FC_.wvu.Rows" hidden="1">'[235]AnalisaSIPIL RIIL'!$A$208:$IV$214,'[235]AnalisaSIPIL RIIL'!$A$224:$IV$231,'[235]AnalisaSIPIL RIIL'!$A$468:$IV$482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4" i="4" l="1"/>
  <c r="E113" i="4"/>
  <c r="E112" i="4" s="1"/>
  <c r="E111" i="4" s="1"/>
  <c r="D113" i="4"/>
  <c r="D112" i="4"/>
  <c r="D111" i="4"/>
  <c r="E110" i="4"/>
  <c r="C110" i="4"/>
  <c r="E109" i="4"/>
  <c r="E108" i="4" s="1"/>
  <c r="E107" i="4" s="1"/>
  <c r="B109" i="4"/>
  <c r="D109" i="4" s="1"/>
  <c r="B108" i="4"/>
  <c r="D108" i="4" s="1"/>
  <c r="D107" i="4"/>
  <c r="E106" i="4"/>
  <c r="E105" i="4" s="1"/>
  <c r="E100" i="4" s="1"/>
  <c r="C106" i="4"/>
  <c r="B105" i="4"/>
  <c r="D105" i="4" s="1"/>
  <c r="E104" i="4"/>
  <c r="C104" i="4"/>
  <c r="E103" i="4"/>
  <c r="D103" i="4"/>
  <c r="B103" i="4"/>
  <c r="E102" i="4"/>
  <c r="C102" i="4"/>
  <c r="E101" i="4"/>
  <c r="B101" i="4"/>
  <c r="D101" i="4" s="1"/>
  <c r="D100" i="4"/>
  <c r="E99" i="4"/>
  <c r="C99" i="4"/>
  <c r="E98" i="4"/>
  <c r="C98" i="4"/>
  <c r="E97" i="4"/>
  <c r="E94" i="4" s="1"/>
  <c r="E93" i="4" s="1"/>
  <c r="B97" i="4"/>
  <c r="D97" i="4" s="1"/>
  <c r="C96" i="4"/>
  <c r="E95" i="4"/>
  <c r="D95" i="4"/>
  <c r="D94" i="4"/>
  <c r="D93" i="4"/>
  <c r="E92" i="4"/>
  <c r="E91" i="4"/>
  <c r="E90" i="4" s="1"/>
  <c r="E87" i="4" s="1"/>
  <c r="B90" i="4"/>
  <c r="D90" i="4" s="1"/>
  <c r="E89" i="4"/>
  <c r="E88" i="4"/>
  <c r="B88" i="4"/>
  <c r="D88" i="4" s="1"/>
  <c r="D87" i="4"/>
  <c r="E86" i="4"/>
  <c r="E85" i="4"/>
  <c r="D85" i="4"/>
  <c r="E83" i="4"/>
  <c r="B83" i="4"/>
  <c r="D83" i="4" s="1"/>
  <c r="E81" i="4"/>
  <c r="E80" i="4" s="1"/>
  <c r="D81" i="4"/>
  <c r="D80" i="4"/>
  <c r="E78" i="4"/>
  <c r="B78" i="4"/>
  <c r="D78" i="4" s="1"/>
  <c r="E76" i="4"/>
  <c r="E72" i="4" s="1"/>
  <c r="D76" i="4"/>
  <c r="E75" i="4"/>
  <c r="E74" i="4"/>
  <c r="E73" i="4"/>
  <c r="B73" i="4"/>
  <c r="D73" i="4" s="1"/>
  <c r="D72" i="4"/>
  <c r="E71" i="4"/>
  <c r="E69" i="4" s="1"/>
  <c r="E68" i="4" s="1"/>
  <c r="C71" i="4"/>
  <c r="E70" i="4"/>
  <c r="C70" i="4"/>
  <c r="B69" i="4"/>
  <c r="D69" i="4" s="1"/>
  <c r="D68" i="4"/>
  <c r="D67" i="4"/>
  <c r="E66" i="4"/>
  <c r="E65" i="4"/>
  <c r="E64" i="4"/>
  <c r="E63" i="4"/>
  <c r="D63" i="4"/>
  <c r="E62" i="4"/>
  <c r="D62" i="4"/>
  <c r="E61" i="4"/>
  <c r="E60" i="4"/>
  <c r="B60" i="4"/>
  <c r="D60" i="4" s="1"/>
  <c r="E59" i="4"/>
  <c r="D59" i="4"/>
  <c r="E58" i="4"/>
  <c r="E57" i="4" s="1"/>
  <c r="E54" i="4" s="1"/>
  <c r="D57" i="4"/>
  <c r="E56" i="4"/>
  <c r="E55" i="4"/>
  <c r="D55" i="4"/>
  <c r="D54" i="4"/>
  <c r="E53" i="4"/>
  <c r="E51" i="4" s="1"/>
  <c r="E52" i="4"/>
  <c r="D51" i="4"/>
  <c r="E50" i="4"/>
  <c r="E49" i="4"/>
  <c r="B49" i="4"/>
  <c r="D49" i="4" s="1"/>
  <c r="E48" i="4"/>
  <c r="E47" i="4" s="1"/>
  <c r="D47" i="4"/>
  <c r="E46" i="4"/>
  <c r="E45" i="4"/>
  <c r="B45" i="4"/>
  <c r="D45" i="4" s="1"/>
  <c r="E44" i="4"/>
  <c r="E43" i="4" s="1"/>
  <c r="C44" i="4"/>
  <c r="D43" i="4"/>
  <c r="E42" i="4"/>
  <c r="E41" i="4"/>
  <c r="H41" i="4" s="1"/>
  <c r="E40" i="4"/>
  <c r="E39" i="4"/>
  <c r="E38" i="4"/>
  <c r="E37" i="4" s="1"/>
  <c r="B37" i="4"/>
  <c r="D37" i="4" s="1"/>
  <c r="E36" i="4"/>
  <c r="E35" i="4"/>
  <c r="B35" i="4"/>
  <c r="D35" i="4" s="1"/>
  <c r="E34" i="4"/>
  <c r="E33" i="4" s="1"/>
  <c r="B33" i="4"/>
  <c r="D33" i="4" s="1"/>
  <c r="E32" i="4"/>
  <c r="E31" i="4"/>
  <c r="B31" i="4"/>
  <c r="D31" i="4" s="1"/>
  <c r="D30" i="4"/>
  <c r="D29" i="4"/>
  <c r="E24" i="4"/>
  <c r="E23" i="4"/>
  <c r="E22" i="4"/>
  <c r="E21" i="4"/>
  <c r="E20" i="4"/>
  <c r="E19" i="4"/>
  <c r="E18" i="4"/>
  <c r="E17" i="4"/>
  <c r="E16" i="4"/>
  <c r="C16" i="4"/>
  <c r="E15" i="4"/>
  <c r="E14" i="4" s="1"/>
  <c r="E27" i="4" s="1"/>
  <c r="C15" i="4"/>
  <c r="J40" i="3"/>
  <c r="J43" i="3" s="1"/>
  <c r="J38" i="3"/>
  <c r="E30" i="4" l="1"/>
  <c r="E29" i="4" s="1"/>
  <c r="E67" i="4"/>
  <c r="E115" i="4"/>
  <c r="E120" i="4" s="1"/>
  <c r="J45" i="3"/>
  <c r="J42" i="3"/>
  <c r="E121" i="4" l="1"/>
  <c r="E119" i="4"/>
  <c r="E118" i="4" s="1"/>
  <c r="E116" i="4"/>
  <c r="M31" i="2" l="1"/>
  <c r="M32" i="2" s="1"/>
  <c r="M27" i="2"/>
  <c r="M23" i="2"/>
  <c r="M15" i="2"/>
  <c r="L116" i="1" l="1"/>
  <c r="L113" i="1" s="1"/>
  <c r="S115" i="1"/>
  <c r="L115" i="1"/>
  <c r="G115" i="1"/>
  <c r="S114" i="1"/>
  <c r="B114" i="1"/>
  <c r="F114" i="1" s="1"/>
  <c r="A114" i="1"/>
  <c r="D114" i="1" s="1"/>
  <c r="S111" i="1"/>
  <c r="L111" i="1"/>
  <c r="G111" i="1"/>
  <c r="S110" i="1"/>
  <c r="B110" i="1"/>
  <c r="F110" i="1" s="1"/>
  <c r="A110" i="1"/>
  <c r="D110" i="1" s="1"/>
  <c r="F107" i="1"/>
  <c r="L106" i="1"/>
  <c r="L112" i="1" s="1"/>
  <c r="G106" i="1"/>
  <c r="S105" i="1"/>
  <c r="D105" i="1"/>
  <c r="B105" i="1"/>
  <c r="F105" i="1" s="1"/>
  <c r="A105" i="1"/>
  <c r="S103" i="1"/>
  <c r="F103" i="1"/>
  <c r="D103" i="1"/>
  <c r="G101" i="1"/>
  <c r="D101" i="1"/>
  <c r="L100" i="1"/>
  <c r="L90" i="1" s="1"/>
  <c r="D100" i="1"/>
  <c r="L99" i="1"/>
  <c r="S99" i="1" s="1"/>
  <c r="G99" i="1"/>
  <c r="S98" i="1"/>
  <c r="B98" i="1"/>
  <c r="F98" i="1" s="1"/>
  <c r="S97" i="1"/>
  <c r="L97" i="1"/>
  <c r="G97" i="1"/>
  <c r="S96" i="1"/>
  <c r="F96" i="1"/>
  <c r="B96" i="1"/>
  <c r="L95" i="1"/>
  <c r="S95" i="1" s="1"/>
  <c r="G95" i="1"/>
  <c r="S94" i="1"/>
  <c r="D94" i="1"/>
  <c r="B94" i="1"/>
  <c r="F94" i="1" s="1"/>
  <c r="A94" i="1"/>
  <c r="L93" i="1"/>
  <c r="G93" i="1"/>
  <c r="S92" i="1"/>
  <c r="L92" i="1"/>
  <c r="G92" i="1"/>
  <c r="D92" i="1"/>
  <c r="S91" i="1"/>
  <c r="B91" i="1"/>
  <c r="F91" i="1" s="1"/>
  <c r="A91" i="1"/>
  <c r="D91" i="1" s="1"/>
  <c r="G89" i="1"/>
  <c r="D89" i="1"/>
  <c r="D88" i="1"/>
  <c r="L87" i="1"/>
  <c r="S87" i="1" s="1"/>
  <c r="G87" i="1"/>
  <c r="S86" i="1"/>
  <c r="L86" i="1"/>
  <c r="G86" i="1"/>
  <c r="S85" i="1"/>
  <c r="L85" i="1"/>
  <c r="G85" i="1"/>
  <c r="S84" i="1"/>
  <c r="F84" i="1"/>
  <c r="B84" i="1"/>
  <c r="L83" i="1"/>
  <c r="S83" i="1" s="1"/>
  <c r="G83" i="1"/>
  <c r="S82" i="1"/>
  <c r="D82" i="1"/>
  <c r="B82" i="1"/>
  <c r="F82" i="1" s="1"/>
  <c r="A82" i="1"/>
  <c r="L81" i="1"/>
  <c r="S81" i="1" s="1"/>
  <c r="G81" i="1"/>
  <c r="L80" i="1"/>
  <c r="S80" i="1" s="1"/>
  <c r="G80" i="1"/>
  <c r="S79" i="1"/>
  <c r="L79" i="1"/>
  <c r="G79" i="1"/>
  <c r="L78" i="1"/>
  <c r="S78" i="1" s="1"/>
  <c r="G78" i="1"/>
  <c r="S77" i="1"/>
  <c r="B77" i="1"/>
  <c r="F77" i="1" s="1"/>
  <c r="S76" i="1"/>
  <c r="L76" i="1"/>
  <c r="G76" i="1"/>
  <c r="S75" i="1"/>
  <c r="B75" i="1"/>
  <c r="F75" i="1" s="1"/>
  <c r="A75" i="1"/>
  <c r="D75" i="1" s="1"/>
  <c r="S74" i="1"/>
  <c r="L74" i="1"/>
  <c r="G74" i="1"/>
  <c r="S73" i="1"/>
  <c r="B73" i="1"/>
  <c r="F73" i="1" s="1"/>
  <c r="L72" i="1"/>
  <c r="S72" i="1" s="1"/>
  <c r="G72" i="1"/>
  <c r="S71" i="1"/>
  <c r="B71" i="1"/>
  <c r="F71" i="1" s="1"/>
  <c r="L70" i="1"/>
  <c r="S70" i="1" s="1"/>
  <c r="G70" i="1"/>
  <c r="S69" i="1"/>
  <c r="F69" i="1"/>
  <c r="B69" i="1"/>
  <c r="L68" i="1"/>
  <c r="S68" i="1" s="1"/>
  <c r="G68" i="1"/>
  <c r="L67" i="1"/>
  <c r="S67" i="1" s="1"/>
  <c r="G67" i="1"/>
  <c r="S66" i="1"/>
  <c r="L66" i="1"/>
  <c r="G66" i="1"/>
  <c r="S65" i="1"/>
  <c r="L65" i="1"/>
  <c r="G65" i="1"/>
  <c r="S64" i="1"/>
  <c r="F64" i="1"/>
  <c r="D64" i="1"/>
  <c r="B64" i="1"/>
  <c r="L63" i="1"/>
  <c r="S63" i="1" s="1"/>
  <c r="G63" i="1"/>
  <c r="D63" i="1"/>
  <c r="S62" i="1"/>
  <c r="F62" i="1"/>
  <c r="B62" i="1"/>
  <c r="A62" i="1"/>
  <c r="D62" i="1" s="1"/>
  <c r="S61" i="1"/>
  <c r="L61" i="1"/>
  <c r="G61" i="1"/>
  <c r="D61" i="1"/>
  <c r="S60" i="1"/>
  <c r="D60" i="1"/>
  <c r="B60" i="1"/>
  <c r="F60" i="1" s="1"/>
  <c r="S59" i="1"/>
  <c r="L59" i="1"/>
  <c r="G59" i="1"/>
  <c r="D59" i="1"/>
  <c r="S58" i="1"/>
  <c r="F58" i="1"/>
  <c r="B58" i="1"/>
  <c r="L57" i="1"/>
  <c r="S57" i="1" s="1"/>
  <c r="G57" i="1"/>
  <c r="D57" i="1"/>
  <c r="L56" i="1"/>
  <c r="S56" i="1" s="1"/>
  <c r="G56" i="1"/>
  <c r="D56" i="1"/>
  <c r="L55" i="1"/>
  <c r="L88" i="1" s="1"/>
  <c r="L53" i="1" s="1"/>
  <c r="G55" i="1"/>
  <c r="D55" i="1"/>
  <c r="S54" i="1"/>
  <c r="F54" i="1"/>
  <c r="D54" i="1"/>
  <c r="B54" i="1"/>
  <c r="G52" i="1"/>
  <c r="D52" i="1"/>
  <c r="D51" i="1"/>
  <c r="L50" i="1"/>
  <c r="S48" i="1" s="1"/>
  <c r="G50" i="1"/>
  <c r="L49" i="1"/>
  <c r="G49" i="1"/>
  <c r="L48" i="1"/>
  <c r="G48" i="1"/>
  <c r="S47" i="1"/>
  <c r="F47" i="1"/>
  <c r="D47" i="1"/>
  <c r="B47" i="1"/>
  <c r="L46" i="1"/>
  <c r="G46" i="1"/>
  <c r="L45" i="1"/>
  <c r="G45" i="1"/>
  <c r="S44" i="1"/>
  <c r="D44" i="1"/>
  <c r="B44" i="1"/>
  <c r="F44" i="1" s="1"/>
  <c r="L43" i="1"/>
  <c r="S43" i="1" s="1"/>
  <c r="G43" i="1"/>
  <c r="S42" i="1"/>
  <c r="B42" i="1"/>
  <c r="F42" i="1" s="1"/>
  <c r="L41" i="1"/>
  <c r="S41" i="1" s="1"/>
  <c r="G41" i="1"/>
  <c r="D40" i="1"/>
  <c r="B40" i="1"/>
  <c r="F40" i="1" s="1"/>
  <c r="L39" i="1"/>
  <c r="G39" i="1"/>
  <c r="L38" i="1"/>
  <c r="G38" i="1"/>
  <c r="S37" i="1"/>
  <c r="B37" i="1"/>
  <c r="F37" i="1" s="1"/>
  <c r="L35" i="1"/>
  <c r="G35" i="1"/>
  <c r="L34" i="1"/>
  <c r="G34" i="1"/>
  <c r="S33" i="1"/>
  <c r="B33" i="1"/>
  <c r="F33" i="1" s="1"/>
  <c r="L32" i="1"/>
  <c r="S32" i="1" s="1"/>
  <c r="G32" i="1"/>
  <c r="S31" i="1"/>
  <c r="F31" i="1"/>
  <c r="B31" i="1"/>
  <c r="L30" i="1"/>
  <c r="S30" i="1" s="1"/>
  <c r="G30" i="1"/>
  <c r="S29" i="1"/>
  <c r="B29" i="1"/>
  <c r="F29" i="1" s="1"/>
  <c r="S28" i="1"/>
  <c r="L28" i="1"/>
  <c r="G28" i="1"/>
  <c r="S27" i="1"/>
  <c r="F27" i="1"/>
  <c r="B27" i="1"/>
  <c r="S25" i="1"/>
  <c r="L25" i="1"/>
  <c r="G25" i="1"/>
  <c r="L24" i="1"/>
  <c r="S24" i="1" s="1"/>
  <c r="G24" i="1"/>
  <c r="D24" i="1"/>
  <c r="S23" i="1"/>
  <c r="B23" i="1"/>
  <c r="F23" i="1" s="1"/>
  <c r="S22" i="1"/>
  <c r="L22" i="1"/>
  <c r="G22" i="1"/>
  <c r="D22" i="1"/>
  <c r="S21" i="1"/>
  <c r="L21" i="1"/>
  <c r="G21" i="1"/>
  <c r="D21" i="1"/>
  <c r="S20" i="1"/>
  <c r="D20" i="1"/>
  <c r="B20" i="1"/>
  <c r="F20" i="1" s="1"/>
  <c r="S19" i="1"/>
  <c r="L19" i="1"/>
  <c r="G19" i="1"/>
  <c r="D19" i="1"/>
  <c r="S18" i="1"/>
  <c r="L18" i="1"/>
  <c r="G18" i="1"/>
  <c r="D18" i="1"/>
  <c r="S17" i="1"/>
  <c r="F17" i="1"/>
  <c r="B17" i="1"/>
  <c r="L16" i="1"/>
  <c r="S16" i="1" s="1"/>
  <c r="G16" i="1"/>
  <c r="L15" i="1"/>
  <c r="G15" i="1"/>
  <c r="D14" i="1"/>
  <c r="B14" i="1"/>
  <c r="F14" i="1" s="1"/>
  <c r="S38" i="1" l="1"/>
  <c r="S45" i="1"/>
  <c r="S34" i="1"/>
  <c r="L51" i="1"/>
  <c r="L13" i="1" s="1"/>
  <c r="L102" i="1"/>
  <c r="S55" i="1"/>
  <c r="S106" i="1"/>
  <c r="S15" i="1"/>
  <c r="L117" i="1" l="1"/>
</calcChain>
</file>

<file path=xl/sharedStrings.xml><?xml version="1.0" encoding="utf-8"?>
<sst xmlns="http://schemas.openxmlformats.org/spreadsheetml/2006/main" count="876" uniqueCount="356">
  <si>
    <t xml:space="preserve">RANCANGAN RENCANA KERJA PEMERINTAH DESA </t>
  </si>
  <si>
    <t>TAHUN ANGGARAN 2026</t>
  </si>
  <si>
    <t>Desa</t>
  </si>
  <si>
    <t>Olobaru</t>
  </si>
  <si>
    <t>Kecamatan</t>
  </si>
  <si>
    <t>Parigi Selatan</t>
  </si>
  <si>
    <t>Kabupaten</t>
  </si>
  <si>
    <t>Parigi Moutong</t>
  </si>
  <si>
    <t>Propinsi</t>
  </si>
  <si>
    <t>Sulawesi Tengah</t>
  </si>
  <si>
    <t>No</t>
  </si>
  <si>
    <t>Bidang/Jenis Kegiatan</t>
  </si>
  <si>
    <t xml:space="preserve">Lokasi </t>
  </si>
  <si>
    <t>Perkiraan Volume</t>
  </si>
  <si>
    <t>Sasaran Manfaat</t>
  </si>
  <si>
    <t>Waktu Pelaksa  naan</t>
  </si>
  <si>
    <t>Perkiraan Biaya dan Sumber Dana</t>
  </si>
  <si>
    <t>Pola Pelaksanaan</t>
  </si>
  <si>
    <t>Rencana Pelaksana Kegiatan</t>
  </si>
  <si>
    <t>Bidang</t>
  </si>
  <si>
    <t>Jenis Kegiatan</t>
  </si>
  <si>
    <t>Jumlah                       (Rp)</t>
  </si>
  <si>
    <t xml:space="preserve">Sber Dana </t>
  </si>
  <si>
    <t>swakelolah</t>
  </si>
  <si>
    <t>Kerjasama</t>
  </si>
  <si>
    <t>Pihak Ketiga</t>
  </si>
  <si>
    <t>BIDANG PENYELENGGARAAN PEMERINTAHAN DESA</t>
  </si>
  <si>
    <t>1.1</t>
  </si>
  <si>
    <t>1.</t>
  </si>
  <si>
    <t>a</t>
  </si>
  <si>
    <t>Ktr Desa</t>
  </si>
  <si>
    <t>12 OB</t>
  </si>
  <si>
    <t>Kades</t>
  </si>
  <si>
    <t>12 bln</t>
  </si>
  <si>
    <t>ADD</t>
  </si>
  <si>
    <t>√</t>
  </si>
  <si>
    <t>Kaur Keuangan</t>
  </si>
  <si>
    <t>b</t>
  </si>
  <si>
    <t>2.</t>
  </si>
  <si>
    <t>120 OB</t>
  </si>
  <si>
    <t>Perangkat Desa</t>
  </si>
  <si>
    <t>3.</t>
  </si>
  <si>
    <t>84 OB</t>
  </si>
  <si>
    <t>4.</t>
  </si>
  <si>
    <t>1 pkt</t>
  </si>
  <si>
    <t>Pemdes</t>
  </si>
  <si>
    <t>Dll</t>
  </si>
  <si>
    <t>5.</t>
  </si>
  <si>
    <t>Anggota BPD</t>
  </si>
  <si>
    <t>6.</t>
  </si>
  <si>
    <t>7.</t>
  </si>
  <si>
    <t>desa olobaru</t>
  </si>
  <si>
    <t>Ketua RT</t>
  </si>
  <si>
    <t>Kasi Pemerintahan</t>
  </si>
  <si>
    <t>8.</t>
  </si>
  <si>
    <t>Pemdes / Masy</t>
  </si>
  <si>
    <t>DDS</t>
  </si>
  <si>
    <t>Kasi Pelayanan</t>
  </si>
  <si>
    <t>Masyarakat Desa</t>
  </si>
  <si>
    <t>9.</t>
  </si>
  <si>
    <t>600 OB</t>
  </si>
  <si>
    <t>pekerja rentan</t>
  </si>
  <si>
    <t>1.3</t>
  </si>
  <si>
    <t>Petugas pemutahiran</t>
  </si>
  <si>
    <t>1.4</t>
  </si>
  <si>
    <t>4 kali</t>
  </si>
  <si>
    <t>4 hari</t>
  </si>
  <si>
    <t>Kaur Perencanaan</t>
  </si>
  <si>
    <t>1.5</t>
  </si>
  <si>
    <t>Petugas PBB</t>
  </si>
  <si>
    <t>PBH</t>
  </si>
  <si>
    <t>petugas PBB</t>
  </si>
  <si>
    <t>PBR</t>
  </si>
  <si>
    <t>c</t>
  </si>
  <si>
    <t>1 bln</t>
  </si>
  <si>
    <t>SiLPA PBH</t>
  </si>
  <si>
    <t>Jumlah Bidang 1</t>
  </si>
  <si>
    <t>BIDANG PELAKSANAAN PEMBANGUNAN DESA</t>
  </si>
  <si>
    <t>2.1</t>
  </si>
  <si>
    <t>TK PKK</t>
  </si>
  <si>
    <t>Guru Paud</t>
  </si>
  <si>
    <t>Guru SM/TPQ</t>
  </si>
  <si>
    <t>ktr desa</t>
  </si>
  <si>
    <t>50 org</t>
  </si>
  <si>
    <t>lembaga desa dan pemuda</t>
  </si>
  <si>
    <t>1 hari</t>
  </si>
  <si>
    <t>pengelolah taman baca</t>
  </si>
  <si>
    <t>Kaur Umum</t>
  </si>
  <si>
    <t>Kader ILP</t>
  </si>
  <si>
    <t>12 kali</t>
  </si>
  <si>
    <t>960 unit</t>
  </si>
  <si>
    <t>Balita &amp; bumil</t>
  </si>
  <si>
    <t>bumil/balita /lansia</t>
  </si>
  <si>
    <t>d</t>
  </si>
  <si>
    <t>1080 unit</t>
  </si>
  <si>
    <t>lansia</t>
  </si>
  <si>
    <t>dsn 2</t>
  </si>
  <si>
    <t>1 unit</t>
  </si>
  <si>
    <t>35,20 mtr</t>
  </si>
  <si>
    <t>30 hari</t>
  </si>
  <si>
    <t>Kasi Kesra</t>
  </si>
  <si>
    <t>1610 mtr</t>
  </si>
  <si>
    <t>petugas kebersihan</t>
  </si>
  <si>
    <t>6 bulan</t>
  </si>
  <si>
    <t>114 mtr</t>
  </si>
  <si>
    <t>60 hari</t>
  </si>
  <si>
    <t>119 mtr</t>
  </si>
  <si>
    <t>257 mtr</t>
  </si>
  <si>
    <t>70 hari</t>
  </si>
  <si>
    <t>76 mtr</t>
  </si>
  <si>
    <t>3 bh</t>
  </si>
  <si>
    <t>2 pkt</t>
  </si>
  <si>
    <t>petugas pengelolah</t>
  </si>
  <si>
    <t>Jumlah Bidang 2</t>
  </si>
  <si>
    <t>BIDANG PEMBINAAN MASYARAKAT DESA</t>
  </si>
  <si>
    <t>imam/ pendeta</t>
  </si>
  <si>
    <t>Organisasi keagmaan</t>
  </si>
  <si>
    <t>1 minggu</t>
  </si>
  <si>
    <t>dewan adat desa</t>
  </si>
  <si>
    <t>LPM</t>
  </si>
  <si>
    <t>PKK</t>
  </si>
  <si>
    <t>Jumlah Bidang 3</t>
  </si>
  <si>
    <t>BIDANG PEMBERDAYAAN MASYARAKAT DESA</t>
  </si>
  <si>
    <t>4.2</t>
  </si>
  <si>
    <t>4.2.01</t>
  </si>
  <si>
    <t>Bantuan sarana prasarana pertanian</t>
  </si>
  <si>
    <t>Petani/ Pekebun</t>
  </si>
  <si>
    <t>39 org</t>
  </si>
  <si>
    <t>Pengurus Kopdes &amp; pemdes</t>
  </si>
  <si>
    <t>4.5</t>
  </si>
  <si>
    <t>4.5.02</t>
  </si>
  <si>
    <t>Dukungan pengembalian pinjaman koperasi</t>
  </si>
  <si>
    <t>Koperasi Merah Putih</t>
  </si>
  <si>
    <t>12 bulan</t>
  </si>
  <si>
    <t>Dukungan pengembangan usaha simpan pinjam kelompok perempuan</t>
  </si>
  <si>
    <t>Kelompok PKK</t>
  </si>
  <si>
    <t>Pengurus BUMDes dan Pemdes</t>
  </si>
  <si>
    <t>Jumlah Bidang 4</t>
  </si>
  <si>
    <t>D</t>
  </si>
  <si>
    <t>BIDANG PENANGGULANGAN BENCANA</t>
  </si>
  <si>
    <t>34 KK</t>
  </si>
  <si>
    <t>RTM</t>
  </si>
  <si>
    <t>Jumlah Bidang 5</t>
  </si>
  <si>
    <t>Total Bid 1 + bid 2 + Bid 3 + Bid 4 + Bid 5</t>
  </si>
  <si>
    <t>Olobaru , 30 September 2025</t>
  </si>
  <si>
    <t>Mengetahui,</t>
  </si>
  <si>
    <t>Tim Penyusun RKP-Desa</t>
  </si>
  <si>
    <t>KEPALA DESA</t>
  </si>
  <si>
    <t>Ketua</t>
  </si>
  <si>
    <t>ARNOLD</t>
  </si>
  <si>
    <t>NOLDY RAMBI</t>
  </si>
  <si>
    <t>DAFTAR USULAN RENCANA KEGIATAN DESA (DU-RK DESA) TAHUN 2026</t>
  </si>
  <si>
    <t>:  Olobaru</t>
  </si>
  <si>
    <t>:  Parigi Selatan</t>
  </si>
  <si>
    <t>:  Parigi Moutong</t>
  </si>
  <si>
    <t>:  Sulawesi Tengah</t>
  </si>
  <si>
    <t xml:space="preserve">No </t>
  </si>
  <si>
    <t>Mendu kung SDGs ke</t>
  </si>
  <si>
    <t>Data Eksiksting Tahun Berjalan</t>
  </si>
  <si>
    <t>Lokasi (RT/ Dusun)</t>
  </si>
  <si>
    <t>Volume</t>
  </si>
  <si>
    <t>Sasaran Penerima Manfaat</t>
  </si>
  <si>
    <t>Prakiraan Waktu Pelaksanaan</t>
  </si>
  <si>
    <t>Prakiraan Pembiayaan</t>
  </si>
  <si>
    <t>Sumber Pembiayaan</t>
  </si>
  <si>
    <t xml:space="preserve">b </t>
  </si>
  <si>
    <t>e</t>
  </si>
  <si>
    <t>f</t>
  </si>
  <si>
    <t>g</t>
  </si>
  <si>
    <t>h</t>
  </si>
  <si>
    <t>i</t>
  </si>
  <si>
    <t>j</t>
  </si>
  <si>
    <t>k</t>
  </si>
  <si>
    <t>I</t>
  </si>
  <si>
    <t>Bidang Penyelenggaraan Pemerintahan Desa</t>
  </si>
  <si>
    <t>Jumlah Bidang I</t>
  </si>
  <si>
    <t>II</t>
  </si>
  <si>
    <t>Bidang Pelaksanaan Pembangunan Desa</t>
  </si>
  <si>
    <t>Pembangunan bronjong sungai korontua</t>
  </si>
  <si>
    <t>RT1</t>
  </si>
  <si>
    <t>M3</t>
  </si>
  <si>
    <t>org</t>
  </si>
  <si>
    <t>Balai Sungai Sulawesi III Palu</t>
  </si>
  <si>
    <t>Bantuan Stimulan Pembangunan Rumah Swadaya</t>
  </si>
  <si>
    <t>RT1-RT6</t>
  </si>
  <si>
    <t>unit</t>
  </si>
  <si>
    <t>KK</t>
  </si>
  <si>
    <t>PUPR Propinsi</t>
  </si>
  <si>
    <t>Pengaspalan Jl Danau Poso</t>
  </si>
  <si>
    <t>RT3-RT4</t>
  </si>
  <si>
    <t>mtr</t>
  </si>
  <si>
    <t>Dinas PU</t>
  </si>
  <si>
    <t>Pengaspalan Jl Irigasi WK</t>
  </si>
  <si>
    <t>RT5-RT6</t>
  </si>
  <si>
    <t>PU Pengairan</t>
  </si>
  <si>
    <t>Drainase Jl Tadulako &amp; Jl Danau Poso</t>
  </si>
  <si>
    <t>Drainase Jl  pemukiman</t>
  </si>
  <si>
    <t>RT05</t>
  </si>
  <si>
    <t>Tiang listrik</t>
  </si>
  <si>
    <t>bh</t>
  </si>
  <si>
    <t>PLN</t>
  </si>
  <si>
    <t>Jumlah Bidang II</t>
  </si>
  <si>
    <t>III</t>
  </si>
  <si>
    <t>Pembinaan</t>
  </si>
  <si>
    <t>Masyarakat</t>
  </si>
  <si>
    <t>Jumlah Bidang III</t>
  </si>
  <si>
    <t>IV</t>
  </si>
  <si>
    <t>Pemberdayaan</t>
  </si>
  <si>
    <t>Jumlah Bidang IV</t>
  </si>
  <si>
    <t>TOTAL</t>
  </si>
  <si>
    <t>Olobaru, 30 September 2025</t>
  </si>
  <si>
    <t>Ketua TIM Penyusunan RKPDes</t>
  </si>
  <si>
    <t>Kepala Desa</t>
  </si>
  <si>
    <t>NOLDI RAMBI</t>
  </si>
  <si>
    <t>KEPALA DESA OLOBARU</t>
  </si>
  <si>
    <t>KECAMATAN PARIGI SELATAN KABUPATEN PARIGI MOUTONG</t>
  </si>
  <si>
    <t>PERATURAN DESA OLOBARU</t>
  </si>
  <si>
    <t>NOMOR  : 4 TAHUN 2025</t>
  </si>
  <si>
    <t>TENTANG</t>
  </si>
  <si>
    <t>ANGGARAN PENDAPATAN DAN BELANJA DESA  OLOBARU</t>
  </si>
  <si>
    <t>DENGAN RAHMAT TUHAN YANG MAHA ESA</t>
  </si>
  <si>
    <t xml:space="preserve">Menimbang </t>
  </si>
  <si>
    <t>a.</t>
  </si>
  <si>
    <t>bahwa Anggaran Pendapatan dan Belanja Desa sebagai wujud dari pengelolaan keuangan Desa dilaksanakan secara terbuka dan bertanggung jawab untuk sebesar-besarnya kemakmuran masyarakat desa;</t>
  </si>
  <si>
    <t>b.</t>
  </si>
  <si>
    <t>bahwa Anggaran Pendapatan dan Belanja Desa Tahun Anggaran 2026 termuat dalam Peraturan Desa tentang Anggaran Pendapatan dan Belanja Desa Tahun Anggaran 2026 yang disusun sesuai dengan kebutuhan Penyelenggaraan Pemerintahan Desa berdasarkan prinsip Kebersamaan, Efisiensi, Berkeadilan, Berkelanjutan, Berwawasan Lingkungan, dan Kemandirian sehingga menciptakan landasan kuat dalam melaksanakan Pemerintahan dan Pembangunan menuju Masyarakat Adil, Makmur dan Sejahtera;</t>
  </si>
  <si>
    <t>bahwa berdasarkan pertimbangan sebagaimana dimaksud dalam huruf a dan huruf b, perlu menetapkan Peraturan Desa tentang Anggaran Pendapatan dan Belanja Desa Tahun Anggaran 2026.</t>
  </si>
  <si>
    <t>Mengingat</t>
  </si>
  <si>
    <t>Undang-Undang Nomor 3 Tahun 2024 tentang Perubahan Kedua Atas Undang-Undang Nomor 6 Tahun 2014 tentang Desa (Lembaran Negara Republik Indonesia Tahun 2014 Nomor 7, Tambahan Lembaran Negara Republik Indonesia Nomor 77);</t>
  </si>
  <si>
    <t>Peraturan Pemerintah Nomor 43 Tahun 2014 tentang Peraturan Pelaksanaan Undang-Undang Nomor 6 Tahun 2014 tentang Desa (Lembaran Negara Republik Indonesia Tahun 2014 Nomor 123, Tambahan Lembaran Negara Republik Indonesia Nomor 5539) sebagaimana beberapa kali telah diubah, terakhir dengan Peraturan Pemerintah Nomor 11 Tahun 2019 tentang Perubahan Kedua Atas Peraturan Pemerintah Nomor 43 Tahun 2014 tentang Peraturan Pelaksanaan Undang-Undang Nomor 6 Tahun 2014 tentang Desa (Lembaran Negara Republik Indonesia Tahun 2019 Nomor 41 Tambahan Lembaran Negara Republik Indonesia Nomor 6321);</t>
  </si>
  <si>
    <t xml:space="preserve">	
Undang-Undang Nomor 03 Tahun 2024 tentang Desa (Lembaran Negara Republik Indonesia Tahun 2024 Nomor ....., Tambahan Lembaran Negara Republik Indonesia Nomor ........);</t>
  </si>
  <si>
    <t>Peraturan Menteri Dalam Negeri Nomor 20 Tahun 2018 tentang Perubahan Peraturan Menteri Dalam Negeri Nomor 113 Tahun 2014 tentang Pengelolaan Keuangan Desa (Berita Negara Republik Indonesia Tahun 2018 Nomor 611);</t>
  </si>
  <si>
    <t>Peraturan Menteri Desa Pembangunan Daerah Tertinggal dan Transmigrasi Nomor 16 Tahun 2025 tentang Petunjuk Operasional Atas Fokus Penggunaan Dana Desa Tahun 2026 Berita Negara Republik Indonesia Tahun 2025 Nomor 1151);</t>
  </si>
  <si>
    <t>Peraturan Bupati Parigi Moutong Nomor 31 Tahun 2019 tentang Pengelolaan Keuangan Desa (Berita Daerah Kabupaten Parigi Moutong Tahun 2019 Nomor 31) sebagaimana telah diubah terakhir dengan Peraturan Bupati Nomor 39 tahun 2020 tentang Pengelolaan Keuangan Desa (Berita daerah Kabupaten Parigi Moutong tahun 2020 nomor 39);</t>
  </si>
  <si>
    <t>Peraturan Bupati Parigi Moutong  Nomor  01 Tahun 2023 tentang Pedoman Penyusunan Anggaran Pendapatan dan Belanja Desa Tahun 2025;</t>
  </si>
  <si>
    <t>Peraturan Desa Olobaru  Nomor  3 Tahun 2025  tentang RKP-Desa  Tahun  Anggaran 2026;</t>
  </si>
  <si>
    <t>Dengan Kesepakatan Bersama</t>
  </si>
  <si>
    <t>BADAN PERMUSYAWARATAN DESA</t>
  </si>
  <si>
    <t>dan</t>
  </si>
  <si>
    <t>MEMUTUSKAN</t>
  </si>
  <si>
    <t>Menetapkan</t>
  </si>
  <si>
    <t>PERATURAN  DESA TENTANG ANGGARAN PENDAPATAN DAN BELANJA DESA  OLOBARU TAHUN ANGGARAN 2026.</t>
  </si>
  <si>
    <t>Pasal 1</t>
  </si>
  <si>
    <t xml:space="preserve">Anggaran Pendapatan dan Belanja Desa  Olobaru  Tahun Anggaran 2026 bertambah/berkurang dengan rincian sebagai berikut:          </t>
  </si>
  <si>
    <t>Pendapatan Desa  :</t>
  </si>
  <si>
    <t>Belanja Desa</t>
  </si>
  <si>
    <t>Pembiayaan Desa</t>
  </si>
  <si>
    <t>3.1</t>
  </si>
  <si>
    <t>Penerimaan Pembiayaan</t>
  </si>
  <si>
    <t>3.2</t>
  </si>
  <si>
    <t>Pengeluaran Pembiayaan</t>
  </si>
  <si>
    <t>Selisih pembiayaan ( 3.1 – 3.2 )</t>
  </si>
  <si>
    <t>Pasal 2</t>
  </si>
  <si>
    <t>Uraian lebih lanjut Anggaran Pendapatan dan Belanja Desa sebagaimana dimaksud dalam Pasal 1 tercantum dalam Lampiran yang merupakan bagian tak terpisahkan dari Peraturan Desa ini.</t>
  </si>
  <si>
    <t>Pasal 3</t>
  </si>
  <si>
    <t>Lampiran sebagaimana dimaksud dalam Pasal 2 memuat:</t>
  </si>
  <si>
    <t>APB Desa;</t>
  </si>
  <si>
    <t>Daftar penyertaan modal</t>
  </si>
  <si>
    <t>Daftar dana cadangan</t>
  </si>
  <si>
    <t>Daftar kegiatan yang belum dilaksanakan di tahun anggaran sebelumnya.</t>
  </si>
  <si>
    <t>Pasal 4</t>
  </si>
  <si>
    <t>Kepala Desa menetapkan Peraturan Kepala Desa tentang Penjabaran Anggaran Pendapatan dan Belanja Desa sebagai landasan operasional pelaksanaan APB Desa.</t>
  </si>
  <si>
    <t>Pasal 5</t>
  </si>
  <si>
    <t>(1)</t>
  </si>
  <si>
    <t>Pemerintah Desa dapat melaksanakan kegiatan untuk penanggulangan bencana, keadaan darurat, dan mendesak.</t>
  </si>
  <si>
    <t>(2)</t>
  </si>
  <si>
    <t>Pendanaan kegiatan sebagaimana dimaksud pada ayat (1) menggunakan anggaran jenis belanja tidak terduga.</t>
  </si>
  <si>
    <t>(3)</t>
  </si>
  <si>
    <t>Pemerintah Desa dapat melakukan kegiatan penanggulangan bencana, keadaan darurat, dan mendesak yang belum tersedia anggarannya, yang selanjutnya diusulkan dalam rancangan Peraturan Desa tentang Perubahan APBDesa.</t>
  </si>
  <si>
    <t>(4)</t>
  </si>
  <si>
    <t>Kegiatan sebagaimana dimaksud pada ayat (1) harus memenuhi kriteria:</t>
  </si>
  <si>
    <t xml:space="preserve">a </t>
  </si>
  <si>
    <t>bukan merupakan kegiatan normal dari aktivitas pemerintah Desa dan tidak dapat diprediksi sebelumnya;</t>
  </si>
  <si>
    <t>tidak diharapkan terjadi secara berulang;</t>
  </si>
  <si>
    <t>berada diluar kendali dan pengaruh pemerintah Desa;</t>
  </si>
  <si>
    <t>memiliki dampak yang signifikan terhadap anggaran dalam rangka pemulihan yang disebabkan oleh kejadian luar biasa dan/atau permasalahan sosisal; dan</t>
  </si>
  <si>
    <t>berskala lokal desa</t>
  </si>
  <si>
    <t>Pasal 6</t>
  </si>
  <si>
    <t>Dalam hal terjadi :</t>
  </si>
  <si>
    <t>penambahan dan/atau pengurangan dalam pendapatan Desa pada tahun berjalan</t>
  </si>
  <si>
    <t>keadaan yang menyebabkan harus dilakukan pergeseran antar obyek belanja; dan</t>
  </si>
  <si>
    <t>kegiatan yang belum dilaksanakan tahun sebelumnya dan menyebabkan SiLPA akan dilaksanakan dalam tahun berjalan</t>
  </si>
  <si>
    <t>Kepala Desa dapat mendahului perubahan APBDesa dengan melakukan perubahan Peraturan Kepala Desa tentang Penjabaran APBDesa dan memberitahukannya kepada BPD.</t>
  </si>
  <si>
    <t>Pasal 7</t>
  </si>
  <si>
    <t>Peraturan Desa ini mulai berlaku pada tanggal diundangkan.</t>
  </si>
  <si>
    <t>Agar setiap orang mengetahui, memerintahkan pengundangan Peraturan Desa ini dalam Lembaran Desa  Olobaru.</t>
  </si>
  <si>
    <t>Ditetapkan    di   Desa    Olobaru</t>
  </si>
  <si>
    <t>Pada Tanggal 30 Desember 2025</t>
  </si>
  <si>
    <t xml:space="preserve">         KEPALA DESA OLOBARU</t>
  </si>
  <si>
    <t>Diundangkan   di   Desa Olobaru</t>
  </si>
  <si>
    <t>Pada Tanggal 31 Desember 2025</t>
  </si>
  <si>
    <t>SEKRETARIS DESA OLOBARU</t>
  </si>
  <si>
    <t>Lembaran Desa Olobaru Tahun 2026 Nomor 4</t>
  </si>
  <si>
    <t>Lamp 1b</t>
  </si>
  <si>
    <t xml:space="preserve">Perdes APBDes </t>
  </si>
  <si>
    <t>No : 5 Tahun 2025</t>
  </si>
  <si>
    <t>Tentang APBDes TA 2026</t>
  </si>
  <si>
    <t>ANGGARAN PENDAPATAN DAN BELANJA DESA</t>
  </si>
  <si>
    <t>PEMERINTAH DESA OLOBARU</t>
  </si>
  <si>
    <t>Kode Rek</t>
  </si>
  <si>
    <t>Uraian</t>
  </si>
  <si>
    <t>Anggaran                     (Rp)</t>
  </si>
  <si>
    <t>Sumber dana</t>
  </si>
  <si>
    <t>PENDAPATAN</t>
  </si>
  <si>
    <t>Pendapatan transfer</t>
  </si>
  <si>
    <t>Dana Desa</t>
  </si>
  <si>
    <t>4.2.2</t>
  </si>
  <si>
    <t>Bagi hasil pajak dan retribusi daerah</t>
  </si>
  <si>
    <t>4.2.2.01</t>
  </si>
  <si>
    <t>4.2.3</t>
  </si>
  <si>
    <t>Alokasi Dana Desa</t>
  </si>
  <si>
    <t>4.2.3.01</t>
  </si>
  <si>
    <t>4.3</t>
  </si>
  <si>
    <t>Pendapatan lain-lain</t>
  </si>
  <si>
    <t>4.3.6</t>
  </si>
  <si>
    <t>Bunga bank</t>
  </si>
  <si>
    <t>4.3.6.01</t>
  </si>
  <si>
    <t>Jumlah Pendapatan</t>
  </si>
  <si>
    <t>BELANJA</t>
  </si>
  <si>
    <t>5.1</t>
  </si>
  <si>
    <t>Belanja Pegawai</t>
  </si>
  <si>
    <t>5.2</t>
  </si>
  <si>
    <t>Belanja Barang dan Jasa</t>
  </si>
  <si>
    <t>5.3</t>
  </si>
  <si>
    <t>Belanja Modal</t>
  </si>
  <si>
    <t>SiLPA ADD</t>
  </si>
  <si>
    <t>1.1.05</t>
  </si>
  <si>
    <t>1.1.07</t>
  </si>
  <si>
    <t>1.1.90</t>
  </si>
  <si>
    <t>1.3.02</t>
  </si>
  <si>
    <t>1.3.05</t>
  </si>
  <si>
    <t>1.5.06</t>
  </si>
  <si>
    <t>PBH/PBR</t>
  </si>
  <si>
    <t>SiLPA DD</t>
  </si>
  <si>
    <t>2.2</t>
  </si>
  <si>
    <t>2.2.02</t>
  </si>
  <si>
    <t>2.3</t>
  </si>
  <si>
    <t>2.3.01</t>
  </si>
  <si>
    <t>2.3.15</t>
  </si>
  <si>
    <t>SiLPA DDS</t>
  </si>
  <si>
    <t>2.6</t>
  </si>
  <si>
    <t>3.2.02</t>
  </si>
  <si>
    <t>3.4</t>
  </si>
  <si>
    <t>5.3.00</t>
  </si>
  <si>
    <t>5.4</t>
  </si>
  <si>
    <t>Belanja tidak terduga</t>
  </si>
  <si>
    <t>Jumlah Belanja</t>
  </si>
  <si>
    <t>Surplus/(defisit)</t>
  </si>
  <si>
    <t>6.1</t>
  </si>
  <si>
    <t>6.1.1</t>
  </si>
  <si>
    <t>6.1.1.01</t>
  </si>
  <si>
    <t>SiLPA tahun sebelumnya</t>
  </si>
  <si>
    <t>Pembiayaan Netto</t>
  </si>
  <si>
    <t>Selisih lebih pembiayaan anggaran</t>
  </si>
  <si>
    <t>Olobaru 30 Desember 2025</t>
  </si>
  <si>
    <t>Kepala Desa Olobaru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</si>
</sst>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Rp&quot;* #,##0_-;\-&quot;Rp&quot;* #,##0_-;_-&quot;Rp&quot;* &quot;-&quot;_-;_-@_-"/>
    <numFmt numFmtId="43" formatCode="_-* #,##0.00_-;\-* #,##0.00_-;_-* &quot;-&quot;??_-;_-@_-"/>
    <numFmt numFmtId="164" formatCode="_-* #,##0_-;\-* #,##0_-;_-* &quot;-&quot;??_-;_-@_-"/>
    <numFmt numFmtId="165" formatCode="@\ * &quot;:&quot;"/>
    <numFmt numFmtId="166" formatCode="#,##0_ ;\-#,##0\ "/>
    <numFmt numFmtId="167" formatCode="@\ * \:"/>
  </numFmts>
  <fonts count="18" x14ac:knownFonts="1">
    <font>
      <sz val="11"/>
      <color theme="1"/>
      <name val="Calibri"/>
      <family val="2"/>
      <charset val="1"/>
      <scheme val="minor"/>
    </font>
    <font>
      <sz val="11"/>
      <color theme="1"/>
      <name val="Calibri"/>
      <family val="2"/>
      <charset val="1"/>
      <scheme val="minor"/>
    </font>
    <font>
      <b/>
      <sz val="14"/>
      <color theme="1"/>
      <name val="Calibri"/>
      <family val="2"/>
      <scheme val="minor"/>
    </font>
    <font>
      <b/>
      <sz val="11"/>
      <color theme="1"/>
      <name val="Calibri"/>
      <family val="2"/>
      <scheme val="minor"/>
    </font>
    <font>
      <b/>
      <sz val="10"/>
      <color theme="1"/>
      <name val="Calibri"/>
      <family val="2"/>
      <scheme val="minor"/>
    </font>
    <font>
      <b/>
      <i/>
      <sz val="9"/>
      <color theme="1"/>
      <name val="Calibri"/>
      <family val="2"/>
      <scheme val="minor"/>
    </font>
    <font>
      <sz val="11"/>
      <color theme="1"/>
      <name val="Calibri"/>
      <family val="2"/>
      <scheme val="minor"/>
    </font>
    <font>
      <sz val="11"/>
      <color theme="1"/>
      <name val="Calibri"/>
      <family val="2"/>
    </font>
    <font>
      <sz val="12"/>
      <color theme="1"/>
      <name val="Calibri"/>
      <family val="2"/>
      <scheme val="minor"/>
    </font>
    <font>
      <sz val="10"/>
      <color theme="1"/>
      <name val="Calibri"/>
      <family val="2"/>
      <charset val="1"/>
      <scheme val="minor"/>
    </font>
    <font>
      <sz val="11"/>
      <color theme="4"/>
      <name val="Calibri"/>
      <family val="2"/>
      <scheme val="minor"/>
    </font>
    <font>
      <sz val="11"/>
      <color theme="4"/>
      <name val="Calibri"/>
      <family val="2"/>
    </font>
    <font>
      <b/>
      <u/>
      <sz val="11"/>
      <color theme="1"/>
      <name val="Calibri"/>
      <family val="2"/>
      <scheme val="minor"/>
    </font>
    <font>
      <b/>
      <sz val="12"/>
      <color theme="1"/>
      <name val="Calibri"/>
      <family val="2"/>
      <scheme val="minor"/>
    </font>
    <font>
      <i/>
      <sz val="10"/>
      <color theme="1"/>
      <name val="Calibri"/>
      <family val="2"/>
      <scheme val="minor"/>
    </font>
    <font>
      <b/>
      <i/>
      <sz val="11"/>
      <color theme="1"/>
      <name val="Calibri"/>
      <family val="2"/>
      <scheme val="minor"/>
    </font>
    <font>
      <sz val="10"/>
      <color theme="1"/>
      <name val="Calibri"/>
      <family val="2"/>
      <scheme val="minor"/>
    </font>
    <font>
      <u/>
      <sz val="11"/>
      <color theme="1"/>
      <name val="Calibri"/>
      <family val="2"/>
      <charset val="1"/>
      <scheme val="minor"/>
    </font>
  </fonts>
  <fills count="8">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9" tint="0.59999389629810485"/>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s>
  <cellStyleXfs count="2">
    <xf numFmtId="0" fontId="0" fillId="0" borderId="0"/>
    <xf numFmtId="43" fontId="1" fillId="0" borderId="0" applyFont="0" applyFill="0" applyBorder="0" applyAlignment="0" applyProtection="0"/>
  </cellStyleXfs>
  <cellXfs count="424">
    <xf numFmtId="0" fontId="0" fillId="0" borderId="0" xfId="0"/>
    <xf numFmtId="0" fontId="0" fillId="0" borderId="0" xfId="0" applyAlignment="1">
      <alignment horizontal="center"/>
    </xf>
    <xf numFmtId="164" fontId="0" fillId="0" borderId="0" xfId="1" applyNumberFormat="1" applyFont="1" applyAlignment="1">
      <alignment horizontal="left"/>
    </xf>
    <xf numFmtId="0" fontId="0" fillId="0" borderId="0" xfId="0" applyAlignment="1">
      <alignment horizontal="left"/>
    </xf>
    <xf numFmtId="164" fontId="0" fillId="0" borderId="0" xfId="1" applyNumberFormat="1" applyFont="1"/>
    <xf numFmtId="165" fontId="3" fillId="2" borderId="2" xfId="0" applyNumberFormat="1" applyFont="1" applyFill="1" applyBorder="1" applyAlignment="1">
      <alignment horizontal="left"/>
    </xf>
    <xf numFmtId="0" fontId="3" fillId="2" borderId="2" xfId="0" applyFont="1" applyFill="1" applyBorder="1" applyAlignment="1">
      <alignment horizontal="left"/>
    </xf>
    <xf numFmtId="0" fontId="0" fillId="2" borderId="2" xfId="0" applyFill="1" applyBorder="1" applyAlignment="1">
      <alignment horizontal="center"/>
    </xf>
    <xf numFmtId="0" fontId="0" fillId="2" borderId="2" xfId="0" applyFill="1" applyBorder="1"/>
    <xf numFmtId="164" fontId="0" fillId="2" borderId="2" xfId="1" applyNumberFormat="1" applyFont="1" applyFill="1" applyBorder="1"/>
    <xf numFmtId="0" fontId="0" fillId="2" borderId="3" xfId="0" applyFill="1" applyBorder="1" applyAlignment="1">
      <alignment horizontal="center"/>
    </xf>
    <xf numFmtId="165" fontId="3" fillId="2" borderId="0" xfId="0" applyNumberFormat="1" applyFont="1" applyFill="1" applyAlignment="1">
      <alignment horizontal="left"/>
    </xf>
    <xf numFmtId="0" fontId="3" fillId="2" borderId="0" xfId="0" applyFont="1" applyFill="1" applyAlignment="1">
      <alignment horizontal="left"/>
    </xf>
    <xf numFmtId="0" fontId="0" fillId="2" borderId="0" xfId="0" applyFill="1" applyAlignment="1">
      <alignment horizontal="center"/>
    </xf>
    <xf numFmtId="0" fontId="0" fillId="2" borderId="0" xfId="0" applyFill="1"/>
    <xf numFmtId="164" fontId="0" fillId="2" borderId="0" xfId="1" applyNumberFormat="1" applyFont="1" applyFill="1" applyBorder="1"/>
    <xf numFmtId="0" fontId="0" fillId="2" borderId="8" xfId="0" applyFill="1" applyBorder="1" applyAlignment="1">
      <alignment horizontal="center"/>
    </xf>
    <xf numFmtId="165" fontId="3" fillId="2" borderId="5" xfId="0" applyNumberFormat="1" applyFont="1" applyFill="1" applyBorder="1" applyAlignment="1">
      <alignment horizontal="left"/>
    </xf>
    <xf numFmtId="0" fontId="3" fillId="2" borderId="5" xfId="0" applyFont="1" applyFill="1" applyBorder="1" applyAlignment="1">
      <alignment horizontal="left"/>
    </xf>
    <xf numFmtId="0" fontId="0" fillId="2" borderId="5" xfId="0" applyFill="1" applyBorder="1" applyAlignment="1">
      <alignment horizontal="center"/>
    </xf>
    <xf numFmtId="0" fontId="0" fillId="2" borderId="5" xfId="0" applyFill="1" applyBorder="1"/>
    <xf numFmtId="164" fontId="0" fillId="2" borderId="5" xfId="1" applyNumberFormat="1" applyFont="1" applyFill="1" applyBorder="1"/>
    <xf numFmtId="0" fontId="0" fillId="2" borderId="6" xfId="0" applyFill="1" applyBorder="1" applyAlignment="1">
      <alignment horizontal="center"/>
    </xf>
    <xf numFmtId="0" fontId="3" fillId="0" borderId="0" xfId="0" applyFont="1" applyAlignment="1">
      <alignment horizontal="center" vertical="center"/>
    </xf>
    <xf numFmtId="0" fontId="3" fillId="3" borderId="9" xfId="0" applyFont="1" applyFill="1" applyBorder="1" applyAlignment="1">
      <alignment horizontal="center" vertical="center"/>
    </xf>
    <xf numFmtId="0" fontId="3" fillId="3" borderId="9" xfId="0" applyFont="1" applyFill="1" applyBorder="1" applyAlignment="1">
      <alignment horizontal="center" vertical="center" wrapText="1"/>
    </xf>
    <xf numFmtId="164" fontId="3" fillId="0" borderId="0" xfId="1" applyNumberFormat="1" applyFont="1" applyAlignment="1">
      <alignment horizontal="left" vertical="center" wrapText="1"/>
    </xf>
    <xf numFmtId="164" fontId="3" fillId="3" borderId="9" xfId="1" applyNumberFormat="1" applyFont="1" applyFill="1" applyBorder="1" applyAlignment="1">
      <alignment horizontal="center" vertical="center" wrapText="1"/>
    </xf>
    <xf numFmtId="0" fontId="4" fillId="3" borderId="9" xfId="0" applyFont="1" applyFill="1" applyBorder="1" applyAlignment="1">
      <alignment horizontal="center" vertical="center" wrapText="1"/>
    </xf>
    <xf numFmtId="0" fontId="5" fillId="0" borderId="0" xfId="0" applyFont="1" applyAlignment="1">
      <alignment horizontal="center" vertical="center"/>
    </xf>
    <xf numFmtId="0" fontId="5" fillId="3" borderId="9"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9" xfId="1" applyNumberFormat="1" applyFont="1" applyFill="1" applyBorder="1" applyAlignment="1">
      <alignment horizontal="center" vertical="center"/>
    </xf>
    <xf numFmtId="0" fontId="5" fillId="3" borderId="10" xfId="0" applyFont="1" applyFill="1" applyBorder="1" applyAlignment="1">
      <alignment horizontal="center" vertical="center"/>
    </xf>
    <xf numFmtId="164" fontId="5" fillId="0" borderId="0" xfId="1" applyNumberFormat="1" applyFont="1" applyAlignment="1">
      <alignment horizontal="left" vertical="center"/>
    </xf>
    <xf numFmtId="0" fontId="3" fillId="0" borderId="0" xfId="0" applyFont="1" applyAlignment="1">
      <alignment horizontal="right" indent="1"/>
    </xf>
    <xf numFmtId="0" fontId="3" fillId="4" borderId="9" xfId="0" applyFont="1" applyFill="1" applyBorder="1" applyAlignment="1">
      <alignment horizontal="center"/>
    </xf>
    <xf numFmtId="0" fontId="3" fillId="4" borderId="13" xfId="0" applyFont="1" applyFill="1" applyBorder="1" applyAlignment="1">
      <alignment horizontal="left" indent="1"/>
    </xf>
    <xf numFmtId="0" fontId="3" fillId="4" borderId="13" xfId="0" applyFont="1" applyFill="1" applyBorder="1"/>
    <xf numFmtId="0" fontId="3" fillId="4" borderId="13" xfId="0" applyFont="1" applyFill="1" applyBorder="1" applyAlignment="1">
      <alignment horizontal="left"/>
    </xf>
    <xf numFmtId="0" fontId="3" fillId="4" borderId="13" xfId="0" applyFont="1" applyFill="1" applyBorder="1" applyAlignment="1">
      <alignment horizontal="center"/>
    </xf>
    <xf numFmtId="164" fontId="3" fillId="4" borderId="9" xfId="1" applyNumberFormat="1" applyFont="1" applyFill="1" applyBorder="1"/>
    <xf numFmtId="0" fontId="3" fillId="4" borderId="12" xfId="0" applyFont="1" applyFill="1" applyBorder="1" applyAlignment="1">
      <alignment horizontal="center"/>
    </xf>
    <xf numFmtId="0" fontId="5" fillId="4" borderId="14" xfId="0" applyFont="1" applyFill="1" applyBorder="1" applyAlignment="1">
      <alignment horizontal="center"/>
    </xf>
    <xf numFmtId="0" fontId="5" fillId="4" borderId="9" xfId="0" applyFont="1" applyFill="1" applyBorder="1" applyAlignment="1">
      <alignment horizontal="center"/>
    </xf>
    <xf numFmtId="164" fontId="3" fillId="0" borderId="0" xfId="1" applyNumberFormat="1" applyFont="1" applyAlignment="1">
      <alignment horizontal="left"/>
    </xf>
    <xf numFmtId="0" fontId="3" fillId="0" borderId="0" xfId="0" applyFont="1"/>
    <xf numFmtId="0" fontId="0" fillId="0" borderId="0" xfId="0" quotePrefix="1" applyAlignment="1">
      <alignment horizontal="right" vertical="top" indent="1"/>
    </xf>
    <xf numFmtId="0" fontId="0" fillId="0" borderId="10" xfId="0" applyBorder="1" applyAlignment="1">
      <alignment horizontal="center" vertical="top"/>
    </xf>
    <xf numFmtId="0" fontId="0" fillId="0" borderId="10" xfId="0" applyBorder="1" applyAlignment="1">
      <alignment horizontal="left" vertical="top" wrapText="1" indent="1"/>
    </xf>
    <xf numFmtId="20" fontId="0" fillId="0" borderId="10" xfId="0" quotePrefix="1" applyNumberFormat="1" applyBorder="1" applyAlignment="1">
      <alignment horizontal="left" vertical="top" indent="1"/>
    </xf>
    <xf numFmtId="0" fontId="0" fillId="0" borderId="2" xfId="0" applyBorder="1" applyAlignment="1">
      <alignment horizontal="center" vertical="top"/>
    </xf>
    <xf numFmtId="14" fontId="0" fillId="0" borderId="1" xfId="0" applyNumberFormat="1" applyBorder="1" applyAlignment="1">
      <alignment horizontal="center" vertical="top"/>
    </xf>
    <xf numFmtId="166" fontId="0" fillId="0" borderId="10" xfId="1" applyNumberFormat="1" applyFont="1" applyBorder="1" applyAlignment="1">
      <alignment vertical="top"/>
    </xf>
    <xf numFmtId="0" fontId="6" fillId="0" borderId="10" xfId="0" applyFont="1" applyBorder="1" applyAlignment="1">
      <alignment horizontal="center" vertical="top"/>
    </xf>
    <xf numFmtId="0" fontId="6" fillId="0" borderId="10" xfId="0" applyFont="1" applyBorder="1" applyAlignment="1">
      <alignment horizontal="center" vertical="top" wrapText="1"/>
    </xf>
    <xf numFmtId="164" fontId="0" fillId="0" borderId="0" xfId="1" applyNumberFormat="1" applyFont="1" applyAlignment="1">
      <alignment horizontal="left" vertical="top"/>
    </xf>
    <xf numFmtId="0" fontId="0" fillId="0" borderId="0" xfId="0" applyAlignment="1">
      <alignment vertical="top"/>
    </xf>
    <xf numFmtId="0" fontId="0" fillId="0" borderId="0" xfId="0" applyAlignment="1">
      <alignment horizontal="right" vertical="top" indent="1"/>
    </xf>
    <xf numFmtId="0" fontId="0" fillId="0" borderId="15" xfId="0" applyBorder="1" applyAlignment="1">
      <alignment horizontal="center" vertical="top"/>
    </xf>
    <xf numFmtId="0" fontId="0" fillId="0" borderId="15" xfId="0" applyBorder="1" applyAlignment="1">
      <alignment horizontal="left" vertical="top" wrapText="1" indent="1"/>
    </xf>
    <xf numFmtId="0" fontId="0" fillId="0" borderId="15" xfId="0" applyBorder="1" applyAlignment="1">
      <alignment horizontal="left" vertical="top" indent="1"/>
    </xf>
    <xf numFmtId="0" fontId="0" fillId="0" borderId="0" xfId="0" applyAlignment="1">
      <alignment horizontal="left" vertical="top" indent="1"/>
    </xf>
    <xf numFmtId="0" fontId="0" fillId="0" borderId="0" xfId="0" applyAlignment="1">
      <alignment horizontal="left" vertical="top" wrapText="1" indent="1"/>
    </xf>
    <xf numFmtId="0" fontId="0" fillId="0" borderId="0" xfId="0" applyAlignment="1">
      <alignment horizontal="center" vertical="top"/>
    </xf>
    <xf numFmtId="14" fontId="0" fillId="0" borderId="7" xfId="0" applyNumberFormat="1" applyBorder="1" applyAlignment="1">
      <alignment horizontal="center" vertical="top"/>
    </xf>
    <xf numFmtId="166" fontId="0" fillId="0" borderId="15" xfId="1" applyNumberFormat="1" applyFont="1" applyBorder="1" applyAlignment="1">
      <alignment vertical="top"/>
    </xf>
    <xf numFmtId="0" fontId="7" fillId="0" borderId="15" xfId="0" applyFont="1" applyBorder="1" applyAlignment="1">
      <alignment horizontal="center" vertical="top"/>
    </xf>
    <xf numFmtId="0" fontId="6" fillId="0" borderId="15" xfId="0" applyFont="1" applyBorder="1" applyAlignment="1">
      <alignment horizontal="center" vertical="top"/>
    </xf>
    <xf numFmtId="0" fontId="6" fillId="0" borderId="15" xfId="0" applyFont="1" applyBorder="1" applyAlignment="1">
      <alignment horizontal="center" vertical="top" wrapText="1"/>
    </xf>
    <xf numFmtId="164" fontId="0" fillId="0" borderId="0" xfId="0" applyNumberFormat="1" applyAlignment="1">
      <alignment vertical="top"/>
    </xf>
    <xf numFmtId="0" fontId="0" fillId="0" borderId="11" xfId="0" applyBorder="1" applyAlignment="1">
      <alignment horizontal="left" vertical="top" indent="1"/>
    </xf>
    <xf numFmtId="0" fontId="0" fillId="0" borderId="5" xfId="0" applyBorder="1" applyAlignment="1">
      <alignment horizontal="left" vertical="top" indent="1"/>
    </xf>
    <xf numFmtId="0" fontId="0" fillId="0" borderId="5" xfId="0" applyBorder="1" applyAlignment="1">
      <alignment horizontal="left" vertical="top" wrapText="1" indent="1"/>
    </xf>
    <xf numFmtId="0" fontId="0" fillId="0" borderId="11" xfId="0" applyBorder="1" applyAlignment="1">
      <alignment horizontal="center" vertical="top"/>
    </xf>
    <xf numFmtId="0" fontId="0" fillId="0" borderId="5" xfId="0" applyBorder="1" applyAlignment="1">
      <alignment horizontal="center" vertical="top"/>
    </xf>
    <xf numFmtId="14" fontId="0" fillId="0" borderId="4" xfId="0" applyNumberFormat="1" applyBorder="1" applyAlignment="1">
      <alignment horizontal="center" vertical="top"/>
    </xf>
    <xf numFmtId="166" fontId="0" fillId="0" borderId="11" xfId="1" applyNumberFormat="1" applyFont="1" applyBorder="1" applyAlignment="1">
      <alignment vertical="top"/>
    </xf>
    <xf numFmtId="0" fontId="7" fillId="0" borderId="11" xfId="0" applyFont="1" applyBorder="1" applyAlignment="1">
      <alignment horizontal="center" vertical="top"/>
    </xf>
    <xf numFmtId="0" fontId="6" fillId="0" borderId="11" xfId="0" applyFont="1" applyBorder="1" applyAlignment="1">
      <alignment horizontal="center" vertical="top"/>
    </xf>
    <xf numFmtId="0" fontId="6" fillId="0" borderId="11" xfId="0" applyFont="1" applyBorder="1" applyAlignment="1">
      <alignment horizontal="center" vertical="top" wrapText="1"/>
    </xf>
    <xf numFmtId="0" fontId="0" fillId="0" borderId="15" xfId="0" quotePrefix="1" applyBorder="1" applyAlignment="1">
      <alignment horizontal="left" vertical="top" indent="1"/>
    </xf>
    <xf numFmtId="0" fontId="0" fillId="0" borderId="0" xfId="0" applyAlignment="1">
      <alignment horizontal="center" vertical="top" wrapText="1"/>
    </xf>
    <xf numFmtId="0" fontId="8" fillId="0" borderId="15" xfId="0" applyFont="1" applyBorder="1" applyAlignment="1">
      <alignment horizontal="center" vertical="top"/>
    </xf>
    <xf numFmtId="0" fontId="0" fillId="0" borderId="15" xfId="0" applyBorder="1" applyAlignment="1">
      <alignment vertical="top"/>
    </xf>
    <xf numFmtId="0" fontId="0" fillId="0" borderId="5" xfId="0" applyBorder="1" applyAlignment="1">
      <alignment horizontal="center" vertical="top" wrapText="1"/>
    </xf>
    <xf numFmtId="0" fontId="8" fillId="0" borderId="11" xfId="0" applyFont="1" applyBorder="1" applyAlignment="1">
      <alignment horizontal="center" vertical="top"/>
    </xf>
    <xf numFmtId="0" fontId="0" fillId="0" borderId="8" xfId="0" applyBorder="1" applyAlignment="1">
      <alignment horizontal="left" vertical="top" wrapText="1" indent="1"/>
    </xf>
    <xf numFmtId="164" fontId="0" fillId="0" borderId="15" xfId="1" applyNumberFormat="1" applyFont="1" applyBorder="1" applyAlignment="1">
      <alignment vertical="top"/>
    </xf>
    <xf numFmtId="0" fontId="0" fillId="0" borderId="11" xfId="0" applyBorder="1" applyAlignment="1">
      <alignment vertical="top"/>
    </xf>
    <xf numFmtId="0" fontId="0" fillId="0" borderId="6" xfId="0" applyBorder="1" applyAlignment="1">
      <alignment horizontal="left" vertical="top" wrapText="1" indent="1"/>
    </xf>
    <xf numFmtId="164" fontId="0" fillId="0" borderId="11" xfId="1" applyNumberFormat="1" applyFont="1" applyBorder="1" applyAlignment="1">
      <alignment vertical="top"/>
    </xf>
    <xf numFmtId="0" fontId="0" fillId="0" borderId="1" xfId="0" applyBorder="1" applyAlignment="1">
      <alignment horizontal="left" vertical="top" indent="1"/>
    </xf>
    <xf numFmtId="0" fontId="0" fillId="0" borderId="3" xfId="0" applyBorder="1" applyAlignment="1">
      <alignment horizontal="left" vertical="top" indent="1"/>
    </xf>
    <xf numFmtId="0" fontId="0" fillId="0" borderId="8" xfId="0" applyBorder="1" applyAlignment="1">
      <alignment horizontal="center" vertical="top"/>
    </xf>
    <xf numFmtId="0" fontId="0" fillId="0" borderId="8" xfId="0" applyBorder="1" applyAlignment="1">
      <alignment horizontal="center" vertical="top" wrapText="1"/>
    </xf>
    <xf numFmtId="14" fontId="0" fillId="0" borderId="8" xfId="0" applyNumberFormat="1" applyBorder="1" applyAlignment="1">
      <alignment horizontal="center" vertical="top"/>
    </xf>
    <xf numFmtId="0" fontId="6" fillId="0" borderId="8" xfId="0" applyFont="1" applyBorder="1" applyAlignment="1">
      <alignment horizontal="center" vertical="top" wrapText="1"/>
    </xf>
    <xf numFmtId="164" fontId="0" fillId="0" borderId="0" xfId="1" applyNumberFormat="1" applyFont="1" applyBorder="1" applyAlignment="1">
      <alignment horizontal="left" vertical="top"/>
    </xf>
    <xf numFmtId="0" fontId="0" fillId="0" borderId="6" xfId="0" applyBorder="1" applyAlignment="1">
      <alignment horizontal="center" vertical="top"/>
    </xf>
    <xf numFmtId="0" fontId="0" fillId="0" borderId="6" xfId="0" applyBorder="1" applyAlignment="1">
      <alignment horizontal="center" vertical="top" wrapText="1"/>
    </xf>
    <xf numFmtId="14" fontId="0" fillId="0" borderId="6" xfId="0" applyNumberFormat="1" applyBorder="1" applyAlignment="1">
      <alignment horizontal="center" vertical="top"/>
    </xf>
    <xf numFmtId="0" fontId="6" fillId="0" borderId="6" xfId="0" applyFont="1" applyBorder="1" applyAlignment="1">
      <alignment horizontal="center" vertical="top" wrapText="1"/>
    </xf>
    <xf numFmtId="0" fontId="0" fillId="0" borderId="8" xfId="0" applyBorder="1" applyAlignment="1">
      <alignment vertical="top" wrapText="1"/>
    </xf>
    <xf numFmtId="0" fontId="0" fillId="0" borderId="10" xfId="0" quotePrefix="1" applyBorder="1" applyAlignment="1">
      <alignment horizontal="left" vertical="top" indent="1"/>
    </xf>
    <xf numFmtId="0" fontId="0" fillId="0" borderId="7" xfId="0" applyBorder="1" applyAlignment="1">
      <alignment horizontal="left" vertical="top" indent="1"/>
    </xf>
    <xf numFmtId="0" fontId="0" fillId="0" borderId="4" xfId="0" applyBorder="1" applyAlignment="1">
      <alignment horizontal="left" vertical="top" indent="1"/>
    </xf>
    <xf numFmtId="0" fontId="0" fillId="0" borderId="3" xfId="0" applyBorder="1" applyAlignment="1">
      <alignment horizontal="center" vertical="top" wrapText="1"/>
    </xf>
    <xf numFmtId="0" fontId="0" fillId="0" borderId="3" xfId="0" applyBorder="1" applyAlignment="1">
      <alignment horizontal="center" vertical="top"/>
    </xf>
    <xf numFmtId="14" fontId="0" fillId="0" borderId="3" xfId="0" applyNumberFormat="1" applyBorder="1" applyAlignment="1">
      <alignment horizontal="center" vertical="top"/>
    </xf>
    <xf numFmtId="164" fontId="0" fillId="0" borderId="10" xfId="1" applyNumberFormat="1" applyFont="1" applyBorder="1" applyAlignment="1">
      <alignment vertical="top"/>
    </xf>
    <xf numFmtId="0" fontId="7" fillId="0" borderId="10" xfId="0" applyFont="1" applyBorder="1" applyAlignment="1">
      <alignment horizontal="center" vertical="top"/>
    </xf>
    <xf numFmtId="0" fontId="6" fillId="0" borderId="3" xfId="0" applyFont="1" applyBorder="1" applyAlignment="1">
      <alignment horizontal="center" vertical="top" wrapText="1"/>
    </xf>
    <xf numFmtId="0" fontId="0" fillId="0" borderId="11" xfId="0" applyBorder="1" applyAlignment="1">
      <alignment horizontal="left" vertical="top" wrapText="1" indent="1"/>
    </xf>
    <xf numFmtId="0" fontId="0" fillId="0" borderId="11" xfId="0" quotePrefix="1" applyBorder="1" applyAlignment="1">
      <alignment horizontal="left" vertical="top" indent="1"/>
    </xf>
    <xf numFmtId="0" fontId="9" fillId="0" borderId="11" xfId="0" applyFont="1" applyBorder="1" applyAlignment="1">
      <alignment horizontal="left" vertical="top" wrapText="1" indent="1"/>
    </xf>
    <xf numFmtId="0" fontId="0" fillId="0" borderId="15" xfId="0" applyBorder="1" applyAlignment="1">
      <alignment vertical="top" wrapText="1"/>
    </xf>
    <xf numFmtId="0" fontId="0" fillId="2" borderId="9" xfId="0" applyFill="1" applyBorder="1" applyAlignment="1">
      <alignment horizontal="center"/>
    </xf>
    <xf numFmtId="0" fontId="0" fillId="2" borderId="13" xfId="0" applyFill="1" applyBorder="1" applyAlignment="1">
      <alignment horizontal="left" indent="1"/>
    </xf>
    <xf numFmtId="0" fontId="3" fillId="2" borderId="13" xfId="0" applyFont="1" applyFill="1" applyBorder="1" applyAlignment="1">
      <alignment vertical="top"/>
    </xf>
    <xf numFmtId="0" fontId="3" fillId="2" borderId="13" xfId="0" applyFont="1" applyFill="1" applyBorder="1" applyAlignment="1">
      <alignment horizontal="left" vertical="top"/>
    </xf>
    <xf numFmtId="0" fontId="3" fillId="2" borderId="13" xfId="0" applyFont="1" applyFill="1" applyBorder="1" applyAlignment="1">
      <alignment horizontal="center" vertical="top"/>
    </xf>
    <xf numFmtId="0" fontId="3" fillId="2" borderId="13" xfId="0" applyFont="1" applyFill="1" applyBorder="1" applyAlignment="1">
      <alignment horizontal="right" vertical="top" indent="1"/>
    </xf>
    <xf numFmtId="164" fontId="3" fillId="2" borderId="12" xfId="1" applyNumberFormat="1" applyFont="1" applyFill="1" applyBorder="1" applyAlignment="1">
      <alignment vertical="top"/>
    </xf>
    <xf numFmtId="0" fontId="5" fillId="2" borderId="14" xfId="0" applyFont="1" applyFill="1" applyBorder="1" applyAlignment="1">
      <alignment horizontal="center" vertical="top"/>
    </xf>
    <xf numFmtId="0" fontId="5" fillId="2" borderId="9" xfId="0" applyFont="1" applyFill="1" applyBorder="1" applyAlignment="1">
      <alignment horizontal="center" wrapText="1"/>
    </xf>
    <xf numFmtId="0" fontId="0" fillId="5" borderId="12" xfId="0" applyFill="1" applyBorder="1" applyAlignment="1">
      <alignment horizontal="center" vertical="top"/>
    </xf>
    <xf numFmtId="0" fontId="0" fillId="5" borderId="13" xfId="0" applyFill="1" applyBorder="1" applyAlignment="1">
      <alignment vertical="top"/>
    </xf>
    <xf numFmtId="0" fontId="0" fillId="5" borderId="13" xfId="0" applyFill="1" applyBorder="1" applyAlignment="1">
      <alignment horizontal="left" vertical="top"/>
    </xf>
    <xf numFmtId="0" fontId="0" fillId="5" borderId="13" xfId="0" applyFill="1" applyBorder="1" applyAlignment="1">
      <alignment horizontal="center" vertical="top"/>
    </xf>
    <xf numFmtId="164" fontId="0" fillId="5" borderId="13" xfId="1" applyNumberFormat="1" applyFont="1" applyFill="1" applyBorder="1" applyAlignment="1">
      <alignment vertical="top"/>
    </xf>
    <xf numFmtId="0" fontId="5" fillId="5" borderId="14" xfId="0" applyFont="1" applyFill="1" applyBorder="1" applyAlignment="1">
      <alignment horizontal="center" vertical="top"/>
    </xf>
    <xf numFmtId="0" fontId="5" fillId="5" borderId="15" xfId="0" applyFont="1" applyFill="1" applyBorder="1" applyAlignment="1">
      <alignment horizontal="center" vertical="top" wrapText="1"/>
    </xf>
    <xf numFmtId="0" fontId="5" fillId="4" borderId="9" xfId="0" applyFont="1" applyFill="1" applyBorder="1" applyAlignment="1">
      <alignment horizontal="center" wrapText="1"/>
    </xf>
    <xf numFmtId="0" fontId="0" fillId="0" borderId="7" xfId="0" applyBorder="1" applyAlignment="1">
      <alignment vertical="top"/>
    </xf>
    <xf numFmtId="0" fontId="0" fillId="0" borderId="0" xfId="0" applyAlignment="1">
      <alignment horizontal="left" vertical="top"/>
    </xf>
    <xf numFmtId="0" fontId="0" fillId="0" borderId="15" xfId="0" applyBorder="1" applyAlignment="1">
      <alignment horizontal="center" vertical="top" wrapText="1"/>
    </xf>
    <xf numFmtId="0" fontId="0" fillId="0" borderId="4" xfId="0" applyBorder="1" applyAlignment="1">
      <alignment vertical="top"/>
    </xf>
    <xf numFmtId="0" fontId="0" fillId="0" borderId="5" xfId="0" applyBorder="1" applyAlignment="1">
      <alignment horizontal="left" vertical="top"/>
    </xf>
    <xf numFmtId="0" fontId="0" fillId="0" borderId="6" xfId="0" applyBorder="1" applyAlignment="1">
      <alignment vertical="top" wrapText="1"/>
    </xf>
    <xf numFmtId="0" fontId="0" fillId="0" borderId="11" xfId="0" applyBorder="1" applyAlignment="1">
      <alignment horizontal="center" vertical="top" wrapText="1"/>
    </xf>
    <xf numFmtId="0" fontId="0" fillId="0" borderId="1" xfId="0" applyBorder="1" applyAlignment="1">
      <alignment vertical="top"/>
    </xf>
    <xf numFmtId="0" fontId="0" fillId="0" borderId="10" xfId="0" applyBorder="1" applyAlignment="1">
      <alignment horizontal="center" vertical="top" wrapText="1"/>
    </xf>
    <xf numFmtId="0" fontId="0" fillId="0" borderId="2" xfId="0" applyBorder="1" applyAlignment="1">
      <alignment horizontal="center" vertical="top" wrapText="1"/>
    </xf>
    <xf numFmtId="164" fontId="0" fillId="0" borderId="15" xfId="0" applyNumberFormat="1" applyBorder="1" applyAlignment="1">
      <alignment vertical="top"/>
    </xf>
    <xf numFmtId="0" fontId="3" fillId="2" borderId="13" xfId="0" applyFont="1" applyFill="1" applyBorder="1" applyAlignment="1">
      <alignment horizontal="right" vertical="top"/>
    </xf>
    <xf numFmtId="0" fontId="0" fillId="0" borderId="8" xfId="0" applyBorder="1" applyAlignment="1">
      <alignment horizontal="left" vertical="top" indent="1"/>
    </xf>
    <xf numFmtId="0" fontId="0" fillId="0" borderId="2" xfId="0" applyBorder="1" applyAlignment="1">
      <alignment horizontal="left" vertical="top" indent="1"/>
    </xf>
    <xf numFmtId="0" fontId="0" fillId="0" borderId="6" xfId="0" applyBorder="1" applyAlignment="1">
      <alignment vertical="top"/>
    </xf>
    <xf numFmtId="0" fontId="5" fillId="5" borderId="9" xfId="0" applyFont="1" applyFill="1" applyBorder="1" applyAlignment="1">
      <alignment horizontal="center" vertical="top" wrapText="1"/>
    </xf>
    <xf numFmtId="0" fontId="3" fillId="6" borderId="12" xfId="0" applyFont="1" applyFill="1" applyBorder="1" applyAlignment="1">
      <alignment horizontal="center" vertical="top"/>
    </xf>
    <xf numFmtId="0" fontId="3" fillId="6" borderId="13" xfId="0" applyFont="1" applyFill="1" applyBorder="1" applyAlignment="1">
      <alignment horizontal="left" indent="1"/>
    </xf>
    <xf numFmtId="0" fontId="3" fillId="6" borderId="13" xfId="0" applyFont="1" applyFill="1" applyBorder="1" applyAlignment="1">
      <alignment vertical="top"/>
    </xf>
    <xf numFmtId="0" fontId="3" fillId="6" borderId="13" xfId="0" applyFont="1" applyFill="1" applyBorder="1" applyAlignment="1">
      <alignment horizontal="left" vertical="top"/>
    </xf>
    <xf numFmtId="0" fontId="3" fillId="6" borderId="13" xfId="0" applyFont="1" applyFill="1" applyBorder="1" applyAlignment="1">
      <alignment horizontal="center" vertical="top"/>
    </xf>
    <xf numFmtId="0" fontId="3" fillId="6" borderId="13" xfId="0" applyFont="1" applyFill="1" applyBorder="1" applyAlignment="1">
      <alignment horizontal="right" vertical="top"/>
    </xf>
    <xf numFmtId="164" fontId="3" fillId="6" borderId="9" xfId="1" applyNumberFormat="1" applyFont="1" applyFill="1" applyBorder="1" applyAlignment="1">
      <alignment vertical="top"/>
    </xf>
    <xf numFmtId="0" fontId="6" fillId="6" borderId="14" xfId="0" applyFont="1" applyFill="1" applyBorder="1" applyAlignment="1">
      <alignment horizontal="center" vertical="top"/>
    </xf>
    <xf numFmtId="0" fontId="10" fillId="0" borderId="0" xfId="0" applyFont="1" applyAlignment="1">
      <alignment horizontal="left" vertical="top" wrapText="1"/>
    </xf>
    <xf numFmtId="0" fontId="10" fillId="0" borderId="8" xfId="0" applyFont="1" applyBorder="1" applyAlignment="1">
      <alignment horizontal="left" vertical="top" wrapText="1" indent="1"/>
    </xf>
    <xf numFmtId="0" fontId="10" fillId="0" borderId="15" xfId="0" applyFont="1" applyBorder="1" applyAlignment="1">
      <alignment horizontal="center" vertical="top" wrapText="1"/>
    </xf>
    <xf numFmtId="0" fontId="10" fillId="0" borderId="15" xfId="0" applyFont="1" applyBorder="1" applyAlignment="1">
      <alignment horizontal="center" vertical="top"/>
    </xf>
    <xf numFmtId="0" fontId="10" fillId="0" borderId="0" xfId="0" applyFont="1" applyAlignment="1">
      <alignment horizontal="center" vertical="top" wrapText="1"/>
    </xf>
    <xf numFmtId="14" fontId="10" fillId="0" borderId="7" xfId="0" applyNumberFormat="1" applyFont="1" applyBorder="1" applyAlignment="1">
      <alignment horizontal="center" vertical="top"/>
    </xf>
    <xf numFmtId="164" fontId="10" fillId="0" borderId="15" xfId="1" applyNumberFormat="1" applyFont="1" applyBorder="1" applyAlignment="1">
      <alignment vertical="top"/>
    </xf>
    <xf numFmtId="0" fontId="11" fillId="0" borderId="15" xfId="0" applyFont="1" applyBorder="1" applyAlignment="1">
      <alignment horizontal="center" vertical="top"/>
    </xf>
    <xf numFmtId="0" fontId="10" fillId="0" borderId="5" xfId="0" applyFont="1" applyBorder="1" applyAlignment="1">
      <alignment horizontal="left" vertical="top" wrapText="1"/>
    </xf>
    <xf numFmtId="0" fontId="10" fillId="0" borderId="6" xfId="0" applyFont="1" applyBorder="1" applyAlignment="1">
      <alignment horizontal="left" vertical="top" wrapText="1" indent="1"/>
    </xf>
    <xf numFmtId="0" fontId="10" fillId="0" borderId="11" xfId="0" applyFont="1" applyBorder="1" applyAlignment="1">
      <alignment horizontal="center" vertical="top" wrapText="1"/>
    </xf>
    <xf numFmtId="0" fontId="10" fillId="0" borderId="11" xfId="0" applyFont="1" applyBorder="1" applyAlignment="1">
      <alignment horizontal="center" vertical="top"/>
    </xf>
    <xf numFmtId="0" fontId="10" fillId="0" borderId="5" xfId="0" applyFont="1" applyBorder="1" applyAlignment="1">
      <alignment horizontal="center" vertical="top" wrapText="1"/>
    </xf>
    <xf numFmtId="14" fontId="10" fillId="0" borderId="4" xfId="0" applyNumberFormat="1" applyFont="1" applyBorder="1" applyAlignment="1">
      <alignment horizontal="center" vertical="top"/>
    </xf>
    <xf numFmtId="164" fontId="10" fillId="0" borderId="11" xfId="1" applyNumberFormat="1" applyFont="1" applyBorder="1" applyAlignment="1">
      <alignment vertical="top"/>
    </xf>
    <xf numFmtId="0" fontId="11" fillId="0" borderId="11" xfId="0" applyFont="1" applyBorder="1" applyAlignment="1">
      <alignment horizontal="center" vertical="top"/>
    </xf>
    <xf numFmtId="0" fontId="0" fillId="0" borderId="11" xfId="0" applyBorder="1" applyAlignment="1">
      <alignment vertical="top" wrapText="1"/>
    </xf>
    <xf numFmtId="0" fontId="3" fillId="2" borderId="12" xfId="0" applyFont="1" applyFill="1" applyBorder="1" applyAlignment="1">
      <alignment horizontal="center" vertical="top"/>
    </xf>
    <xf numFmtId="164" fontId="3" fillId="2" borderId="9" xfId="1" applyNumberFormat="1" applyFont="1" applyFill="1" applyBorder="1" applyAlignment="1">
      <alignment vertical="top"/>
    </xf>
    <xf numFmtId="0" fontId="0" fillId="0" borderId="0" xfId="0" applyAlignment="1">
      <alignment horizontal="right" indent="1"/>
    </xf>
    <xf numFmtId="0" fontId="3" fillId="2" borderId="12" xfId="0" applyFont="1" applyFill="1" applyBorder="1" applyAlignment="1">
      <alignment horizontal="center"/>
    </xf>
    <xf numFmtId="0" fontId="3" fillId="2" borderId="13" xfId="0" applyFont="1" applyFill="1" applyBorder="1"/>
    <xf numFmtId="0" fontId="3" fillId="2" borderId="13" xfId="0" applyFont="1" applyFill="1" applyBorder="1" applyAlignment="1">
      <alignment horizontal="left"/>
    </xf>
    <xf numFmtId="0" fontId="3" fillId="2" borderId="13" xfId="0" applyFont="1" applyFill="1" applyBorder="1" applyAlignment="1">
      <alignment horizontal="center"/>
    </xf>
    <xf numFmtId="0" fontId="3" fillId="2" borderId="13" xfId="0" applyFont="1" applyFill="1" applyBorder="1" applyAlignment="1">
      <alignment horizontal="right"/>
    </xf>
    <xf numFmtId="164" fontId="3" fillId="2" borderId="9" xfId="1" applyNumberFormat="1" applyFont="1" applyFill="1" applyBorder="1"/>
    <xf numFmtId="0" fontId="5" fillId="2" borderId="14" xfId="0" applyFont="1" applyFill="1" applyBorder="1" applyAlignment="1">
      <alignment horizontal="center"/>
    </xf>
    <xf numFmtId="0" fontId="0" fillId="0" borderId="1" xfId="0" applyBorder="1"/>
    <xf numFmtId="0" fontId="0" fillId="0" borderId="2" xfId="0" applyBorder="1"/>
    <xf numFmtId="0" fontId="0" fillId="0" borderId="2" xfId="0" applyBorder="1" applyAlignment="1">
      <alignment horizontal="left"/>
    </xf>
    <xf numFmtId="0" fontId="0" fillId="0" borderId="2" xfId="0" applyBorder="1" applyAlignment="1">
      <alignment horizontal="center"/>
    </xf>
    <xf numFmtId="164" fontId="0" fillId="0" borderId="2" xfId="1" applyNumberFormat="1" applyFont="1" applyBorder="1"/>
    <xf numFmtId="0" fontId="5" fillId="0" borderId="2" xfId="0" applyFont="1" applyBorder="1" applyAlignment="1">
      <alignment horizontal="center"/>
    </xf>
    <xf numFmtId="0" fontId="5" fillId="0" borderId="3" xfId="0" applyFont="1" applyBorder="1" applyAlignment="1">
      <alignment horizontal="center"/>
    </xf>
    <xf numFmtId="0" fontId="0" fillId="0" borderId="7" xfId="0" applyBorder="1"/>
    <xf numFmtId="164" fontId="0" fillId="0" borderId="0" xfId="1" applyNumberFormat="1" applyFont="1" applyBorder="1"/>
    <xf numFmtId="0" fontId="0" fillId="0" borderId="0" xfId="0" applyAlignment="1">
      <alignment horizontal="center" vertical="center"/>
    </xf>
    <xf numFmtId="0" fontId="5" fillId="0" borderId="0" xfId="0" applyFont="1" applyAlignment="1">
      <alignment horizontal="center"/>
    </xf>
    <xf numFmtId="0" fontId="5" fillId="0" borderId="8" xfId="0" applyFont="1" applyBorder="1" applyAlignment="1">
      <alignment horizontal="center"/>
    </xf>
    <xf numFmtId="0" fontId="12" fillId="0" borderId="0" xfId="0" applyFont="1" applyAlignment="1">
      <alignment horizontal="center"/>
    </xf>
    <xf numFmtId="0" fontId="12" fillId="0" borderId="0" xfId="0" applyFont="1" applyAlignment="1">
      <alignment horizontal="center" vertical="center"/>
    </xf>
    <xf numFmtId="0" fontId="0" fillId="0" borderId="4" xfId="0" applyBorder="1"/>
    <xf numFmtId="0" fontId="0" fillId="0" borderId="5" xfId="0" applyBorder="1"/>
    <xf numFmtId="0" fontId="0" fillId="0" borderId="5" xfId="0" applyBorder="1" applyAlignment="1">
      <alignment horizontal="left"/>
    </xf>
    <xf numFmtId="0" fontId="0" fillId="0" borderId="5" xfId="0" applyBorder="1" applyAlignment="1">
      <alignment horizontal="center"/>
    </xf>
    <xf numFmtId="164" fontId="0" fillId="0" borderId="5" xfId="1" applyNumberFormat="1" applyFont="1" applyBorder="1"/>
    <xf numFmtId="0" fontId="5" fillId="0" borderId="5" xfId="0" applyFont="1" applyBorder="1" applyAlignment="1">
      <alignment horizontal="center"/>
    </xf>
    <xf numFmtId="0" fontId="5" fillId="0" borderId="6" xfId="0" applyFont="1" applyBorder="1" applyAlignment="1">
      <alignment horizontal="center"/>
    </xf>
    <xf numFmtId="0" fontId="0" fillId="0" borderId="15" xfId="0" applyBorder="1" applyAlignment="1">
      <alignment horizontal="left" vertical="top" wrapText="1" indent="1"/>
    </xf>
    <xf numFmtId="0" fontId="0" fillId="0" borderId="0" xfId="0" applyAlignment="1">
      <alignment horizontal="left" vertical="top" wrapText="1" indent="1"/>
    </xf>
    <xf numFmtId="0" fontId="0" fillId="0" borderId="8" xfId="0"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10" xfId="0" applyBorder="1" applyAlignment="1">
      <alignment horizontal="left" vertical="top" wrapText="1" indent="1"/>
    </xf>
    <xf numFmtId="0" fontId="0" fillId="0" borderId="11" xfId="0" applyBorder="1" applyAlignment="1">
      <alignment horizontal="left" vertical="top" wrapText="1" indent="1"/>
    </xf>
    <xf numFmtId="164" fontId="0" fillId="0" borderId="2" xfId="0" applyNumberFormat="1" applyBorder="1" applyAlignment="1">
      <alignment horizontal="center"/>
    </xf>
    <xf numFmtId="0" fontId="0" fillId="0" borderId="1" xfId="0" applyBorder="1" applyAlignment="1">
      <alignment horizontal="left" vertical="top"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left" vertical="top" wrapText="1" indent="1"/>
    </xf>
    <xf numFmtId="0" fontId="9" fillId="0" borderId="10" xfId="0" applyFont="1" applyBorder="1" applyAlignment="1">
      <alignment horizontal="left" vertical="top" wrapText="1" indent="1"/>
    </xf>
    <xf numFmtId="0" fontId="9" fillId="0" borderId="15" xfId="0" applyFont="1" applyBorder="1" applyAlignment="1">
      <alignment horizontal="left" vertical="top" wrapText="1" inden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9"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0" fontId="2" fillId="2" borderId="6" xfId="0" applyFont="1" applyFill="1" applyBorder="1" applyAlignment="1">
      <alignment horizontal="center" vertical="top"/>
    </xf>
    <xf numFmtId="165" fontId="3" fillId="2" borderId="1" xfId="0" applyNumberFormat="1" applyFont="1" applyFill="1" applyBorder="1" applyAlignment="1">
      <alignment horizontal="left" indent="2"/>
    </xf>
    <xf numFmtId="165" fontId="3" fillId="2" borderId="2" xfId="0" applyNumberFormat="1" applyFont="1" applyFill="1" applyBorder="1" applyAlignment="1">
      <alignment horizontal="left" indent="2"/>
    </xf>
    <xf numFmtId="165" fontId="3" fillId="2" borderId="7" xfId="0" applyNumberFormat="1" applyFont="1" applyFill="1" applyBorder="1" applyAlignment="1">
      <alignment horizontal="left" indent="2"/>
    </xf>
    <xf numFmtId="165" fontId="3" fillId="2" borderId="0" xfId="0" applyNumberFormat="1" applyFont="1" applyFill="1" applyAlignment="1">
      <alignment horizontal="left" indent="2"/>
    </xf>
    <xf numFmtId="165" fontId="3" fillId="2" borderId="4" xfId="0" applyNumberFormat="1" applyFont="1" applyFill="1" applyBorder="1" applyAlignment="1">
      <alignment horizontal="left" indent="2"/>
    </xf>
    <xf numFmtId="165" fontId="3" fillId="2" borderId="5" xfId="0" applyNumberFormat="1" applyFont="1" applyFill="1" applyBorder="1" applyAlignment="1">
      <alignment horizontal="left" indent="2"/>
    </xf>
    <xf numFmtId="0" fontId="13" fillId="0" borderId="0" xfId="0" applyFont="1" applyAlignment="1">
      <alignment horizontal="center"/>
    </xf>
    <xf numFmtId="0" fontId="0" fillId="0" borderId="0" xfId="0" applyAlignment="1">
      <alignment horizontal="left" indent="3"/>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14" fillId="0" borderId="9" xfId="0" applyFont="1" applyBorder="1" applyAlignment="1">
      <alignment horizontal="center" vertical="center"/>
    </xf>
    <xf numFmtId="0" fontId="14" fillId="0" borderId="9" xfId="0" applyFont="1" applyBorder="1" applyAlignment="1">
      <alignment horizontal="center" vertical="center"/>
    </xf>
    <xf numFmtId="0" fontId="14" fillId="0" borderId="0" xfId="0" applyFont="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vertical="top" wrapText="1"/>
    </xf>
    <xf numFmtId="0" fontId="0" fillId="0" borderId="10" xfId="0" applyBorder="1"/>
    <xf numFmtId="43" fontId="0" fillId="0" borderId="1" xfId="1" applyFont="1" applyBorder="1"/>
    <xf numFmtId="0" fontId="0" fillId="0" borderId="3" xfId="0" applyBorder="1"/>
    <xf numFmtId="43" fontId="0" fillId="0" borderId="1" xfId="1" applyFont="1" applyBorder="1" applyAlignment="1">
      <alignment horizontal="center"/>
    </xf>
    <xf numFmtId="0" fontId="0" fillId="0" borderId="3" xfId="0" applyBorder="1" applyAlignment="1">
      <alignment horizontal="center"/>
    </xf>
    <xf numFmtId="164" fontId="0" fillId="0" borderId="10" xfId="1" applyNumberFormat="1" applyFont="1" applyBorder="1"/>
    <xf numFmtId="0" fontId="0" fillId="0" borderId="15" xfId="0" applyBorder="1" applyAlignment="1">
      <alignment horizontal="center" vertical="center"/>
    </xf>
    <xf numFmtId="0" fontId="0" fillId="0" borderId="15" xfId="0" applyBorder="1" applyAlignment="1">
      <alignment horizontal="left" vertical="top" wrapText="1"/>
    </xf>
    <xf numFmtId="0" fontId="0" fillId="0" borderId="15" xfId="0" applyBorder="1"/>
    <xf numFmtId="0" fontId="0" fillId="0" borderId="8" xfId="0" applyBorder="1"/>
    <xf numFmtId="0" fontId="0" fillId="0" borderId="7" xfId="0" applyBorder="1" applyAlignment="1">
      <alignment horizontal="center"/>
    </xf>
    <xf numFmtId="0" fontId="0" fillId="0" borderId="8" xfId="0" applyBorder="1" applyAlignment="1">
      <alignment horizontal="center"/>
    </xf>
    <xf numFmtId="0" fontId="0" fillId="0" borderId="11" xfId="0" applyBorder="1" applyAlignment="1">
      <alignment horizontal="center" vertical="center"/>
    </xf>
    <xf numFmtId="0" fontId="0" fillId="0" borderId="11" xfId="0" applyBorder="1"/>
    <xf numFmtId="0" fontId="0" fillId="0" borderId="6" xfId="0" applyBorder="1"/>
    <xf numFmtId="0" fontId="0" fillId="0" borderId="4" xfId="0" applyBorder="1" applyAlignment="1">
      <alignment horizontal="center"/>
    </xf>
    <xf numFmtId="0" fontId="0" fillId="0" borderId="6" xfId="0" applyBorder="1" applyAlignment="1">
      <alignment horizontal="center"/>
    </xf>
    <xf numFmtId="0" fontId="3" fillId="0" borderId="12" xfId="0" applyFont="1" applyBorder="1" applyAlignment="1">
      <alignment horizontal="center" vertical="center"/>
    </xf>
    <xf numFmtId="0" fontId="3" fillId="0" borderId="13" xfId="0" applyFont="1" applyBorder="1"/>
    <xf numFmtId="0" fontId="3" fillId="0" borderId="14" xfId="0" applyFont="1" applyBorder="1" applyAlignment="1">
      <alignment horizontal="right" indent="1"/>
    </xf>
    <xf numFmtId="0" fontId="3" fillId="0" borderId="12" xfId="0" applyFont="1" applyBorder="1"/>
    <xf numFmtId="0" fontId="3" fillId="0" borderId="14" xfId="0" applyFont="1" applyBorder="1"/>
    <xf numFmtId="0" fontId="3" fillId="0" borderId="9" xfId="0" applyFont="1" applyBorder="1"/>
    <xf numFmtId="164" fontId="3" fillId="0" borderId="9" xfId="0" applyNumberFormat="1" applyFont="1" applyBorder="1"/>
    <xf numFmtId="0" fontId="0" fillId="0" borderId="10" xfId="0" applyBorder="1" applyAlignment="1">
      <alignment horizontal="left" vertical="top" wrapText="1"/>
    </xf>
    <xf numFmtId="0" fontId="0" fillId="0" borderId="10" xfId="0" applyBorder="1" applyAlignment="1">
      <alignment vertical="top"/>
    </xf>
    <xf numFmtId="164" fontId="0" fillId="0" borderId="1" xfId="1" applyNumberFormat="1" applyFont="1" applyBorder="1" applyAlignment="1">
      <alignment vertical="top"/>
    </xf>
    <xf numFmtId="0" fontId="0" fillId="0" borderId="3" xfId="0" applyBorder="1" applyAlignment="1">
      <alignment vertical="top"/>
    </xf>
    <xf numFmtId="164" fontId="0" fillId="0" borderId="1" xfId="1" applyNumberFormat="1" applyFont="1" applyBorder="1" applyAlignment="1">
      <alignment horizontal="center" vertical="top"/>
    </xf>
    <xf numFmtId="0" fontId="0" fillId="0" borderId="10" xfId="0" applyBorder="1" applyAlignment="1">
      <alignment vertical="top" wrapText="1"/>
    </xf>
    <xf numFmtId="0" fontId="0" fillId="0" borderId="15" xfId="0" applyBorder="1" applyAlignment="1">
      <alignment horizontal="left" vertical="top"/>
    </xf>
    <xf numFmtId="164" fontId="0" fillId="0" borderId="7" xfId="1" applyNumberFormat="1" applyFont="1" applyBorder="1" applyAlignment="1">
      <alignment vertical="top"/>
    </xf>
    <xf numFmtId="0" fontId="0" fillId="0" borderId="8" xfId="0" applyBorder="1" applyAlignment="1">
      <alignment vertical="top"/>
    </xf>
    <xf numFmtId="164" fontId="0" fillId="0" borderId="7" xfId="1" applyNumberFormat="1" applyFont="1" applyBorder="1" applyAlignment="1">
      <alignment horizontal="center" vertical="top"/>
    </xf>
    <xf numFmtId="0" fontId="0" fillId="0" borderId="15" xfId="0" applyBorder="1" applyAlignment="1">
      <alignment horizontal="left" indent="1"/>
    </xf>
    <xf numFmtId="0" fontId="0" fillId="0" borderId="15" xfId="0" applyBorder="1" applyAlignment="1">
      <alignment horizontal="center"/>
    </xf>
    <xf numFmtId="164" fontId="0" fillId="0" borderId="7" xfId="1" applyNumberFormat="1" applyFont="1" applyBorder="1"/>
    <xf numFmtId="164" fontId="0" fillId="0" borderId="7" xfId="1" applyNumberFormat="1" applyFont="1" applyBorder="1" applyAlignment="1">
      <alignment horizontal="center"/>
    </xf>
    <xf numFmtId="0" fontId="0" fillId="0" borderId="15" xfId="0" applyBorder="1" applyAlignment="1">
      <alignment horizontal="left" wrapText="1" indent="1"/>
    </xf>
    <xf numFmtId="0" fontId="0" fillId="0" borderId="11" xfId="0" applyBorder="1" applyAlignment="1">
      <alignment horizontal="left" indent="1"/>
    </xf>
    <xf numFmtId="0" fontId="0" fillId="0" borderId="11" xfId="0" applyBorder="1" applyAlignment="1">
      <alignment horizontal="center"/>
    </xf>
    <xf numFmtId="164" fontId="0" fillId="0" borderId="4" xfId="1" applyNumberFormat="1" applyFont="1" applyBorder="1" applyAlignment="1">
      <alignment horizontal="center"/>
    </xf>
    <xf numFmtId="0" fontId="3" fillId="0" borderId="4" xfId="0" applyFont="1" applyBorder="1"/>
    <xf numFmtId="0" fontId="3" fillId="0" borderId="6" xfId="0" applyFont="1" applyBorder="1"/>
    <xf numFmtId="0" fontId="0" fillId="0" borderId="10" xfId="0" applyBorder="1" applyAlignment="1">
      <alignment horizontal="left" indent="1"/>
    </xf>
    <xf numFmtId="0" fontId="12" fillId="0" borderId="5" xfId="0" applyFont="1" applyBorder="1"/>
    <xf numFmtId="0" fontId="13" fillId="0" borderId="0" xfId="0" applyFont="1" applyAlignment="1">
      <alignment horizontal="center" vertical="center"/>
    </xf>
    <xf numFmtId="0" fontId="13" fillId="0" borderId="0" xfId="0" applyFont="1" applyAlignment="1">
      <alignment horizontal="left" vertical="center"/>
    </xf>
    <xf numFmtId="167" fontId="8" fillId="0" borderId="0" xfId="0" applyNumberFormat="1" applyFont="1" applyAlignment="1">
      <alignment horizontal="center" vertical="top"/>
    </xf>
    <xf numFmtId="0" fontId="6" fillId="0" borderId="0" xfId="0" applyFont="1" applyAlignment="1">
      <alignment horizontal="justify" vertical="top" wrapText="1"/>
    </xf>
    <xf numFmtId="0" fontId="15"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horizontal="center"/>
    </xf>
    <xf numFmtId="167" fontId="3" fillId="0" borderId="0" xfId="0" applyNumberFormat="1" applyFont="1" applyAlignment="1">
      <alignment horizontal="center" vertical="top"/>
    </xf>
    <xf numFmtId="0" fontId="3" fillId="0" borderId="0" xfId="0" applyFont="1" applyAlignment="1">
      <alignment horizontal="justify" vertical="top" wrapText="1"/>
    </xf>
    <xf numFmtId="0" fontId="16" fillId="0" borderId="0" xfId="0" applyFont="1" applyAlignment="1">
      <alignment horizontal="center"/>
    </xf>
    <xf numFmtId="0" fontId="6" fillId="0" borderId="0" xfId="0" applyFont="1" applyAlignment="1">
      <alignment horizontal="justify" vertical="top"/>
    </xf>
    <xf numFmtId="0" fontId="6" fillId="0" borderId="0" xfId="0" applyFont="1" applyAlignment="1">
      <alignment vertical="top" wrapText="1"/>
    </xf>
    <xf numFmtId="42" fontId="6" fillId="0" borderId="0" xfId="0" applyNumberFormat="1" applyFont="1" applyAlignment="1">
      <alignment vertical="top" wrapText="1"/>
    </xf>
    <xf numFmtId="0" fontId="0" fillId="0" borderId="0" xfId="0" quotePrefix="1" applyAlignment="1">
      <alignment vertical="top"/>
    </xf>
    <xf numFmtId="0" fontId="6" fillId="0" borderId="0" xfId="0" applyFont="1" applyAlignment="1">
      <alignment horizontal="right" vertical="top" indent="1"/>
    </xf>
    <xf numFmtId="0" fontId="6" fillId="0" borderId="0" xfId="0" applyFont="1" applyAlignment="1">
      <alignment horizontal="right" vertical="top"/>
    </xf>
    <xf numFmtId="0" fontId="0" fillId="0" borderId="0" xfId="0" applyAlignment="1">
      <alignment horizontal="left" indent="2"/>
    </xf>
    <xf numFmtId="0" fontId="6" fillId="0" borderId="0" xfId="0" applyFont="1" applyAlignment="1">
      <alignment horizontal="left" vertical="top" indent="1"/>
    </xf>
    <xf numFmtId="0" fontId="6" fillId="0" borderId="0" xfId="0" applyFont="1" applyAlignment="1">
      <alignment vertical="top"/>
    </xf>
    <xf numFmtId="0" fontId="6" fillId="0" borderId="0" xfId="0" applyFont="1" applyAlignment="1">
      <alignment horizontal="justify" vertical="top"/>
    </xf>
    <xf numFmtId="0" fontId="6" fillId="0" borderId="0" xfId="0" quotePrefix="1" applyFont="1" applyAlignment="1">
      <alignment horizontal="left" vertical="top" indent="1"/>
    </xf>
    <xf numFmtId="0" fontId="6" fillId="0" borderId="0" xfId="0" applyFont="1" applyAlignment="1">
      <alignment horizontal="left" vertical="top" wrapText="1" indent="1"/>
    </xf>
    <xf numFmtId="0" fontId="6" fillId="0" borderId="0" xfId="0" applyFont="1" applyAlignment="1">
      <alignment horizontal="justify" vertical="top" wrapText="1"/>
    </xf>
    <xf numFmtId="0" fontId="6" fillId="0" borderId="0" xfId="0" applyFont="1" applyAlignment="1">
      <alignment horizontal="left"/>
    </xf>
    <xf numFmtId="0" fontId="16" fillId="0" borderId="0" xfId="0" applyFont="1" applyAlignment="1">
      <alignment horizontal="center"/>
    </xf>
    <xf numFmtId="0" fontId="17" fillId="0" borderId="0" xfId="0" applyFont="1"/>
    <xf numFmtId="0" fontId="3" fillId="0" borderId="0" xfId="0" applyFont="1" applyAlignment="1">
      <alignment horizontal="left" indent="8"/>
    </xf>
    <xf numFmtId="0" fontId="17" fillId="0" borderId="0" xfId="0" applyFont="1" applyAlignment="1">
      <alignment horizontal="left" indent="2"/>
    </xf>
    <xf numFmtId="0" fontId="3" fillId="0" borderId="0" xfId="0" applyFont="1" applyAlignment="1">
      <alignment horizontal="left" indent="3"/>
    </xf>
    <xf numFmtId="0" fontId="3" fillId="0" borderId="0" xfId="0" applyFont="1" applyAlignment="1">
      <alignment horizontal="left" indent="6"/>
    </xf>
    <xf numFmtId="0" fontId="3" fillId="0" borderId="0" xfId="0" applyFont="1" applyAlignment="1">
      <alignment horizontal="left" indent="2"/>
    </xf>
    <xf numFmtId="164" fontId="0" fillId="0" borderId="0" xfId="1" applyNumberFormat="1" applyFont="1" applyBorder="1" applyAlignment="1">
      <alignment vertical="top"/>
    </xf>
    <xf numFmtId="0" fontId="3" fillId="0" borderId="7" xfId="0" applyFont="1" applyBorder="1" applyAlignment="1">
      <alignment horizontal="center"/>
    </xf>
    <xf numFmtId="0" fontId="3" fillId="0" borderId="8" xfId="0" applyFont="1" applyBorder="1" applyAlignment="1">
      <alignment horizontal="center"/>
    </xf>
    <xf numFmtId="164" fontId="3" fillId="0" borderId="9" xfId="1" applyNumberFormat="1" applyFont="1" applyBorder="1" applyAlignment="1">
      <alignment horizontal="center" vertical="center" wrapText="1"/>
    </xf>
    <xf numFmtId="0" fontId="9" fillId="0" borderId="9" xfId="0" applyFont="1" applyBorder="1" applyAlignment="1">
      <alignment horizontal="center"/>
    </xf>
    <xf numFmtId="0" fontId="9" fillId="0" borderId="14" xfId="0" applyFont="1" applyBorder="1" applyAlignment="1">
      <alignment horizontal="center"/>
    </xf>
    <xf numFmtId="0" fontId="9" fillId="0" borderId="14" xfId="1" applyNumberFormat="1" applyFont="1" applyBorder="1" applyAlignment="1">
      <alignment horizontal="center"/>
    </xf>
    <xf numFmtId="0" fontId="3" fillId="0" borderId="8" xfId="0" applyFont="1" applyBorder="1" applyAlignment="1">
      <alignment horizontal="left" indent="1"/>
    </xf>
    <xf numFmtId="164" fontId="0" fillId="0" borderId="8" xfId="1" applyNumberFormat="1" applyFont="1" applyBorder="1"/>
    <xf numFmtId="0" fontId="15" fillId="0" borderId="8" xfId="0" quotePrefix="1" applyFont="1" applyBorder="1" applyAlignment="1">
      <alignment horizontal="left" indent="1"/>
    </xf>
    <xf numFmtId="0" fontId="15" fillId="0" borderId="8" xfId="0" applyFont="1" applyBorder="1" applyAlignment="1">
      <alignment horizontal="left" indent="2"/>
    </xf>
    <xf numFmtId="164" fontId="15" fillId="0" borderId="8" xfId="1" applyNumberFormat="1" applyFont="1" applyBorder="1"/>
    <xf numFmtId="0" fontId="3" fillId="0" borderId="8" xfId="0" quotePrefix="1" applyFont="1" applyBorder="1" applyAlignment="1">
      <alignment horizontal="left" indent="1"/>
    </xf>
    <xf numFmtId="0" fontId="3" fillId="0" borderId="8" xfId="0" applyFont="1" applyBorder="1" applyAlignment="1">
      <alignment horizontal="left" indent="3"/>
    </xf>
    <xf numFmtId="164" fontId="3" fillId="0" borderId="8" xfId="1" applyNumberFormat="1" applyFont="1" applyBorder="1"/>
    <xf numFmtId="0" fontId="0" fillId="0" borderId="8" xfId="0" quotePrefix="1" applyBorder="1" applyAlignment="1">
      <alignment horizontal="left" indent="1"/>
    </xf>
    <xf numFmtId="0" fontId="0" fillId="0" borderId="8" xfId="0" applyBorder="1" applyAlignment="1">
      <alignment horizontal="left" indent="4"/>
    </xf>
    <xf numFmtId="0" fontId="3" fillId="0" borderId="8" xfId="0" applyFont="1" applyBorder="1" applyAlignment="1">
      <alignment horizontal="left" indent="2"/>
    </xf>
    <xf numFmtId="0" fontId="0" fillId="0" borderId="8" xfId="0" applyBorder="1" applyAlignment="1">
      <alignment horizontal="left" indent="3"/>
    </xf>
    <xf numFmtId="37" fontId="0" fillId="0" borderId="8" xfId="1" applyNumberFormat="1" applyFont="1" applyBorder="1" applyAlignment="1">
      <alignment horizontal="left"/>
    </xf>
    <xf numFmtId="0" fontId="15" fillId="0" borderId="15" xfId="0" quotePrefix="1" applyFont="1" applyBorder="1" applyAlignment="1">
      <alignment horizontal="left" indent="1"/>
    </xf>
    <xf numFmtId="0" fontId="15" fillId="0" borderId="8" xfId="0" applyFont="1" applyBorder="1" applyAlignment="1">
      <alignment horizontal="left" indent="1"/>
    </xf>
    <xf numFmtId="0" fontId="3" fillId="0" borderId="15" xfId="0" quotePrefix="1" applyFont="1" applyBorder="1" applyAlignment="1">
      <alignment horizontal="left" indent="1"/>
    </xf>
    <xf numFmtId="0" fontId="0" fillId="0" borderId="15" xfId="0" quotePrefix="1" applyBorder="1" applyAlignment="1">
      <alignment horizontal="left" indent="1"/>
    </xf>
    <xf numFmtId="0" fontId="0" fillId="0" borderId="16" xfId="0" quotePrefix="1" applyBorder="1" applyAlignment="1">
      <alignment horizontal="left" indent="1"/>
    </xf>
    <xf numFmtId="0" fontId="0" fillId="0" borderId="8" xfId="0" applyBorder="1" applyAlignment="1">
      <alignment horizontal="left" indent="1"/>
    </xf>
    <xf numFmtId="0" fontId="0" fillId="0" borderId="16" xfId="0" applyBorder="1" applyAlignment="1">
      <alignment horizontal="center"/>
    </xf>
    <xf numFmtId="0" fontId="0" fillId="0" borderId="17" xfId="0" applyBorder="1" applyAlignment="1">
      <alignment horizontal="left" indent="1"/>
    </xf>
    <xf numFmtId="0" fontId="0" fillId="0" borderId="18" xfId="0" applyBorder="1" applyAlignment="1">
      <alignment horizontal="left" indent="1"/>
    </xf>
    <xf numFmtId="0" fontId="3" fillId="0" borderId="19" xfId="0" applyFont="1" applyBorder="1" applyAlignment="1">
      <alignment horizontal="right" indent="3"/>
    </xf>
    <xf numFmtId="164" fontId="3" fillId="0" borderId="19" xfId="1" applyNumberFormat="1" applyFont="1" applyBorder="1"/>
    <xf numFmtId="0" fontId="0" fillId="0" borderId="19" xfId="0" applyBorder="1" applyAlignment="1">
      <alignment horizontal="center"/>
    </xf>
    <xf numFmtId="0" fontId="3" fillId="2" borderId="20" xfId="0" applyFont="1" applyFill="1" applyBorder="1"/>
    <xf numFmtId="0" fontId="3" fillId="2" borderId="21" xfId="0" applyFont="1" applyFill="1" applyBorder="1" applyAlignment="1">
      <alignment horizontal="left" indent="1"/>
    </xf>
    <xf numFmtId="164" fontId="3" fillId="2" borderId="21" xfId="1" applyNumberFormat="1" applyFont="1" applyFill="1" applyBorder="1"/>
    <xf numFmtId="0" fontId="0" fillId="2" borderId="21" xfId="0" applyFill="1" applyBorder="1" applyAlignment="1">
      <alignment horizontal="center"/>
    </xf>
    <xf numFmtId="0" fontId="3" fillId="7" borderId="9" xfId="0" applyFont="1" applyFill="1" applyBorder="1" applyAlignment="1">
      <alignment horizontal="left" indent="1"/>
    </xf>
    <xf numFmtId="0" fontId="3" fillId="7" borderId="14" xfId="0" applyFont="1" applyFill="1" applyBorder="1" applyAlignment="1">
      <alignment horizontal="left" indent="1"/>
    </xf>
    <xf numFmtId="164" fontId="3" fillId="7" borderId="14" xfId="1" applyNumberFormat="1" applyFont="1" applyFill="1" applyBorder="1"/>
    <xf numFmtId="0" fontId="0" fillId="7" borderId="14" xfId="0" applyFill="1" applyBorder="1" applyAlignment="1">
      <alignment horizontal="center"/>
    </xf>
    <xf numFmtId="0" fontId="3" fillId="3" borderId="9" xfId="0" quotePrefix="1" applyFont="1" applyFill="1" applyBorder="1" applyAlignment="1">
      <alignment horizontal="left" vertical="top" indent="1"/>
    </xf>
    <xf numFmtId="0" fontId="3" fillId="3" borderId="14" xfId="0" applyFont="1" applyFill="1" applyBorder="1" applyAlignment="1">
      <alignment horizontal="left" vertical="top"/>
    </xf>
    <xf numFmtId="0" fontId="3" fillId="3" borderId="14" xfId="0" applyFont="1" applyFill="1" applyBorder="1" applyAlignment="1">
      <alignment horizontal="left" wrapText="1" indent="1"/>
    </xf>
    <xf numFmtId="164" fontId="3" fillId="3" borderId="14" xfId="1" applyNumberFormat="1" applyFont="1" applyFill="1" applyBorder="1" applyAlignment="1">
      <alignment vertical="top"/>
    </xf>
    <xf numFmtId="0" fontId="0" fillId="3" borderId="14" xfId="0" applyFill="1" applyBorder="1" applyAlignment="1">
      <alignment horizontal="center" vertical="top"/>
    </xf>
    <xf numFmtId="0" fontId="3" fillId="0" borderId="15" xfId="0" quotePrefix="1" applyFont="1" applyBorder="1" applyAlignment="1">
      <alignment horizontal="left" vertical="top" indent="1"/>
    </xf>
    <xf numFmtId="0" fontId="3" fillId="0" borderId="8" xfId="0" applyFont="1" applyBorder="1" applyAlignment="1">
      <alignment horizontal="left" vertical="top"/>
    </xf>
    <xf numFmtId="0" fontId="3" fillId="0" borderId="8" xfId="0" applyFont="1" applyBorder="1" applyAlignment="1">
      <alignment horizontal="left" wrapText="1" indent="1"/>
    </xf>
    <xf numFmtId="164" fontId="3" fillId="0" borderId="8" xfId="1" applyNumberFormat="1" applyFont="1" applyBorder="1" applyAlignment="1">
      <alignment vertical="top"/>
    </xf>
    <xf numFmtId="0" fontId="6" fillId="0" borderId="15" xfId="0" applyFont="1" applyBorder="1" applyAlignment="1">
      <alignment horizontal="left" vertical="top" indent="1"/>
    </xf>
    <xf numFmtId="0" fontId="6" fillId="0" borderId="8" xfId="0" quotePrefix="1" applyFont="1" applyBorder="1" applyAlignment="1">
      <alignment horizontal="left" vertical="top" indent="1"/>
    </xf>
    <xf numFmtId="0" fontId="6" fillId="0" borderId="8" xfId="0" applyFont="1" applyBorder="1" applyAlignment="1">
      <alignment horizontal="left" vertical="top" indent="1"/>
    </xf>
    <xf numFmtId="164" fontId="6" fillId="0" borderId="8" xfId="1" applyNumberFormat="1" applyFont="1" applyBorder="1" applyAlignment="1">
      <alignment horizontal="left" vertical="top"/>
    </xf>
    <xf numFmtId="0" fontId="3" fillId="0" borderId="15" xfId="0" applyFont="1" applyBorder="1" applyAlignment="1">
      <alignment horizontal="left" vertical="top" indent="1"/>
    </xf>
    <xf numFmtId="0" fontId="3" fillId="0" borderId="8" xfId="0" applyFont="1" applyBorder="1" applyAlignment="1">
      <alignment horizontal="left" vertical="top" indent="1"/>
    </xf>
    <xf numFmtId="0" fontId="0" fillId="0" borderId="8" xfId="0" quotePrefix="1" applyBorder="1" applyAlignment="1">
      <alignment horizontal="left" vertical="top" indent="1"/>
    </xf>
    <xf numFmtId="164" fontId="0" fillId="0" borderId="8" xfId="1" applyNumberFormat="1" applyFont="1" applyBorder="1" applyAlignment="1">
      <alignment horizontal="left" vertical="top"/>
    </xf>
    <xf numFmtId="0" fontId="6" fillId="0" borderId="8" xfId="0" applyFont="1" applyBorder="1" applyAlignment="1">
      <alignment horizontal="left" indent="1"/>
    </xf>
    <xf numFmtId="164" fontId="6" fillId="0" borderId="8" xfId="1" applyNumberFormat="1" applyFont="1" applyBorder="1" applyAlignment="1">
      <alignment vertical="top"/>
    </xf>
    <xf numFmtId="164" fontId="0" fillId="0" borderId="8" xfId="1" applyNumberFormat="1" applyFont="1" applyBorder="1" applyAlignment="1">
      <alignment vertical="top"/>
    </xf>
    <xf numFmtId="0" fontId="3" fillId="0" borderId="8" xfId="0" applyFont="1" applyBorder="1" applyAlignment="1">
      <alignment horizontal="left" vertical="top" wrapText="1" indent="1"/>
    </xf>
    <xf numFmtId="0" fontId="0" fillId="0" borderId="6" xfId="0" quotePrefix="1" applyBorder="1" applyAlignment="1">
      <alignment horizontal="left" vertical="top" indent="1"/>
    </xf>
    <xf numFmtId="0" fontId="0" fillId="0" borderId="6" xfId="0" applyBorder="1" applyAlignment="1">
      <alignment horizontal="left" vertical="top" indent="1"/>
    </xf>
    <xf numFmtId="164" fontId="0" fillId="0" borderId="6" xfId="1" applyNumberFormat="1" applyFont="1" applyBorder="1" applyAlignment="1">
      <alignment vertical="top"/>
    </xf>
    <xf numFmtId="0" fontId="3" fillId="3" borderId="14" xfId="0" applyFont="1" applyFill="1" applyBorder="1" applyAlignment="1">
      <alignment horizontal="left" indent="1"/>
    </xf>
    <xf numFmtId="37" fontId="3" fillId="7" borderId="14" xfId="1" applyNumberFormat="1" applyFont="1" applyFill="1" applyBorder="1"/>
    <xf numFmtId="0" fontId="3" fillId="0" borderId="10" xfId="0" quotePrefix="1" applyFont="1" applyBorder="1" applyAlignment="1">
      <alignment horizontal="left" vertical="top" indent="1"/>
    </xf>
    <xf numFmtId="0" fontId="3" fillId="0" borderId="3" xfId="0" applyFont="1" applyBorder="1" applyAlignment="1">
      <alignment horizontal="left" vertical="top"/>
    </xf>
    <xf numFmtId="0" fontId="3" fillId="0" borderId="3" xfId="0" applyFont="1" applyBorder="1" applyAlignment="1">
      <alignment horizontal="left" vertical="top" wrapText="1" indent="1"/>
    </xf>
    <xf numFmtId="164" fontId="3" fillId="0" borderId="3" xfId="1" applyNumberFormat="1" applyFont="1" applyBorder="1" applyAlignment="1">
      <alignment vertical="top"/>
    </xf>
    <xf numFmtId="0" fontId="0" fillId="0" borderId="22" xfId="0" applyBorder="1" applyAlignment="1">
      <alignment horizontal="left" vertical="top"/>
    </xf>
    <xf numFmtId="0" fontId="3" fillId="0" borderId="23" xfId="0" applyFont="1" applyBorder="1" applyAlignment="1">
      <alignment horizontal="left" indent="1"/>
    </xf>
    <xf numFmtId="0" fontId="3" fillId="0" borderId="24" xfId="0" applyFont="1" applyBorder="1" applyAlignment="1">
      <alignment horizontal="right" indent="3"/>
    </xf>
    <xf numFmtId="164" fontId="3" fillId="0" borderId="24" xfId="1" applyNumberFormat="1" applyFont="1" applyBorder="1"/>
    <xf numFmtId="0" fontId="3" fillId="0" borderId="24" xfId="0" applyFont="1" applyBorder="1" applyAlignment="1">
      <alignment horizontal="center"/>
    </xf>
    <xf numFmtId="0" fontId="0" fillId="0" borderId="8" xfId="0" applyBorder="1" applyAlignment="1">
      <alignment horizontal="left" vertical="top"/>
    </xf>
    <xf numFmtId="0" fontId="0" fillId="0" borderId="8" xfId="0" applyBorder="1" applyAlignment="1">
      <alignment horizontal="right" vertical="top" indent="3"/>
    </xf>
    <xf numFmtId="0" fontId="0" fillId="0" borderId="8" xfId="0" applyBorder="1" applyAlignment="1">
      <alignment horizontal="left" vertical="top" indent="2"/>
    </xf>
    <xf numFmtId="0" fontId="0" fillId="0" borderId="8" xfId="0" applyBorder="1" applyAlignment="1">
      <alignment horizontal="left" vertical="top" indent="3"/>
    </xf>
    <xf numFmtId="0" fontId="0" fillId="0" borderId="8" xfId="0" applyBorder="1" applyAlignment="1">
      <alignment horizontal="left" vertical="top" indent="4"/>
    </xf>
    <xf numFmtId="0" fontId="0" fillId="0" borderId="23" xfId="0" applyBorder="1" applyAlignment="1">
      <alignment horizontal="left" indent="1"/>
    </xf>
    <xf numFmtId="0" fontId="0" fillId="0" borderId="24" xfId="0" applyBorder="1" applyAlignment="1">
      <alignment horizontal="right" indent="3"/>
    </xf>
    <xf numFmtId="164" fontId="0" fillId="0" borderId="24" xfId="1" applyNumberFormat="1" applyFont="1" applyBorder="1"/>
    <xf numFmtId="0" fontId="0" fillId="0" borderId="24" xfId="0" applyBorder="1" applyAlignment="1">
      <alignment horizontal="center"/>
    </xf>
    <xf numFmtId="0" fontId="0" fillId="0" borderId="25" xfId="0" applyBorder="1" applyAlignment="1">
      <alignment vertical="top"/>
    </xf>
    <xf numFmtId="0" fontId="0" fillId="0" borderId="26" xfId="0" applyBorder="1" applyAlignment="1">
      <alignment horizontal="right" vertical="top" indent="3"/>
    </xf>
    <xf numFmtId="164" fontId="0" fillId="0" borderId="26" xfId="1" applyNumberFormat="1" applyFont="1" applyBorder="1" applyAlignment="1">
      <alignment vertical="top"/>
    </xf>
    <xf numFmtId="0" fontId="0" fillId="0" borderId="26" xfId="0" applyBorder="1" applyAlignment="1">
      <alignment vertical="top"/>
    </xf>
    <xf numFmtId="0" fontId="0" fillId="0" borderId="1" xfId="0" applyBorder="1" applyAlignment="1">
      <alignment horizontal="left" vertical="top"/>
    </xf>
    <xf numFmtId="0" fontId="0" fillId="0" borderId="2" xfId="0" applyBorder="1" applyAlignment="1">
      <alignmen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5" xfId="0" applyBorder="1" applyAlignment="1">
      <alignment vertical="top"/>
    </xf>
    <xf numFmtId="164" fontId="0" fillId="0" borderId="5" xfId="1" applyNumberFormat="1" applyFont="1" applyBorder="1" applyAlignment="1">
      <alignmen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63" Type="http://schemas.openxmlformats.org/officeDocument/2006/relationships/externalLink" Target="externalLinks/externalLink59.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159" Type="http://schemas.openxmlformats.org/officeDocument/2006/relationships/externalLink" Target="externalLinks/externalLink155.xml"/><Relationship Id="rId170" Type="http://schemas.openxmlformats.org/officeDocument/2006/relationships/externalLink" Target="externalLinks/externalLink166.xml"/><Relationship Id="rId191" Type="http://schemas.openxmlformats.org/officeDocument/2006/relationships/externalLink" Target="externalLinks/externalLink187.xml"/><Relationship Id="rId205" Type="http://schemas.openxmlformats.org/officeDocument/2006/relationships/externalLink" Target="externalLinks/externalLink201.xml"/><Relationship Id="rId226" Type="http://schemas.openxmlformats.org/officeDocument/2006/relationships/externalLink" Target="externalLinks/externalLink222.xml"/><Relationship Id="rId247" Type="http://schemas.openxmlformats.org/officeDocument/2006/relationships/styles" Target="styles.xml"/><Relationship Id="rId107" Type="http://schemas.openxmlformats.org/officeDocument/2006/relationships/externalLink" Target="externalLinks/externalLink103.xml"/><Relationship Id="rId11" Type="http://schemas.openxmlformats.org/officeDocument/2006/relationships/externalLink" Target="externalLinks/externalLink7.xml"/><Relationship Id="rId32" Type="http://schemas.openxmlformats.org/officeDocument/2006/relationships/externalLink" Target="externalLinks/externalLink28.xml"/><Relationship Id="rId53" Type="http://schemas.openxmlformats.org/officeDocument/2006/relationships/externalLink" Target="externalLinks/externalLink49.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149" Type="http://schemas.openxmlformats.org/officeDocument/2006/relationships/externalLink" Target="externalLinks/externalLink145.xml"/><Relationship Id="rId5" Type="http://schemas.openxmlformats.org/officeDocument/2006/relationships/externalLink" Target="externalLinks/externalLink1.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181" Type="http://schemas.openxmlformats.org/officeDocument/2006/relationships/externalLink" Target="externalLinks/externalLink177.xml"/><Relationship Id="rId216" Type="http://schemas.openxmlformats.org/officeDocument/2006/relationships/externalLink" Target="externalLinks/externalLink212.xml"/><Relationship Id="rId237" Type="http://schemas.openxmlformats.org/officeDocument/2006/relationships/externalLink" Target="externalLinks/externalLink233.xml"/><Relationship Id="rId22" Type="http://schemas.openxmlformats.org/officeDocument/2006/relationships/externalLink" Target="externalLinks/externalLink18.xml"/><Relationship Id="rId43" Type="http://schemas.openxmlformats.org/officeDocument/2006/relationships/externalLink" Target="externalLinks/externalLink39.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139" Type="http://schemas.openxmlformats.org/officeDocument/2006/relationships/externalLink" Target="externalLinks/externalLink135.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71" Type="http://schemas.openxmlformats.org/officeDocument/2006/relationships/externalLink" Target="externalLinks/externalLink167.xml"/><Relationship Id="rId192" Type="http://schemas.openxmlformats.org/officeDocument/2006/relationships/externalLink" Target="externalLinks/externalLink188.xml"/><Relationship Id="rId206" Type="http://schemas.openxmlformats.org/officeDocument/2006/relationships/externalLink" Target="externalLinks/externalLink202.xml"/><Relationship Id="rId227" Type="http://schemas.openxmlformats.org/officeDocument/2006/relationships/externalLink" Target="externalLinks/externalLink223.xml"/><Relationship Id="rId248" Type="http://schemas.openxmlformats.org/officeDocument/2006/relationships/sharedStrings" Target="sharedStrings.xml"/><Relationship Id="rId12" Type="http://schemas.openxmlformats.org/officeDocument/2006/relationships/externalLink" Target="externalLinks/externalLink8.xml"/><Relationship Id="rId33" Type="http://schemas.openxmlformats.org/officeDocument/2006/relationships/externalLink" Target="externalLinks/externalLink29.xml"/><Relationship Id="rId108" Type="http://schemas.openxmlformats.org/officeDocument/2006/relationships/externalLink" Target="externalLinks/externalLink104.xml"/><Relationship Id="rId129" Type="http://schemas.openxmlformats.org/officeDocument/2006/relationships/externalLink" Target="externalLinks/externalLink125.xml"/><Relationship Id="rId54" Type="http://schemas.openxmlformats.org/officeDocument/2006/relationships/externalLink" Target="externalLinks/externalLink50.xml"/><Relationship Id="rId75" Type="http://schemas.openxmlformats.org/officeDocument/2006/relationships/externalLink" Target="externalLinks/externalLink71.xml"/><Relationship Id="rId96" Type="http://schemas.openxmlformats.org/officeDocument/2006/relationships/externalLink" Target="externalLinks/externalLink92.xml"/><Relationship Id="rId140" Type="http://schemas.openxmlformats.org/officeDocument/2006/relationships/externalLink" Target="externalLinks/externalLink136.xml"/><Relationship Id="rId161" Type="http://schemas.openxmlformats.org/officeDocument/2006/relationships/externalLink" Target="externalLinks/externalLink157.xml"/><Relationship Id="rId182" Type="http://schemas.openxmlformats.org/officeDocument/2006/relationships/externalLink" Target="externalLinks/externalLink178.xml"/><Relationship Id="rId217" Type="http://schemas.openxmlformats.org/officeDocument/2006/relationships/externalLink" Target="externalLinks/externalLink213.xml"/><Relationship Id="rId6" Type="http://schemas.openxmlformats.org/officeDocument/2006/relationships/externalLink" Target="externalLinks/externalLink2.xml"/><Relationship Id="rId238" Type="http://schemas.openxmlformats.org/officeDocument/2006/relationships/externalLink" Target="externalLinks/externalLink234.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44" Type="http://schemas.openxmlformats.org/officeDocument/2006/relationships/externalLink" Target="externalLinks/externalLink40.xml"/><Relationship Id="rId65" Type="http://schemas.openxmlformats.org/officeDocument/2006/relationships/externalLink" Target="externalLinks/externalLink61.xml"/><Relationship Id="rId86" Type="http://schemas.openxmlformats.org/officeDocument/2006/relationships/externalLink" Target="externalLinks/externalLink82.xml"/><Relationship Id="rId130" Type="http://schemas.openxmlformats.org/officeDocument/2006/relationships/externalLink" Target="externalLinks/externalLink126.xml"/><Relationship Id="rId151" Type="http://schemas.openxmlformats.org/officeDocument/2006/relationships/externalLink" Target="externalLinks/externalLink147.xml"/><Relationship Id="rId172" Type="http://schemas.openxmlformats.org/officeDocument/2006/relationships/externalLink" Target="externalLinks/externalLink168.xml"/><Relationship Id="rId193" Type="http://schemas.openxmlformats.org/officeDocument/2006/relationships/externalLink" Target="externalLinks/externalLink189.xml"/><Relationship Id="rId207" Type="http://schemas.openxmlformats.org/officeDocument/2006/relationships/externalLink" Target="externalLinks/externalLink203.xml"/><Relationship Id="rId228" Type="http://schemas.openxmlformats.org/officeDocument/2006/relationships/externalLink" Target="externalLinks/externalLink224.xml"/><Relationship Id="rId249" Type="http://schemas.openxmlformats.org/officeDocument/2006/relationships/calcChain" Target="calcChain.xml"/><Relationship Id="rId13" Type="http://schemas.openxmlformats.org/officeDocument/2006/relationships/externalLink" Target="externalLinks/externalLink9.xml"/><Relationship Id="rId109" Type="http://schemas.openxmlformats.org/officeDocument/2006/relationships/externalLink" Target="externalLinks/externalLink105.xml"/><Relationship Id="rId34" Type="http://schemas.openxmlformats.org/officeDocument/2006/relationships/externalLink" Target="externalLinks/externalLink30.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97" Type="http://schemas.openxmlformats.org/officeDocument/2006/relationships/externalLink" Target="externalLinks/externalLink93.xml"/><Relationship Id="rId120" Type="http://schemas.openxmlformats.org/officeDocument/2006/relationships/externalLink" Target="externalLinks/externalLink116.xml"/><Relationship Id="rId141" Type="http://schemas.openxmlformats.org/officeDocument/2006/relationships/externalLink" Target="externalLinks/externalLink137.xml"/><Relationship Id="rId7" Type="http://schemas.openxmlformats.org/officeDocument/2006/relationships/externalLink" Target="externalLinks/externalLink3.xml"/><Relationship Id="rId162" Type="http://schemas.openxmlformats.org/officeDocument/2006/relationships/externalLink" Target="externalLinks/externalLink158.xml"/><Relationship Id="rId183" Type="http://schemas.openxmlformats.org/officeDocument/2006/relationships/externalLink" Target="externalLinks/externalLink179.xml"/><Relationship Id="rId218" Type="http://schemas.openxmlformats.org/officeDocument/2006/relationships/externalLink" Target="externalLinks/externalLink214.xml"/><Relationship Id="rId239" Type="http://schemas.openxmlformats.org/officeDocument/2006/relationships/externalLink" Target="externalLinks/externalLink235.xml"/><Relationship Id="rId24" Type="http://schemas.openxmlformats.org/officeDocument/2006/relationships/externalLink" Target="externalLinks/externalLink20.xml"/><Relationship Id="rId45" Type="http://schemas.openxmlformats.org/officeDocument/2006/relationships/externalLink" Target="externalLinks/externalLink41.xml"/><Relationship Id="rId66" Type="http://schemas.openxmlformats.org/officeDocument/2006/relationships/externalLink" Target="externalLinks/externalLink62.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131" Type="http://schemas.openxmlformats.org/officeDocument/2006/relationships/externalLink" Target="externalLinks/externalLink127.xml"/><Relationship Id="rId152" Type="http://schemas.openxmlformats.org/officeDocument/2006/relationships/externalLink" Target="externalLinks/externalLink148.xml"/><Relationship Id="rId173" Type="http://schemas.openxmlformats.org/officeDocument/2006/relationships/externalLink" Target="externalLinks/externalLink169.xml"/><Relationship Id="rId194" Type="http://schemas.openxmlformats.org/officeDocument/2006/relationships/externalLink" Target="externalLinks/externalLink190.xml"/><Relationship Id="rId208" Type="http://schemas.openxmlformats.org/officeDocument/2006/relationships/externalLink" Target="externalLinks/externalLink204.xml"/><Relationship Id="rId229" Type="http://schemas.openxmlformats.org/officeDocument/2006/relationships/externalLink" Target="externalLinks/externalLink225.xml"/><Relationship Id="rId240" Type="http://schemas.openxmlformats.org/officeDocument/2006/relationships/externalLink" Target="externalLinks/externalLink236.xml"/><Relationship Id="rId14" Type="http://schemas.openxmlformats.org/officeDocument/2006/relationships/externalLink" Target="externalLinks/externalLink10.xml"/><Relationship Id="rId35" Type="http://schemas.openxmlformats.org/officeDocument/2006/relationships/externalLink" Target="externalLinks/externalLink31.xml"/><Relationship Id="rId56" Type="http://schemas.openxmlformats.org/officeDocument/2006/relationships/externalLink" Target="externalLinks/externalLink52.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8" Type="http://schemas.openxmlformats.org/officeDocument/2006/relationships/externalLink" Target="externalLinks/externalLink4.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42" Type="http://schemas.openxmlformats.org/officeDocument/2006/relationships/externalLink" Target="externalLinks/externalLink138.xml"/><Relationship Id="rId163" Type="http://schemas.openxmlformats.org/officeDocument/2006/relationships/externalLink" Target="externalLinks/externalLink159.xml"/><Relationship Id="rId184" Type="http://schemas.openxmlformats.org/officeDocument/2006/relationships/externalLink" Target="externalLinks/externalLink180.xml"/><Relationship Id="rId219" Type="http://schemas.openxmlformats.org/officeDocument/2006/relationships/externalLink" Target="externalLinks/externalLink215.xml"/><Relationship Id="rId230" Type="http://schemas.openxmlformats.org/officeDocument/2006/relationships/externalLink" Target="externalLinks/externalLink226.xml"/><Relationship Id="rId25" Type="http://schemas.openxmlformats.org/officeDocument/2006/relationships/externalLink" Target="externalLinks/externalLink21.xml"/><Relationship Id="rId46" Type="http://schemas.openxmlformats.org/officeDocument/2006/relationships/externalLink" Target="externalLinks/externalLink42.xml"/><Relationship Id="rId67" Type="http://schemas.openxmlformats.org/officeDocument/2006/relationships/externalLink" Target="externalLinks/externalLink63.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32" Type="http://schemas.openxmlformats.org/officeDocument/2006/relationships/externalLink" Target="externalLinks/externalLink128.xml"/><Relationship Id="rId153" Type="http://schemas.openxmlformats.org/officeDocument/2006/relationships/externalLink" Target="externalLinks/externalLink149.xml"/><Relationship Id="rId174" Type="http://schemas.openxmlformats.org/officeDocument/2006/relationships/externalLink" Target="externalLinks/externalLink170.xml"/><Relationship Id="rId195" Type="http://schemas.openxmlformats.org/officeDocument/2006/relationships/externalLink" Target="externalLinks/externalLink191.xml"/><Relationship Id="rId209" Type="http://schemas.openxmlformats.org/officeDocument/2006/relationships/externalLink" Target="externalLinks/externalLink205.xml"/><Relationship Id="rId220" Type="http://schemas.openxmlformats.org/officeDocument/2006/relationships/externalLink" Target="externalLinks/externalLink216.xml"/><Relationship Id="rId241" Type="http://schemas.openxmlformats.org/officeDocument/2006/relationships/externalLink" Target="externalLinks/externalLink237.xml"/><Relationship Id="rId15" Type="http://schemas.openxmlformats.org/officeDocument/2006/relationships/externalLink" Target="externalLinks/externalLink11.xml"/><Relationship Id="rId36" Type="http://schemas.openxmlformats.org/officeDocument/2006/relationships/externalLink" Target="externalLinks/externalLink32.xml"/><Relationship Id="rId57" Type="http://schemas.openxmlformats.org/officeDocument/2006/relationships/externalLink" Target="externalLinks/externalLink53.xml"/><Relationship Id="rId78" Type="http://schemas.openxmlformats.org/officeDocument/2006/relationships/externalLink" Target="externalLinks/externalLink74.xml"/><Relationship Id="rId99" Type="http://schemas.openxmlformats.org/officeDocument/2006/relationships/externalLink" Target="externalLinks/externalLink95.xml"/><Relationship Id="rId101" Type="http://schemas.openxmlformats.org/officeDocument/2006/relationships/externalLink" Target="externalLinks/externalLink97.xml"/><Relationship Id="rId122" Type="http://schemas.openxmlformats.org/officeDocument/2006/relationships/externalLink" Target="externalLinks/externalLink118.xml"/><Relationship Id="rId143" Type="http://schemas.openxmlformats.org/officeDocument/2006/relationships/externalLink" Target="externalLinks/externalLink139.xml"/><Relationship Id="rId164" Type="http://schemas.openxmlformats.org/officeDocument/2006/relationships/externalLink" Target="externalLinks/externalLink160.xml"/><Relationship Id="rId185" Type="http://schemas.openxmlformats.org/officeDocument/2006/relationships/externalLink" Target="externalLinks/externalLink181.xml"/><Relationship Id="rId4" Type="http://schemas.openxmlformats.org/officeDocument/2006/relationships/worksheet" Target="worksheets/sheet4.xml"/><Relationship Id="rId9" Type="http://schemas.openxmlformats.org/officeDocument/2006/relationships/externalLink" Target="externalLinks/externalLink5.xml"/><Relationship Id="rId180" Type="http://schemas.openxmlformats.org/officeDocument/2006/relationships/externalLink" Target="externalLinks/externalLink176.xml"/><Relationship Id="rId210" Type="http://schemas.openxmlformats.org/officeDocument/2006/relationships/externalLink" Target="externalLinks/externalLink206.xml"/><Relationship Id="rId215" Type="http://schemas.openxmlformats.org/officeDocument/2006/relationships/externalLink" Target="externalLinks/externalLink211.xml"/><Relationship Id="rId236" Type="http://schemas.openxmlformats.org/officeDocument/2006/relationships/externalLink" Target="externalLinks/externalLink232.xml"/><Relationship Id="rId26" Type="http://schemas.openxmlformats.org/officeDocument/2006/relationships/externalLink" Target="externalLinks/externalLink22.xml"/><Relationship Id="rId231" Type="http://schemas.openxmlformats.org/officeDocument/2006/relationships/externalLink" Target="externalLinks/externalLink227.xml"/><Relationship Id="rId47" Type="http://schemas.openxmlformats.org/officeDocument/2006/relationships/externalLink" Target="externalLinks/externalLink43.xml"/><Relationship Id="rId68" Type="http://schemas.openxmlformats.org/officeDocument/2006/relationships/externalLink" Target="externalLinks/externalLink64.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33" Type="http://schemas.openxmlformats.org/officeDocument/2006/relationships/externalLink" Target="externalLinks/externalLink129.xml"/><Relationship Id="rId154" Type="http://schemas.openxmlformats.org/officeDocument/2006/relationships/externalLink" Target="externalLinks/externalLink150.xml"/><Relationship Id="rId175" Type="http://schemas.openxmlformats.org/officeDocument/2006/relationships/externalLink" Target="externalLinks/externalLink171.xml"/><Relationship Id="rId196" Type="http://schemas.openxmlformats.org/officeDocument/2006/relationships/externalLink" Target="externalLinks/externalLink192.xml"/><Relationship Id="rId200" Type="http://schemas.openxmlformats.org/officeDocument/2006/relationships/externalLink" Target="externalLinks/externalLink196.xml"/><Relationship Id="rId16" Type="http://schemas.openxmlformats.org/officeDocument/2006/relationships/externalLink" Target="externalLinks/externalLink12.xml"/><Relationship Id="rId221" Type="http://schemas.openxmlformats.org/officeDocument/2006/relationships/externalLink" Target="externalLinks/externalLink217.xml"/><Relationship Id="rId242" Type="http://schemas.openxmlformats.org/officeDocument/2006/relationships/externalLink" Target="externalLinks/externalLink238.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186" Type="http://schemas.openxmlformats.org/officeDocument/2006/relationships/externalLink" Target="externalLinks/externalLink182.xml"/><Relationship Id="rId211" Type="http://schemas.openxmlformats.org/officeDocument/2006/relationships/externalLink" Target="externalLinks/externalLink207.xml"/><Relationship Id="rId232" Type="http://schemas.openxmlformats.org/officeDocument/2006/relationships/externalLink" Target="externalLinks/externalLink228.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97" Type="http://schemas.openxmlformats.org/officeDocument/2006/relationships/externalLink" Target="externalLinks/externalLink193.xml"/><Relationship Id="rId201" Type="http://schemas.openxmlformats.org/officeDocument/2006/relationships/externalLink" Target="externalLinks/externalLink197.xml"/><Relationship Id="rId222" Type="http://schemas.openxmlformats.org/officeDocument/2006/relationships/externalLink" Target="externalLinks/externalLink218.xml"/><Relationship Id="rId243" Type="http://schemas.openxmlformats.org/officeDocument/2006/relationships/externalLink" Target="externalLinks/externalLink239.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87" Type="http://schemas.openxmlformats.org/officeDocument/2006/relationships/externalLink" Target="externalLinks/externalLink183.xml"/><Relationship Id="rId1" Type="http://schemas.openxmlformats.org/officeDocument/2006/relationships/worksheet" Target="worksheets/sheet1.xml"/><Relationship Id="rId212" Type="http://schemas.openxmlformats.org/officeDocument/2006/relationships/externalLink" Target="externalLinks/externalLink208.xml"/><Relationship Id="rId233" Type="http://schemas.openxmlformats.org/officeDocument/2006/relationships/externalLink" Target="externalLinks/externalLink229.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 Id="rId198" Type="http://schemas.openxmlformats.org/officeDocument/2006/relationships/externalLink" Target="externalLinks/externalLink194.xml"/><Relationship Id="rId202" Type="http://schemas.openxmlformats.org/officeDocument/2006/relationships/externalLink" Target="externalLinks/externalLink198.xml"/><Relationship Id="rId223" Type="http://schemas.openxmlformats.org/officeDocument/2006/relationships/externalLink" Target="externalLinks/externalLink219.xml"/><Relationship Id="rId244" Type="http://schemas.openxmlformats.org/officeDocument/2006/relationships/externalLink" Target="externalLinks/externalLink240.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50" Type="http://schemas.openxmlformats.org/officeDocument/2006/relationships/externalLink" Target="externalLinks/externalLink46.xml"/><Relationship Id="rId104" Type="http://schemas.openxmlformats.org/officeDocument/2006/relationships/externalLink" Target="externalLinks/externalLink100.xml"/><Relationship Id="rId125" Type="http://schemas.openxmlformats.org/officeDocument/2006/relationships/externalLink" Target="externalLinks/externalLink121.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188" Type="http://schemas.openxmlformats.org/officeDocument/2006/relationships/externalLink" Target="externalLinks/externalLink184.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13" Type="http://schemas.openxmlformats.org/officeDocument/2006/relationships/externalLink" Target="externalLinks/externalLink209.xml"/><Relationship Id="rId234" Type="http://schemas.openxmlformats.org/officeDocument/2006/relationships/externalLink" Target="externalLinks/externalLink230.xml"/><Relationship Id="rId2" Type="http://schemas.openxmlformats.org/officeDocument/2006/relationships/worksheet" Target="worksheets/sheet2.xml"/><Relationship Id="rId29" Type="http://schemas.openxmlformats.org/officeDocument/2006/relationships/externalLink" Target="externalLinks/externalLink25.xml"/><Relationship Id="rId40" Type="http://schemas.openxmlformats.org/officeDocument/2006/relationships/externalLink" Target="externalLinks/externalLink36.xml"/><Relationship Id="rId115" Type="http://schemas.openxmlformats.org/officeDocument/2006/relationships/externalLink" Target="externalLinks/externalLink111.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9" Type="http://schemas.openxmlformats.org/officeDocument/2006/relationships/externalLink" Target="externalLinks/externalLink195.xml"/><Relationship Id="rId203" Type="http://schemas.openxmlformats.org/officeDocument/2006/relationships/externalLink" Target="externalLinks/externalLink199.xml"/><Relationship Id="rId19" Type="http://schemas.openxmlformats.org/officeDocument/2006/relationships/externalLink" Target="externalLinks/externalLink15.xml"/><Relationship Id="rId224" Type="http://schemas.openxmlformats.org/officeDocument/2006/relationships/externalLink" Target="externalLinks/externalLink220.xml"/><Relationship Id="rId245" Type="http://schemas.openxmlformats.org/officeDocument/2006/relationships/externalLink" Target="externalLinks/externalLink241.xml"/><Relationship Id="rId30" Type="http://schemas.openxmlformats.org/officeDocument/2006/relationships/externalLink" Target="externalLinks/externalLink2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189" Type="http://schemas.openxmlformats.org/officeDocument/2006/relationships/externalLink" Target="externalLinks/externalLink185.xml"/><Relationship Id="rId3" Type="http://schemas.openxmlformats.org/officeDocument/2006/relationships/worksheet" Target="worksheets/sheet3.xml"/><Relationship Id="rId214" Type="http://schemas.openxmlformats.org/officeDocument/2006/relationships/externalLink" Target="externalLinks/externalLink210.xml"/><Relationship Id="rId235" Type="http://schemas.openxmlformats.org/officeDocument/2006/relationships/externalLink" Target="externalLinks/externalLink231.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179" Type="http://schemas.openxmlformats.org/officeDocument/2006/relationships/externalLink" Target="externalLinks/externalLink175.xml"/><Relationship Id="rId190" Type="http://schemas.openxmlformats.org/officeDocument/2006/relationships/externalLink" Target="externalLinks/externalLink186.xml"/><Relationship Id="rId204" Type="http://schemas.openxmlformats.org/officeDocument/2006/relationships/externalLink" Target="externalLinks/externalLink200.xml"/><Relationship Id="rId225" Type="http://schemas.openxmlformats.org/officeDocument/2006/relationships/externalLink" Target="externalLinks/externalLink221.xml"/><Relationship Id="rId246" Type="http://schemas.openxmlformats.org/officeDocument/2006/relationships/theme" Target="theme/theme1.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94" Type="http://schemas.openxmlformats.org/officeDocument/2006/relationships/externalLink" Target="externalLinks/externalLink90.xml"/><Relationship Id="rId148" Type="http://schemas.openxmlformats.org/officeDocument/2006/relationships/externalLink" Target="externalLinks/externalLink144.xml"/><Relationship Id="rId169" Type="http://schemas.openxmlformats.org/officeDocument/2006/relationships/externalLink" Target="externalLinks/externalLink16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590550</xdr:colOff>
      <xdr:row>2</xdr:row>
      <xdr:rowOff>38100</xdr:rowOff>
    </xdr:from>
    <xdr:to>
      <xdr:col>7</xdr:col>
      <xdr:colOff>979020</xdr:colOff>
      <xdr:row>8</xdr:row>
      <xdr:rowOff>0</xdr:rowOff>
    </xdr:to>
    <xdr:pic>
      <xdr:nvPicPr>
        <xdr:cNvPr id="2" name="Picture 1" descr="Image result for logo garuda">
          <a:extLst>
            <a:ext uri="{FF2B5EF4-FFF2-40B4-BE49-F238E27FC236}">
              <a16:creationId xmlns:a16="http://schemas.microsoft.com/office/drawing/2014/main" id="{8EE5EA8C-BC3D-4F5C-83D1-5D5CE130AD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95625" y="419100"/>
          <a:ext cx="998070" cy="10096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My%20Oeink\Kiec\PENAWARAN\1234\SSP1\ENG-RVP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ryulis\iso9000\1234\FORMST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My%20Documents\Proyek%202003\Penawaran\Rabpun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DATA%20-%20DATA\RAB%20KEHUTANAN\RAB-Poskeswan%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shar\Dari%20Syarif%20-%20edit\EE%20-%20SANDADA%20-%20Cop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OKUMEN%20DEDY\dedi\Data%20Amin\OE\1-BOQ.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2013\DIDI%20~%20LEA\JITUT\LIBRA\JITUT%20L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013\OM%20EPPY\DESA%20LEBITI\LIBRA\Kualufikasi.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cccc\2\20099\Copy%20of%20X-BUMIREJ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13\OM%20EPPY\DESA%20LEBITI\Kualufikas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ata\Konsultan\Profil%20Teknik\Penawaran\PBB\Kantor-Reha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My%20Paper\CV.%20Yusril%20Jln%20Desa%20Wombo\RAB%20Womb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Dok.%20Adm.%20Perusahaan\CV.%20Darmawan\Asumsi%20Analis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CONTO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ATA%20PROYEK\PENAWARAN%20KONTRAKTOR%20KAB.%20TOJO%20UNA%20UNA\PENAWARAN%202011\NAKERTRANS%20TOUNA\EE%20RSU%20MOROWAL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My%20Paper\CV.%20Yusril%20Jln%20Desa%20Wombo\RAB%20Womb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S.%20PESIK-SOJOL\X-BUMIREJ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PROYEK\Documents\RHR\DATA%20PERENCANAAN\DOKUMEN%20PENAWARAN%20JBM\HPS%20RSUD%20AMPANA.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BQ-RSUD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y%20Oeink\Kiec\PENAWARAN\My%20Documents\irwan\PUPUK%20KUJANG\MECHANICAL%20ERECTION-8908\WINDOWS\TEMP\yoen\biaya%20opr\OP%20CM%202.12%20Summ%20Jkt%20CM-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DATASID\1997\EXCEL\KHUSNUL\MBANK.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y%20Oeink\Kiec\PENAWARAN\WINDOWS\TEMP\yoen\biaya%20opr\OP%20CM%202.12%20Dist%20Jkt%20CM-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My%20Oeink\Kiec\PENAWARAN\My%20Documents\irwan\REHABILITATION%20&amp;%20FLEXIBLE%20-GRESIK\Rev1\WINDOWS\TEMP\yoen\biaya%20opr\OP%20CM%202.12%20Dist%20Jkt%20CM-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tlwwmain\dataall%202001\DataSSE2004\Excel2004\CONTOH.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tlwwmain\DataAll%202001\DataSSE2004\Excel2004\Contoh%20Jun1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Ntlwwmain\DataAll%202001\DataSSE2003\Excel2003\Suharto2003\Pertamina%20Dumai\breakdown15Au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KNGSTON\SABO%20AIR%20BERISH\Data\Kontraktor\PBB\Penawaran\Anugrah\Kantor-Reha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DATA%20TENDER\WADUK\Pelaparado\DATA%20TENDER\J-Tukad%20Bangkung\Analisa-ubp.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DATA%20TENDER\J-Tukad%20Bangkung\BQPAKET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Istaka\pltmg\bq_buil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EE%20%208%20RKB%20STM%20PALU.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HHS\Proposal\Non%20Ks\pertamina\ANNA\lind\Non%20KS\statomer\Foundation%20DA%207%20charging%20system%20statome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TABEL%20SURVEY%20DAN%20VERIFIKASI%2022%208%202019\FORM%20RAPAT%2022%208%202019\YMPI-II-J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TABEL%20SURVEY%20DAN%20VERIFIKASI%2022%208%202019\FORM%20RAPAT%2022%208%202019\AFORM-BQ.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KNGSTON\SABO%20AIR%20BERISH\Data\Kontraktor\Penawara\Kesehatan\AU\Ampana\analisa%20poli-AU.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ATA%20AFRI\Data%20PU\2013\Data%20PU\Hasil%20Cek%20List\JLN.%20DESA%20KAPIROE\16.%20HPS%20JEMB.%20RAKUT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Data\Konsultan\Profil%20Teknik\Penawaran\PBB\Kantor-Rehab.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2007\Urusan%20Kantor\PAJAK\2007\PPh\pph%20konsumsi%20ang.V.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ADENDUM%20Dokumen%20Pengadaan\untung\AK-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PAKET%20LPSE%20SIGI\PASAR%20MAKMUR\EE%20%208%20RKB%20STM%20PALU.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ADENDUM%20Dokumen%20Pengadaan\TS\MYC-04\PALU\MAROS-PANGKEP\penaqwaran%20jalan%20raya%20maros%20-%20pangkajene%20k.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AFANDY\AMPANA\CV.%20KOTARAYA\Data%20One\data%20xls\TWR_spjsb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TENDER2\TENDER\Jalan\coba-bal-se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ADENDUM%20Dokumen%20Pengadaan\Pnw%20Dinas\Dwi%20Putra%20Perkasa\1%20P&amp;P.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esrv\ME%20Database\A%20Project\VARIOUS-FILE\FORMAT_BQ\AFORM-BQ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PAKET%20LPSE%20SIGI\PASAR%20MAKMUR\BPKP%205%20Mey\proyek%202006\Depag\RAB\RAB%20GEDUNG%20EKS%20MTQ.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K:\Tender%202005\APBD\Suramadu-Sisi%20Madura\Teknis\BQ%20Madura%2050%2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KEGIATAN\DIKJAR\SIGI\DAK%202010\PERPUSTAKAAN\p2009\bapeda\LAP.PROYEK%202006\BIOLOGI%20(MIPA)\Laporan%20Nasbasa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514A4130\TAHAP%20I%20Yang%20Dipake%20WBP.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KARYA%20SAMA\TAWAR%20IMIGRASI%20kartini\EE%20RSU%20MOROWALI.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AFANDY\AMPANA\CV.%20KOTARAYA\PENAWARAN%20''%20PENINGKATAN%20JALAN%20RANTAU%20PULUNG%20-%20MA.%20BENGKAL%20''\TABANG-KELEKAT\OE-TABANG\PNK%20JALN%20FLORES%20-%20BTG%20LESTARI%20B\1-BOQ.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PROJECT\2010\JEMBATAN%20TIMBANG%20MOUTONG\JPG%20JEMBATAN%20TIMBANG\EE%20-%20PENGASPALAN%20JT%20-%20MOUTONG.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F:\Irigasi\Cek%20Dam%20S.Nganganto%20(Asli).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omputer9\D\DWI%20R\PEMBAHASAN%20PROYEK\PONCOL\RAP%20PONCOL%2014%2003%2007%20%20(1051%20M)\RAB%20%20BLOK%20~%20B_PRASARANA_PU_PAS_Harsat_SK.MEI%2022-05-06_Baru_44000_28-02-2007"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2013\DIDI%20~%20LEA\DIDI%20~%20LEAA\ASRAMA%20PALU\DOKUMEN%20UNTAD%202009\0E,Prencanna,%202009\Rab.%20Pipa%20CV.%20Yudha%20Tornado.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AFANDY\AMPANA\CV.%20KOTARAYA\PENAWARAN%20''%20PENINGKATAN%20JALAN%20RANTAU%20PULUNG%20-%20MA.%20BENGKAL%20''\TABANG-KELEKAT\OE-TABANG\PON-XVII-2008\RAB-PON%20SCHEDULL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ARJAN%202011\arjann%202011\Data\Kontraktor\Penawara\Kesehatan\AU\Ampana\analisa%20poli-AU.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AFANDY\AMPANA\CV.%20KOTARAYA\Documents%20and%20Settings\ADMINISTRATION\Local%20Settings\Temp\14%20Analisa%20Harga%20Satua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RAB%20DPR%20KESELURUHAN%20Baru%20%20xl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2589EB4\RAB%20JALAN%20WONGGAHU.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F8FAAA39\RAB%20DIKJAR%202007.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PAKET%20LPSE%20SIGI\PASAR%20MAKMUR\RAB%20PASAR%20MAKMU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Adhi%20Punya\DATA%20PENAWARAN%20KONTRAKTOR\PENAWARAN%20DEPAG%202008\RAB%20Penawaran.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E:\ADENDUM%20Dokumen%20Pengadaan\1.FILE%20PROYEK\Monitoring%20Project\Akan%20Mulai\Sei%20Kupang-Manggalau\untung\AK-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KARYA%20SAMA\TAWAR%20IMIGRASI%20kartini\RAB%20RENOVASI%20PENGADILAN%20TINGGI.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G:\rehab%20jln%20bm%202014\HPS%20PERUBAHAN%20KE-2\UNTUK%20PPTK%20REHAB%20JALAN%20DAN%20JEMBATAN%202014\PERUBAHAN%20KE-2\REHAB%20JALAN\19.%20Peningkatan%20Jalan%20Desa%20Rarampadende%20Kec.%20Dolo%20Barat.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I:\PROG_RAB_JEMBATAN\PROG%20RAB%20JEMBATAN.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APBD%202009\Justifikasi\Justek%20Tentena\Lap.Ringkas\Mutual%20Chek\MC%200%20T-T%20(2.6.2)%202.6%20Km%20Balance.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Analisa%20BOW\Analisa%20(SNI%202002)\12.%20Gabungan.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ARJAN%202011\arjann%202011\Data%20Notebook\My%20Documents\BPKP\Watusampu\Lampa\P.AML-10-06-LAMPA%20(AU).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DATA%20TENDER\J-Tukad%20Bangkung\RAP-PKT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My%20Oeink\Kiec\PENAWARAN\WINDOWS\TEMP\yoen\biaya%20opr\OP%20CM%202.12%20Summ%20Jkt%20CM-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E:\KNGSTON\SABO%20AIR%20BERISH\Data%20Notebook\My%20Documents\BPKP\Watusampu\Lampa\P.AML-10-06-LAMPA%20(AU).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DATA%20TENDER\WADUK\Pelaparado\DATA%20TENDER\J-Tukad%20Bangkung\BQPAKET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BENCANA%20ALAM.XLS" TargetMode="External"/></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E20-02Guest%20House.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E:\Data%202012\RS.%20Ampana%202012\Pembangunan%20RSUD%20Ampana\Ruang%20Maternal\EE%20Pembangunan%20Ruang%20maternal.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STATION43\C\1_Tosan\GEDUNG\2Tangerang\JKMP\Jim%20Candra\Jim%20House%20ref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cdoc\kaltim\My_RAB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E:\2013\DIDI%20~%20LEA\JBT%20MANGROVE\LIBRA\LIBR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ADENDUM%20Dokumen%20Pengadaan\TS\MYC-04\Documents%20and%20Settings\OWNER\My%20Documents\PARE2-BTS%20SULBAR\MAROS-PANGKEP\Copy%20of%20penaqwaran%20jalan%20raya%20maros%20-%20pangkajene%20k.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E:\2014\AMPANA\SMA%201\PNW\1.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347F7722\RAB%20PEMENANG%20I.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My%20Documents\Proyek%202008\DINAS%20KESEHATAN%20KOTA\RAB%20KAYU%20MALUE~RF25a8ee.TMP"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APBD%202009\Justifikasi\Justek%20Tentena%201\MC%200%20TTN-TSU%20%205%20m%20(2,7)%20Addemdum.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AFANDY\AMPANA\CV.%20KOTARAYA\Documentasi%20Peristiwa\Rangkuman%20penwr%20Analisa%20N\rangkuman.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DATA%20TENDER\J-Tukad%20Bangkung\PAKET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E:\AFANDY\AMPANA\CV.%20KOTARAYA\PENAWARAN%20''%20PENINGKATAN%20JALAN%20RANTAU%20PULUNG%20-%20MA.%20BENGKAL%20''\TABANG-KELEKAT\OE-TABANG\TENDER%20BONTANG\PNK%20JALN%20FLORES%20-%20BTG%20LESTARI%20B\d.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AFANDY\AMPANA\CV.%20KOTARAYA\PILE%20P%20E%20N%20A%20W%20A%20R\Batu%20Sopang%20-%20KIDECO\Penawaran%20KIDEKO.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DATA%20TENDER\WADUK\Pelaparado\DATA%20TENDER\J-Tukad%20Bangkung\BQPAKET5.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Data\Gue\PENGAWASAN\KUMPERINDAG\Rumah%20Kemasan%202016\RAB%20FISIK.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E:\Jalan%20Perkebunan\marowo_Puntufu%20(Harga_Beli_Alat).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E:\bowo\2008\LOAN\WEST%20KALIMANTAN\OE-EE_KALBAR(skwg-tebas)\3-DIV1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DATA%20TENDER\WADUK\Pelaparado\DATA%20TENDER\J-Tukad%20Bangkung\PAKET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ADENDUM%20Dokumen%20Pengadaan\Tahun%20Anggaran\2009\Kontrak%202009\Kontrak%20%20MYC\Kontrak%20Anak%20MYC%2001%202009\UNTUNG\01\INVESTASI%20COST%20PAMEKASAN.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ocuments%20and%20Settings\Civil\My%20Documents\ika\Aceh\Aceh\HHS\Proposal\Non%20Ks\pertamina\ANNA\lind\Non%20KS\statomer\Foundation%20DA%207%20charging%20system%20statomer.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rthur\REPORT\korwil%20I%20Sumatra\Family\Ayah\Proyek\Ex.TP\Progress\format%20RAB%20Marunda\DF%2039%20New4\Rusunawa%20UNJA%20JAMBI%20Sumatera.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E:\APBD%202009\Justifikasi\Justek%20Tentena\Lap.Ringkas\Mutual%20Chek\MC%200%20TTN-TSU%20L%20=%206%20m%20(3%20Km).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DATA%20TENDER\J-Tukad%20Bangkung\T-Sanur.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DATA%20TENDER\J-Tukad%20Bangkung\BQPAKET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NTLWWMAIN\DATAALL%202001\DataSSE2003\Excel2003\Rochmad2003\Bpk\bq%20lan%20tender.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BITA_NT1\BQ\BQ\00-0001\AHS-AR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H:\RAB%20BOLANO%20LAMBUNU%202009\RAB%20BOLANO%20LAMBUNU%20TA%202009\rab%20dolo%20selatan%202010\rab%20jembatan%20jONO.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MASTAM%20PUNYA%20FILE\DATA%201\RENCANA%20ANGGARAN%20BIAYA%20(RAB)\PENGHITUNGAN%20RAB\genset%20dan%20pabrik%20es\BQ%20Pagar%20dan%20Drainase_2.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E:\2014\AMPANA\PASAR\PASAR%20TOJO\A.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RAB%20Lero%20INSA%20Baik.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KEGIATAN\DIKJAR\SIGI\DAK%202010\PERPUSTAKAAN\p2009\bapeda\Analisa%20SNI%20DAn%20Upah%20Oke.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DATA%20TENDER\J-Tukad%20Bangkung\ANALISA-UBA.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E:\Bhakti%20Baru\R-GP.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Data%20Perusahaan\CV.%20HABTAN%20MANDIRI\PTA\bobot%20pa%20revisi.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E:\My%20Documents\Proyek%202008\Perindagkop%20dgl\RAB%20KAM.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My%20Documents\proyek%202002\adm%20proyek\RAB%20Rumah%20WAlikota%20%20ADI%20PERKASA.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N:\oik\RAB%20SDN%2012%20(Ijal).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E:\Jalan%20Perkebunan\RAB,%20JADWAL%20JALAN%20PERKEBUNAN.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Paruja_putih\data%20(d)\2006\PENDIDIKAN%202006\SMPN%201%20PALU\SUPERVISI%20SMP%201\LAPORAN%20SUPERVISI\RAB%20NEGO%20SMP%201%20OK%20PUnya%20.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E:\PAKET%20LPSE%20SIGI\PASAR%20MAKMUR\FIRMAN\EMBUNG%20NGIA\MC%20100\PENAWARAN%20EMBUNG%20NGIA%20edit.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N:\oik\EXCEL\SMP%201.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K:\UNTUNG\RUN%20PROYEK%202003\PROYEK%20JOMBANG-GEMEKAN\BIAYA%20LANGSUNG%20BP04.2-0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E:\DATA%20PROYEK\PENAWARAN%20KONTRAKTOR%20KAB.%20TOJO%20UNA%20UNA\PENAWARAN%202011\NAKERTRANS%20TOUNA\CV.%20SANNANG%20KONSTRUKSI\Rab%20CV.SUCITRA.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My%20Documents\proyek%202002\adm%20proyek\Rab-OE%20pagar%20ktr%20wk.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My%20Documents\proyek%202002\adm%20proyek\Rab-OE%20pagar%20ktr%20wk.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E:\APBD%202009\Justifikasi\Justek%20Tentena\Lap.Ringkas\Mutual%20Chek\Lap.Ringkas\Mutual%20Chek\MC%200%20T-T%20(2.6.2)%202.6%20Km%20Balance.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125.xml.rels><?xml version="1.0" encoding="UTF-8" standalone="yes"?>
<Relationships xmlns="http://schemas.openxmlformats.org/package/2006/relationships"><Relationship Id="rId1" Type="http://schemas.microsoft.com/office/2006/relationships/xlExternalLinkPath/xlPathMissing" Target="Analisa%20Bupati.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SIDLIMA\HOME\DATASID\1998\EXCEL\C-RUNTU\kpmg%20four%20floors98.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PROVINSI%20SULAWESI%20TENGAH\BIDANG%20SUMBER%20DAYA%20AIR%20SULAWESI%20TENGAH\Gedung%20Biru%202010\Normalisasi%20&amp;%20Perkuatan%20Tebing%20S.%20Bosangon%20Ongka%20Malino\CV.%20RIFAT%20TRI%20MEMBANGUN\RAB%20Ongka%20Malino.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KOTA%20PALU\DEPAG%20KOTA%20PALU\CV.%20GHINA\RAB%20GHIN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E:\bowo\2007\APBN\KTBRS%202002\Laporan\Laporan%20Mingguan%2020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E:\KTBRS%202002\Laporan\Laporan%20Mingguan%202002.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E:\Documents%20and%20Settings\Civil\My%20Documents\ika\Aceh\My%20Documents\irwan\NON%20KS\BOILER%20PT.ARBE\WINDOWS\TEMP\yoen\biaya%20opr\OP%20CM%202.12%20Dist%20Jkt%20CM-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Paruja_putih\data%20(d)\2006\PENDIDIKAN%202006\SMPN%201%20PALU\SUPERVISI%20SMP%201\LAPORAN%20SUPERVISI\FORMAT%20LAP%20SMP%201%20MG%201.xlw"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ADENDUM%20Dokumen%20Pengadaan\Tehnik\Paket\EIRTP\Inalatan%201.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E:\KNGSTON\SABO%20AIR%20BERISH\BAP%20PANITIA\BIANGKA%20RAYA\NEGO.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idlima\home\1996\EXCEL\DJOKO-Y\ASUR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E:\PAHS2006\Copy%20of%20PAHS2006%20R2%20draft(MIS)new.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E:\AFANDY\AMPANA\CV.%20KOTARAYA\PENAWARAN%20''%20PENINGKATAN%20JALAN%20RANTAU%20PULUNG%20-%20MA.%20BENGKAL%20''\TABANG-KELEKAT\OE-TABANG\PAKET%20JALAN\PNK%20JALN%20FLORES%20-%20BTG%20LESTARI%20B\3-DIV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FEC09098\ESTIMASI%20RAB%20TAHAP%20II%201%20Juni%20Revisi%202%202006.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E:\ADENDUM%20Dokumen%20Pengadaan\1.FILE%20PROYEK\Monitoring%20Project\Akan%20Mulai\Sei%20Kupang-Manggalau\Wiwied\Milir%20-%20Wates\seturan\pembangunan200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K:\Tender%202005\APBD\Suramadu-Sisi%20Surabaya\Teknis\BQ%20sisi%20Surabaya.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E:\PAKET%20LPSE%20SIGI\PASAR%20MAKMUR\BPKP%205%20Mey\EE%20RS%20anutapura%20BEDAH%20SENTRAL%20(INDY%20GITA).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Ntlwwmain\DataAll%202001\DataSSE2003\Excel2003\Wawan2003\BC\BC%20rencana%20cabling-270503.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K:\MAS%20GALUH\PROPOSAL%20TEKNIK\TENDER%20FORM4%20ANYAR.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AFANDY\AMPANA\CV.%20KOTARAYA\Penawaran_Polewali___Tabone_indonesia(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E:\ALI%202007\RAB%20TENDER%202007\JALAN%20JEMBATAN\RAB%20APBD%2007\Pa%20Aris\My%20Documents\Aris\Anal-0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G:\Back%20Up%20Data%202013\Perencanaan%20dan%20pengawasan%202013\PERENCANAAN\Mira%20data\PERENCANAAN\RUANG%20PERTEMUAN\RAB\RAB%20PERT%20analisa%20baru.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Data\Heverson\Analisa\Analisa.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E:\KEGIATAN\DIKJAR\SIGI\DAK%202010\PERPUSTAKAAN\p2009\bapeda\2005\UNTADtpsdp2005\penawaran%20Biologi\tpdp-biologi.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d_sc_5\hdd-c\schedule-ugm\Schedule\Master%20Sch%201.0-sro2.Adari%20disket.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E:\DOKUMEN%20ADMINISTRASI\DATA%20BELAJAR\analisa%20berat%20besi.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RAB%20SUNGAI%20RARONO%20YUSRIL%20FIKS.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E:\PAKET%20LPSE%20SIGI\PASAR%20MAKMUR\T%20H%20E%20%20%20W%20O%20R%20K\PROYEK%20KONSULTAN%202007\BPKP%20SULTENG\RAB%20PENGAJUAN%20AWAL\RAB%20PENGAJUAN%20THP-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E:\PERENCANAAN%20KELURAHAN%20UENTANAGA%20B\REVISI%202\2.%20Jalan%20Beton%2062%20m.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Paruja_putih\data%20(d)\2005\PENDIDIKAN%202005\Laporan%20DAK%20SD%202005\Lap%20SD%20Inp%20Petobo.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Data%20Perusahaan\CV.%20HABTAN%20MANDIRI\Copy%20of%20SD%20POBOYA%20REHAB%20PAKAI.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PAKET%20LPSE%20SIGI\PASAR%20MAKMUR\FIRMAN\EMBUNG%20NGIA\MC%20100\PQ.%20PT.%20Cempaka%20Nusantara.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E:\Users\ACER\Downloads\Excelku.com%20-%20Rumus%20Terbilang%20Tanpa%20Macro.xlsx"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Pentium4b\DATA_KCP1\Proyek%202005\PARIGIMOUTONG\KIMPRASWIL\MASULU\Pnw%20Kimpraswil_Parigi%20Masulu.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E:\ADENDUM%20Dokumen%20Pengadaan\BK_RKAKL_2009_01\Usulan_Jbt_2009.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E:\ARJAN%202011\arjann%202011\BAP%20PANITIA\BIANGKA%20RAYA\NEGO.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E:\2013\OM%20EPPY\CV.%20RAPAMBAI\My%20Documents\JAMHUR\Pro.%20Terminal%20Wani\lap-mingguan%20terminal%20wani.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E:\PAKET%20LPSE%20SIGI\PASAR%20MAKMUR\BPKP%205%20Mey\EE%20RSU%20MOROWALI.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N:\oik\EXCEL\SD%2012%20SNI.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BUKAN%20DATA\Dokumen\LURAH%20SIRANINDI\RAB%20siranindi%20-%2002.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My%20Documents\proyek%202002\adm%20proyek\RAB%20Rumah%20Jabatan%20WAlikota.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E:\Data%202012\RS.%20Ampana%202012\Pembangunan%20RSUD%20Ampana\Ruang%20UTDRS\EE%20Pembangunan%20Ruang%20UTDRS.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E:\Konsultan\Profil%20Teknik\Perencanaan\Analisa-sal.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F:\RAB%20Jembatan%20Sungai%20Mamu%20Palemboyan.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A:\DATA%20TENDER\WADUK\Pelaparado\DATA%20TENDER\J-Tukad%20Bangkung\RAP-PKT1.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Konsultan\Profil%20Teknik\Perencanaan\Analisa.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E:\PENAWARAN\KONTRAKTOR\DIKJAR%20DONGGALA\PERPUSTAKAAN\DIA.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E:\DIA.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Comp1\comp%201\My%20Documents\Suryanata\MC%2001%20A.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E:\2012\PERENCANAAN%202012\Mahakarya\CV.%20SUMBER%20CIPTA%20LPJK%20Baru%202004\SERTIFIKASI%20BPC%202004-2005.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E:\Dataexel\Sertifikasi-2004\SERTIFIKASI%20MKU%202004-2005%20GANTI%20Barupake.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E:\2014\1.%20AMPANA\PUSKESMAS%20&amp;%20jbt\PUSKESMAS%20UJUNG%20TIBU\1.%20CV.%20BERLIANI%20GROUP.xlsx"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E:\BKSDA%202019\RAB%20KANTOR%20BKSDA%20..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E:\DATA%20AAN\RAB\01.%20DOKUMEN\File%20Proyek%202005\02.%20Februari\OE%20%20(%20Adm,%20Polik%20&amp;%20Akreditasi)%20II.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Ntlwwmain\DataAll%202001\DataSSE2004\Excel2004\EkoW2004\RS%20MEILIA%20PPETIR.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E:\APBD%202009\Justifikasi\Justek%20Tentena\MC%200%20TTN-TSU%20L%20=%206%20m%20(2,6).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A:\Pemb.%20Jemb%20Busung(TJS).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E:\AUTO%20cad\PAKET%202014\PETERNKAN%20PROV\Dokumen%20Pembangunan%20Klinik%20UPT%20Veteriner\RAB%20Bangunan%20Klinik%20UPT%20Veteriner.xlsx"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E:\ADENDUM%20Dokumen%20Pengadaan\1.FILE%20PROYEK\Monitoring%20Project\Akan%20Mulai\Sei%20Kupang-Manggalau\Wiwied\Milir%20-%20Wates\sedayu.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User_1\d\Kantor\Proyek%202003\SLTP%204%20Paleleh\Analisa%20Harga.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E:\PU%202012\Mrw\Uekuli-Marowo.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E:\FILE.MC.MINGG,BULANAN,08,09,10.NET.%20DIPAKAI\Mnarowo-Ampana.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N:\oik\Local%20Disk(A)\RAB\rabrsu"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E:\ADENDUM%20Dokumen%20Pengadaan\Documents%20and%20Settings\BINA%20MARGA\My%20Documents\Tahun%20Anggaran\2009\SCM%202009\SCM%20MYC-01\Tahun%20Anggaran\2008\OE%202008\MYC%20Final\OE%2001%20Surumana-Donggala-Kota%20Palu%20R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E:\My%20Oeink\Kiec\PENAWARAN\WINDOWS\TEMP\LPG%20REV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E:\ALI%202007\RAB%20TENDER%202007\JALAN%20JEMBATAN\RAB%20APBD%2007\WONOGIRI%20BITING.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E:\ALI%202007\RAB%20TENDER%202007\JALAN%20JEMBATAN\RAB%20APBD%2007\PENAWARAN\TAHUN%202005\ABGN-JATENG\ADB-YOGYAKARTA\YOGYAKARTA.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A:\Data\Balongan-1\CF-Balongan-1.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Pentium4b\DATA_KCP1\Proyek%202005\PU%20Kota%20Palu\sumbercipta\Penw%20Data%20Base%20SC.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Data%20Perusahaan\CV.%20HABTAN%20MANDIRI\DIA.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A:\DATA%20TENDER\WADUK\Pelaparado\DATA%20TENDER\J-Tukad%20Bangkung\ANALISA-UBA.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E:\APBD%202009\Justifikasi\Justek%20Tentena\MC%200%20T-T%20(2.6.2)%202.6%20Km%20Balance.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E:\2014\USUL%202014\GEDUNG%20AGRO%20INDUSTRI\PQ%20KONTRAKTOR.xlsx"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E:\firman\Contoh\PENAWARAN%20EMBUNG%20NGIA%20edit.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E:\DATA%20KANTOR%20E\AFANDY\TERMINAL\PENAWARAN\TWR-TERMINAL%20MAMBORO\PT.%20MSAJ-MAMBORO.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E:\DATA%20KERJA%202011\KERJA%20RAB\RAB%20Bangunan.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E:\Documents%20and%20Settings\user\My%20Documents\LAP%20HARGA%20SAT\ANL%20HARGA%20SATUAN\EXCEL-PAHS\PANDUAN%20BQ\EE%20FO%20Pamanukan\3-DIV3.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A:\DATA%20TENDER\WADUK\Pelaparado\DATA%20TENDER\J-Tukad%20Bangkung\T-Sanur.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E:\APBD%202009\Justifikasi\Justek%20Tentena\Lap.Ringkas\Mutual%20Chek\BACK%20UP%20TENTENA-TONUSU%20(2.6.2).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FILE%20RONY\BIGA\ONGO\RAB%20BIGA%20ONGO.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E:\Data%202013\Rumah%20Sakit%202013\RSUD%202013\Perubahan%20R.%20Prwtn%20Kls%20III\VOL.%20R.%20Perawatan%20Kelas%20III%20Baru.xlsx"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E:\KNGSTON\SABO%20AIR%20BERISH\AIR%20BERSIH%20LALUNDU\EE%20LALUNDU%20&amp;%20DOK\EE%20LALUNDU%202.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E:\Data%202012\Dikpora%202012\Perencanaan%20Dikpora\EE%20DIKPORA\BB.%20Perpustakaan\SDN%2021%20Ampana%20Kota\SDN%2021.xlsx" TargetMode="External"/></Relationships>
</file>

<file path=xl/externalLinks/_rels/externalLink209.xml.rels><?xml version="1.0" encoding="UTF-8" standalone="yes"?>
<Relationships xmlns="http://schemas.openxmlformats.org/package/2006/relationships"><Relationship Id="rId2" Type="http://schemas.openxmlformats.org/officeDocument/2006/relationships/externalLinkPath" Target="../Form_Rapermen_Pemdes_141007/Form_Rapermen_PPD_Perancanaan_141007/FORM%20PELAKSANAAN%20PEMBANGUNAN%20DESA/Form.25.b.%20Lembar%20Catatan%20Pemeriksaan%20Desain.xlsx" TargetMode="External"/><Relationship Id="rId1" Type="http://schemas.openxmlformats.org/officeDocument/2006/relationships/externalLinkPath" Target="/Form_Rapermen_Pemdes_141007/Form_Rapermen_PPD_Perancanaan_141007/FORM%20PELAKSANAAN%20PEMBANGUNAN%20DESA/Form.25.b.%20Lembar%20Catatan%20Pemeriksaan%20Desain.xlsx"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E:\AFANDY\AMPANA\CV.%20KOTARAYA\CV.%20KOTARAYA.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E:\My%20Oeink\Kiec\PENAWARAN\My%20Documents\irwan\REHABILITATION%20&amp;%20FLEXIBLE%20-GRESIK\Rev1\WINDOWS\TEMP\yoen\biaya%20opr\OP%20CM%202.12%20Summ%20Jkt%20CM-1.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E:\Users\ihwal\AppData\Roaming\Microsoft\Excel\penawaran\Filenya%20Iwan\Pengawasan\Pengawasan%202006\CV.%20Anugerah%20Abadi\Bobot%20Mingguan\Bobot%20Perubahan\Bobot%20Minggu%209%20(Prubahan).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E:\KNGSTON\SABO%20AIR%20BERISH\Data\Kontraktor\PBB\Penawaran\Anugrah\Biaya2.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E:\Documents%20and%20Settings\Civil\My%20Documents\ika\Aceh\My%20Documents\irwan\NON%20KS\BOILER%20PT.ARBE\WINDOWS\TEMP\yoen\biaya%20opr\OP%20CM%202.12%20Summ%20Jkt%20CM-1.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E:\ARJAN%202011\arjann%202011\Data\Kontraktor\PBB\Penawaran\Anugrah\Biaya2.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E:\P%20R%20O%20P%20O%20S%20A%20L\ON%20PROGRESS\GRAND%20KARAWANG\Documents%20and%20Settings\dpeuser\Desktop\USER\SPS\98138SCL\qty.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H:\TIRTORINI\EE%20Paket%20Perlum%20Thp%202%20(DARI%20MR.%20BAGEL)\RAB.%20DAT%20BULAN\AN.SNI.BANGUNAN.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E:\PAKET%20LPSE%20SIGI\PASAR%20MAKMUR\Fiesta%20Document\Haris\RAB%20AND%20BQ%20TERMINAL%20TIPO\TERMINAL%20TIPO%20%20OE.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KABUPATEN%20SIGI\DINKES%20SIGI\CV.%20DARMAWAN\PUSKESMAS%20KINOVARO\Data%20Perusahaan\CV.%20HABTAN%20MANDIRI\air%20bersih%203\RAB%20air%20Lembo.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E:\BPKP%205%20Mey\proyek%202006\Depag\RAB\RAB%20GEDUNG%20EKS%20MTQ.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E:\My%20Documents\kegiatan%202006\Kolam%20Renang\Data\Konsultan\Profil%20Teknik\Penawaran\PBB\Kantor-Rehab.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E:\ADENDUM%20Dokumen%20Pengadaan\CNR\biid\APBD1-04\brdtk-apbd1\Bumiayu-Salem_BQ.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E:\Konsultan\Profil%20Teknik\Perencanaan\Analisa.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Pentium4b\D\PROJECT%202006\Kab%20Parigimoutong\Kesos\KCP%20kesos\Pnw%20Jasos%20KCP.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Amd64x\H\Proyek%202005\Asrama%20Naker\RAB%20NAKERTRANS.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E:\KABUPATEN%20SIGI\DINAS%20PU%20SIGI\NORMALISASI%20SUNGAI%20RARONO\CV.%20YUSRIL%20JILAN%20LESTARI\BENCANA%20ALAM.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E:\moedy\excell%20mix\PENAWARAN%20P&amp;P%20PAKET%2002.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E:\ADENDUM%20Dokumen%20Pengadaan\1.FILE%20PROYEK\Monitoring%20Project\Akan%20Mulai\Sei%20Kupang-Manggalau\RAP%20madura%20baru%20Rev.%2001.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E:\KUALIFIKASI%20LELANG\KUALIFIKASI%20PT.%20M.S.A\2012\PEMBANGUNAN%20IGD%20RSU%20ANUNTALOKO%20PARIGI\REWARD\BLK%20POSO\2006\PENDIDIKAN%202006\DAK%202006\LAP.%20DAK%202006\1%20%20SD%20ALHAERAT%20PUSAT%20%203%20RKB%20LAP.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E:\My%20Oeink\Kiec\PENAWARAN\My%20Documents\irwan\PUPUK%20KUJANG\MECHANICAL%20ERECTION-8908\WINDOWS\TEMP\yoen\biaya%20opr\OP%20CM%202.12%20Dist%20Jkt%20CM-1.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E:\Documents%20and%20Settings\Civil\My%20Documents\ika\Aceh\My%20Documents\irwan\PUPUK%20KUJANG\MECHANICAL%20ERECTION-8908\WINDOWS\TEMP\yoen\biaya%20opr\OP%20CM%202.12%20Dist%20Jkt%20CM-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E:\NEW%20RAB%20RSU%20GAMBIRAN\00.%20ANALISA%20SNI%20VER.%20PU%20KDR.%20AGT2008%20(PJ).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E:\28.Stadion%20Gajah%20Mada\RAP%20STADION%20GAJAH%20MADA%20MOJOKERTO%20BESTAT.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E:\Project\SURABAYA\Surabaya%20Sport%20Center%20Surabaya%20Barat\Paling%20Baru\SSC%20FIX%20FINAL%20221008\RAP%20SSC%20FINAL%20221008-rev.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Nita\C\F_TEJA%20ROBERT\AGUS%20WIJAYA\DWI%20R%202%20JUNI%202006%20FILE%20FIX\TMNL%20TLOGAWARU%2029%20JAN%20'07\BUKU%204\TRMNL%20TLOGOWARU%2029%20JAN%20'07%20(%20ANYAR%20).xls" TargetMode="External"/></Relationships>
</file>

<file path=xl/externalLinks/_rels/externalLink236.xml.rels><?xml version="1.0" encoding="UTF-8" standalone="yes"?>
<Relationships xmlns="http://schemas.openxmlformats.org/package/2006/relationships"><Relationship Id="rId2" Type="http://schemas.openxmlformats.org/officeDocument/2006/relationships/externalLinkPath" Target="file:///D:\DATA%202026\RKPDes%20TA%202026.xlsx" TargetMode="External"/><Relationship Id="rId1" Type="http://schemas.openxmlformats.org/officeDocument/2006/relationships/externalLinkPath" Target="RKPDes%20TA%202026.xlsx" TargetMode="External"/></Relationships>
</file>

<file path=xl/externalLinks/_rels/externalLink237.xml.rels><?xml version="1.0" encoding="UTF-8" standalone="yes"?>
<Relationships xmlns="http://schemas.openxmlformats.org/package/2006/relationships"><Relationship Id="rId2" Type="http://schemas.openxmlformats.org/officeDocument/2006/relationships/externalLinkPath" Target="file:///D:\DATA%202026\4.%20Perkades%20Penjabaran%20APBDes%202026\2.%20RAB%202026.xlsx" TargetMode="External"/><Relationship Id="rId1" Type="http://schemas.openxmlformats.org/officeDocument/2006/relationships/externalLinkPath" Target="4.%20Perkades%20Penjabaran%20APBDes%202026/2.%20RAB%202026.xlsx" TargetMode="External"/></Relationships>
</file>

<file path=xl/externalLinks/_rels/externalLink238.xml.rels><?xml version="1.0" encoding="UTF-8" standalone="yes"?>
<Relationships xmlns="http://schemas.openxmlformats.org/package/2006/relationships"><Relationship Id="rId2" Type="http://schemas.openxmlformats.org/officeDocument/2006/relationships/externalLinkPath" Target="file:///D:\DATA%202026\3.%20Perdes%20APBDes%202026\1.%20Perdes%20APBDes%20Usulan%202026.xlsx" TargetMode="External"/><Relationship Id="rId1" Type="http://schemas.openxmlformats.org/officeDocument/2006/relationships/externalLinkPath" Target="3.%20Perdes%20APBDes%202026/1.%20Perdes%20APBDes%20Usulan%202026.xlsx" TargetMode="External"/></Relationships>
</file>

<file path=xl/externalLinks/_rels/externalLink239.xml.rels><?xml version="1.0" encoding="UTF-8" standalone="yes"?>
<Relationships xmlns="http://schemas.openxmlformats.org/package/2006/relationships"><Relationship Id="rId2" Type="http://schemas.openxmlformats.org/officeDocument/2006/relationships/externalLinkPath" Target="../2007/Urusan%20Kantor/PAJAK/2007/PPh/pph%20konsumsi%20ang.V.xls" TargetMode="External"/><Relationship Id="rId1" Type="http://schemas.openxmlformats.org/officeDocument/2006/relationships/externalLinkPath" Target="/2007/Urusan%20Kantor/PAJAK/2007/PPh/pph%20konsumsi%20ang.V.xls" TargetMode="External"/></Relationships>
</file>

<file path=xl/externalLinks/_rels/externalLink240.xml.rels><?xml version="1.0" encoding="UTF-8" standalone="yes"?>
<Relationships xmlns="http://schemas.openxmlformats.org/package/2006/relationships"><Relationship Id="rId2" Type="http://schemas.openxmlformats.org/officeDocument/2006/relationships/externalLinkPath" Target="file:///D:\DATA%202026\Perkades%202026\Perkades%20Penj.APBDes%202026.xlsx" TargetMode="External"/><Relationship Id="rId1" Type="http://schemas.openxmlformats.org/officeDocument/2006/relationships/externalLinkPath" Target="Perkades%202026/Perkades%20Penj.APBDes%202026.xlsx" TargetMode="External"/></Relationships>
</file>

<file path=xl/externalLinks/_rels/externalLink241.xml.rels><?xml version="1.0" encoding="UTF-8" standalone="yes"?>
<Relationships xmlns="http://schemas.openxmlformats.org/package/2006/relationships"><Relationship Id="rId2" Type="http://schemas.openxmlformats.org/officeDocument/2006/relationships/externalLinkPath" Target="file:///D:\DATA%202026\Perkades%202026\RAB%202026.xlsx" TargetMode="External"/><Relationship Id="rId1" Type="http://schemas.openxmlformats.org/officeDocument/2006/relationships/externalLinkPath" Target="Perkades%202026/RAB%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101"/>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R-ANLIS"/>
      <sheetName val="MHR_ANLIS"/>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
      <sheetName val="Rab"/>
      <sheetName val="Hrgdsr"/>
      <sheetName val="Qry"/>
      <sheetName val="AnAlt"/>
      <sheetName val="AnAlt (2)"/>
      <sheetName val="AnAlt (3)"/>
      <sheetName val="Mob"/>
      <sheetName val="Gln"/>
      <sheetName val="Urg"/>
      <sheetName val="Brj"/>
      <sheetName val="Um"/>
      <sheetName val="SAMPL"/>
      <sheetName val="Div.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OE"/>
      <sheetName val="DAFTAR HARGA"/>
      <sheetName val="ANALISA"/>
      <sheetName val="TANAH &amp; BETON"/>
      <sheetName val="DATA AWAL"/>
      <sheetName val="PENGECATAN"/>
      <sheetName val="PINTU,JENDELA &amp;JALUSI"/>
      <sheetName val="ATAP &amp;KAYU"/>
      <sheetName val="PASANGAN"/>
    </sheetNames>
    <sheetDataSet>
      <sheetData sheetId="0" refreshError="1"/>
      <sheetData sheetId="1" refreshError="1">
        <row r="67">
          <cell r="H67">
            <v>12500</v>
          </cell>
        </row>
        <row r="89">
          <cell r="H89">
            <v>15000</v>
          </cell>
        </row>
        <row r="103">
          <cell r="H103">
            <v>100000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Quarry"/>
      <sheetName val="Basic"/>
      <sheetName val="umum"/>
      <sheetName val="div-1"/>
      <sheetName val="div-2"/>
      <sheetName val="div-3"/>
      <sheetName val="div-4"/>
      <sheetName val="div-5"/>
      <sheetName val="div-6a"/>
      <sheetName val="div-6b"/>
      <sheetName val="div-7a"/>
      <sheetName val="div-7b"/>
      <sheetName val="div-8"/>
      <sheetName val="div-9"/>
      <sheetName val="div-10a"/>
      <sheetName val="div-10b"/>
      <sheetName val="alat"/>
      <sheetName val="Agg. Hls-Ksr"/>
      <sheetName val="Agg. A"/>
      <sheetName val="Agg. B"/>
      <sheetName val="Agg. C"/>
    </sheetNames>
    <sheetDataSet>
      <sheetData sheetId="0"/>
      <sheetData sheetId="1">
        <row r="21">
          <cell r="I21">
            <v>24000000</v>
          </cell>
        </row>
        <row r="28">
          <cell r="I28">
            <v>8726063</v>
          </cell>
        </row>
        <row r="38">
          <cell r="I38">
            <v>683743426</v>
          </cell>
        </row>
        <row r="46">
          <cell r="I46">
            <v>10807105</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ow r="51">
          <cell r="U51">
            <v>162912.92819590028</v>
          </cell>
        </row>
      </sheetData>
      <sheetData sheetId="17" refreshError="1"/>
      <sheetData sheetId="18"/>
      <sheetData sheetId="19"/>
      <sheetData sheetId="20" refreshError="1"/>
      <sheetData sheetId="21" refreshError="1"/>
      <sheetData sheetId="2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iaya"/>
      <sheetName val="Kuantitas &amp; Harga"/>
      <sheetName val="Pekerjaan Utama"/>
      <sheetName val="%"/>
    </sheetNames>
    <sheetDataSet>
      <sheetData sheetId="0"/>
      <sheetData sheetId="1" refreshError="1">
        <row r="24">
          <cell r="G24">
            <v>582731540.13</v>
          </cell>
        </row>
        <row r="46">
          <cell r="G46">
            <v>455640586.86499995</v>
          </cell>
        </row>
        <row r="80">
          <cell r="G80">
            <v>3167917967.4253798</v>
          </cell>
        </row>
        <row r="95">
          <cell r="G95">
            <v>1787997295.28</v>
          </cell>
        </row>
        <row r="115">
          <cell r="G115">
            <v>12074420321.240002</v>
          </cell>
        </row>
        <row r="150">
          <cell r="G150">
            <v>6852461414.6796408</v>
          </cell>
        </row>
        <row r="298">
          <cell r="G298">
            <v>2465995205.5172267</v>
          </cell>
        </row>
        <row r="350">
          <cell r="G350">
            <v>1046643138.0900002</v>
          </cell>
        </row>
        <row r="380">
          <cell r="G380">
            <v>188739021.1916098</v>
          </cell>
        </row>
        <row r="393">
          <cell r="G393">
            <v>105485010.83</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alifikasi"/>
      <sheetName val="cvr"/>
      <sheetName val="Personil"/>
      <sheetName val="Pernyataan"/>
      <sheetName val="STR"/>
      <sheetName val="Pngalaman"/>
      <sheetName val="Surat"/>
      <sheetName val="mtd"/>
      <sheetName val="SC"/>
      <sheetName val="REKAP"/>
      <sheetName val="RAB"/>
      <sheetName val="Quarry"/>
      <sheetName val="Quarry (TERSUSUN)"/>
      <sheetName val="Basic"/>
      <sheetName val="umum"/>
      <sheetName val="alat"/>
      <sheetName val="H.SATUAN"/>
      <sheetName val="Agg. Hls-Ksr"/>
      <sheetName val="BETON (2)"/>
      <sheetName val="PLESTERAN"/>
      <sheetName val="PEMBERSIHAN"/>
      <sheetName val="PAS. BATU "/>
      <sheetName val="GALIAN"/>
      <sheetName val="TIMBUNAN"/>
      <sheetName val="Lam.satuan"/>
      <sheetName val="AN.ALAT 4500"/>
      <sheetName val="AN.ALAT 6000"/>
      <sheetName val="BRONJO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1">
          <cell r="BB11">
            <v>502861.48509121145</v>
          </cell>
        </row>
        <row r="13">
          <cell r="BB13">
            <v>44101.681419241642</v>
          </cell>
        </row>
        <row r="15">
          <cell r="BB15">
            <v>233633.64185533812</v>
          </cell>
        </row>
        <row r="16">
          <cell r="BB16">
            <v>281264.12720572401</v>
          </cell>
        </row>
        <row r="17">
          <cell r="BB17">
            <v>331806.54071923345</v>
          </cell>
        </row>
        <row r="18">
          <cell r="BB18">
            <v>275134.68772633804</v>
          </cell>
        </row>
        <row r="19">
          <cell r="BB19">
            <v>360923.51136218617</v>
          </cell>
        </row>
        <row r="20">
          <cell r="BB20">
            <v>457119.70606881473</v>
          </cell>
        </row>
        <row r="22">
          <cell r="BB22">
            <v>384134.89947135007</v>
          </cell>
        </row>
        <row r="26">
          <cell r="BB26">
            <v>317374.55094099866</v>
          </cell>
          <cell r="BT26" t="str">
            <v xml:space="preserve"> Alat Baru</v>
          </cell>
        </row>
        <row r="27">
          <cell r="BB27">
            <v>35232.236158789201</v>
          </cell>
          <cell r="BT27">
            <v>2562451000</v>
          </cell>
        </row>
        <row r="29">
          <cell r="BB29">
            <v>28939.249742463959</v>
          </cell>
        </row>
        <row r="30">
          <cell r="BB30">
            <v>227327.60479784274</v>
          </cell>
        </row>
        <row r="32">
          <cell r="BB32">
            <v>34112.062197255051</v>
          </cell>
        </row>
        <row r="46">
          <cell r="BT46" t="str">
            <v xml:space="preserve"> Alat Baru</v>
          </cell>
        </row>
        <row r="47">
          <cell r="BT47">
            <v>1205590000</v>
          </cell>
        </row>
        <row r="72">
          <cell r="BT72" t="str">
            <v xml:space="preserve"> Alat Baru</v>
          </cell>
        </row>
        <row r="73">
          <cell r="BT73">
            <v>106751000</v>
          </cell>
        </row>
        <row r="92">
          <cell r="BT92" t="str">
            <v xml:space="preserve"> Alat Baru</v>
          </cell>
        </row>
        <row r="93">
          <cell r="BT93">
            <v>1065960000</v>
          </cell>
        </row>
        <row r="112">
          <cell r="BT112" t="str">
            <v xml:space="preserve"> Alat Baru</v>
          </cell>
        </row>
        <row r="113">
          <cell r="BT113">
            <v>160740000</v>
          </cell>
        </row>
        <row r="132">
          <cell r="BT132" t="str">
            <v xml:space="preserve"> Alat Baru</v>
          </cell>
        </row>
        <row r="133">
          <cell r="BT133">
            <v>9367000</v>
          </cell>
        </row>
        <row r="152">
          <cell r="BT152" t="str">
            <v xml:space="preserve"> Alat Baru</v>
          </cell>
        </row>
        <row r="153">
          <cell r="BT153">
            <v>434913000</v>
          </cell>
        </row>
        <row r="172">
          <cell r="BT172" t="str">
            <v xml:space="preserve"> Alat Baru</v>
          </cell>
        </row>
        <row r="173">
          <cell r="BT173">
            <v>171566000</v>
          </cell>
        </row>
        <row r="192">
          <cell r="BT192" t="str">
            <v xml:space="preserve"> Alat Baru</v>
          </cell>
        </row>
        <row r="193">
          <cell r="BT193">
            <v>184877000</v>
          </cell>
        </row>
        <row r="212">
          <cell r="BT212" t="str">
            <v xml:space="preserve"> Alat Baru</v>
          </cell>
        </row>
        <row r="213">
          <cell r="BT213">
            <v>778320000</v>
          </cell>
        </row>
        <row r="232">
          <cell r="BT232" t="str">
            <v xml:space="preserve"> Alat Baru</v>
          </cell>
        </row>
        <row r="233">
          <cell r="BT233">
            <v>363286000</v>
          </cell>
        </row>
        <row r="252">
          <cell r="BT252" t="str">
            <v xml:space="preserve"> Alat Baru</v>
          </cell>
        </row>
        <row r="253">
          <cell r="BT253">
            <v>135360000</v>
          </cell>
        </row>
        <row r="272">
          <cell r="BT272" t="str">
            <v xml:space="preserve"> Alat Baru</v>
          </cell>
        </row>
        <row r="273">
          <cell r="BT273">
            <v>951750000</v>
          </cell>
        </row>
        <row r="292">
          <cell r="BT292" t="str">
            <v xml:space="preserve"> Alat Baru</v>
          </cell>
        </row>
        <row r="293">
          <cell r="BT293">
            <v>1015200000</v>
          </cell>
        </row>
        <row r="312">
          <cell r="BT312" t="str">
            <v xml:space="preserve"> Alat Baru</v>
          </cell>
        </row>
        <row r="313">
          <cell r="BT313">
            <v>812160000</v>
          </cell>
        </row>
        <row r="332">
          <cell r="BT332" t="str">
            <v xml:space="preserve"> Alat Baru</v>
          </cell>
        </row>
        <row r="333">
          <cell r="BT333">
            <v>221410000</v>
          </cell>
        </row>
        <row r="352">
          <cell r="BT352" t="str">
            <v xml:space="preserve"> Alat Baru</v>
          </cell>
        </row>
        <row r="353">
          <cell r="BT353">
            <v>989820000</v>
          </cell>
        </row>
        <row r="372">
          <cell r="BT372" t="str">
            <v xml:space="preserve"> Alat Baru</v>
          </cell>
        </row>
        <row r="373">
          <cell r="BT373">
            <v>434913000</v>
          </cell>
        </row>
        <row r="392">
          <cell r="BT392" t="str">
            <v xml:space="preserve"> Alat Baru</v>
          </cell>
        </row>
        <row r="393">
          <cell r="BT393">
            <v>676800000</v>
          </cell>
        </row>
        <row r="412">
          <cell r="BT412" t="str">
            <v xml:space="preserve"> Alat Baru</v>
          </cell>
        </row>
        <row r="413">
          <cell r="BT413">
            <v>4683000</v>
          </cell>
        </row>
        <row r="432">
          <cell r="BT432" t="str">
            <v xml:space="preserve"> Alat Baru</v>
          </cell>
        </row>
        <row r="433">
          <cell r="BT433">
            <v>1943272000</v>
          </cell>
        </row>
        <row r="452">
          <cell r="BT452" t="str">
            <v xml:space="preserve"> Alat Baru</v>
          </cell>
        </row>
        <row r="453">
          <cell r="BT453">
            <v>8627000</v>
          </cell>
        </row>
        <row r="472">
          <cell r="BT472" t="str">
            <v xml:space="preserve"> Alat Baru</v>
          </cell>
        </row>
        <row r="473">
          <cell r="BT473">
            <v>142335000</v>
          </cell>
        </row>
        <row r="492">
          <cell r="BT492" t="str">
            <v xml:space="preserve"> Alat Baru</v>
          </cell>
        </row>
        <row r="493">
          <cell r="BT493">
            <v>73144000</v>
          </cell>
        </row>
        <row r="512">
          <cell r="BT512" t="str">
            <v xml:space="preserve"> Alat Baru</v>
          </cell>
        </row>
        <row r="513">
          <cell r="BT513">
            <v>20660000</v>
          </cell>
        </row>
        <row r="532">
          <cell r="BT532" t="str">
            <v xml:space="preserve"> Alat Baru</v>
          </cell>
        </row>
        <row r="533">
          <cell r="BT533">
            <v>329940000</v>
          </cell>
        </row>
        <row r="552">
          <cell r="BT552" t="str">
            <v xml:space="preserve"> Alat Baru</v>
          </cell>
        </row>
        <row r="553">
          <cell r="BT553">
            <v>181872000</v>
          </cell>
        </row>
        <row r="572">
          <cell r="BT572" t="str">
            <v xml:space="preserve"> Alat Baru</v>
          </cell>
        </row>
        <row r="573">
          <cell r="BT573">
            <v>112500000</v>
          </cell>
        </row>
        <row r="592">
          <cell r="BT592" t="str">
            <v xml:space="preserve"> Alat Baru</v>
          </cell>
        </row>
        <row r="593">
          <cell r="BT593">
            <v>166250000</v>
          </cell>
        </row>
        <row r="612">
          <cell r="BT612" t="str">
            <v xml:space="preserve"> Alat Baru</v>
          </cell>
        </row>
        <row r="613">
          <cell r="BT613">
            <v>70000000</v>
          </cell>
        </row>
        <row r="632">
          <cell r="BT632" t="str">
            <v xml:space="preserve"> Alat Baru</v>
          </cell>
        </row>
        <row r="633">
          <cell r="BT633">
            <v>350000000</v>
          </cell>
        </row>
        <row r="652">
          <cell r="BT652" t="str">
            <v xml:space="preserve"> Alat Baru</v>
          </cell>
        </row>
        <row r="653">
          <cell r="BT653">
            <v>17500000</v>
          </cell>
        </row>
        <row r="672">
          <cell r="BT672" t="str">
            <v xml:space="preserve"> Alat Baru</v>
          </cell>
        </row>
        <row r="673">
          <cell r="BT673">
            <v>2250000000</v>
          </cell>
        </row>
        <row r="703">
          <cell r="BT703" t="str">
            <v xml:space="preserve"> Alat Baru</v>
          </cell>
        </row>
        <row r="704">
          <cell r="BT704">
            <v>15000000</v>
          </cell>
        </row>
      </sheetData>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alifikasi"/>
      <sheetName val="cvr"/>
      <sheetName val="Personil"/>
      <sheetName val="Pernyataan"/>
      <sheetName val="STR"/>
      <sheetName val="Pngalaman"/>
      <sheetName val="Surat"/>
      <sheetName val="Quarry"/>
      <sheetName val="Basic"/>
      <sheetName val="umum"/>
      <sheetName val="alat"/>
      <sheetName val="Agg. Hls-Ksr"/>
      <sheetName val="PLESTERAN"/>
      <sheetName val="PEMBERSIHAN"/>
      <sheetName val="AN.ALAT 4500"/>
      <sheetName val="AN.ALAT 6000"/>
      <sheetName val="BRONJONG"/>
    </sheetNames>
    <sheetDataSet>
      <sheetData sheetId="0"/>
      <sheetData sheetId="1" refreshError="1"/>
      <sheetData sheetId="2"/>
      <sheetData sheetId="3"/>
      <sheetData sheetId="4" refreshError="1"/>
      <sheetData sheetId="5"/>
      <sheetData sheetId="6" refreshError="1"/>
      <sheetData sheetId="7" refreshError="1"/>
      <sheetData sheetId="8" refreshError="1"/>
      <sheetData sheetId="9" refreshError="1"/>
      <sheetData sheetId="10">
        <row r="11">
          <cell r="BB11">
            <v>502861.48509121145</v>
          </cell>
        </row>
        <row r="13">
          <cell r="BB13">
            <v>44101.681419241642</v>
          </cell>
        </row>
        <row r="15">
          <cell r="BB15">
            <v>233633.64185533812</v>
          </cell>
        </row>
        <row r="16">
          <cell r="BB16">
            <v>281264.12720572401</v>
          </cell>
        </row>
        <row r="17">
          <cell r="BB17">
            <v>331806.54071923345</v>
          </cell>
        </row>
        <row r="18">
          <cell r="BB18">
            <v>275134.68772633804</v>
          </cell>
        </row>
        <row r="19">
          <cell r="BB19">
            <v>360923.51136218617</v>
          </cell>
        </row>
        <row r="20">
          <cell r="BB20">
            <v>457119.70606881473</v>
          </cell>
        </row>
        <row r="22">
          <cell r="BB22">
            <v>384134.89947135007</v>
          </cell>
        </row>
        <row r="26">
          <cell r="BB26">
            <v>317374.55094099866</v>
          </cell>
          <cell r="BT26" t="str">
            <v xml:space="preserve"> Alat Baru</v>
          </cell>
        </row>
        <row r="27">
          <cell r="BB27">
            <v>35232.236158789201</v>
          </cell>
          <cell r="BT27">
            <v>2562451000</v>
          </cell>
        </row>
        <row r="29">
          <cell r="BB29">
            <v>28939.249742463959</v>
          </cell>
        </row>
        <row r="30">
          <cell r="BB30">
            <v>227327.60479784274</v>
          </cell>
        </row>
        <row r="32">
          <cell r="BB32">
            <v>34112.062197255051</v>
          </cell>
        </row>
        <row r="46">
          <cell r="BT46" t="str">
            <v xml:space="preserve"> Alat Baru</v>
          </cell>
        </row>
        <row r="47">
          <cell r="BT47">
            <v>1205590000</v>
          </cell>
        </row>
        <row r="72">
          <cell r="BT72" t="str">
            <v xml:space="preserve"> Alat Baru</v>
          </cell>
        </row>
        <row r="73">
          <cell r="BT73">
            <v>106751000</v>
          </cell>
        </row>
        <row r="92">
          <cell r="BT92" t="str">
            <v xml:space="preserve"> Alat Baru</v>
          </cell>
        </row>
        <row r="93">
          <cell r="BT93">
            <v>1065960000</v>
          </cell>
        </row>
        <row r="112">
          <cell r="BT112" t="str">
            <v xml:space="preserve"> Alat Baru</v>
          </cell>
        </row>
        <row r="113">
          <cell r="BT113">
            <v>160740000</v>
          </cell>
        </row>
        <row r="132">
          <cell r="BT132" t="str">
            <v xml:space="preserve"> Alat Baru</v>
          </cell>
        </row>
        <row r="133">
          <cell r="BT133">
            <v>9367000</v>
          </cell>
        </row>
        <row r="152">
          <cell r="BT152" t="str">
            <v xml:space="preserve"> Alat Baru</v>
          </cell>
        </row>
        <row r="153">
          <cell r="BT153">
            <v>434913000</v>
          </cell>
        </row>
        <row r="172">
          <cell r="BT172" t="str">
            <v xml:space="preserve"> Alat Baru</v>
          </cell>
        </row>
        <row r="173">
          <cell r="BT173">
            <v>171566000</v>
          </cell>
        </row>
        <row r="192">
          <cell r="BT192" t="str">
            <v xml:space="preserve"> Alat Baru</v>
          </cell>
        </row>
        <row r="193">
          <cell r="BT193">
            <v>184877000</v>
          </cell>
        </row>
        <row r="212">
          <cell r="BT212" t="str">
            <v xml:space="preserve"> Alat Baru</v>
          </cell>
        </row>
        <row r="213">
          <cell r="BT213">
            <v>778320000</v>
          </cell>
        </row>
        <row r="232">
          <cell r="BT232" t="str">
            <v xml:space="preserve"> Alat Baru</v>
          </cell>
        </row>
        <row r="233">
          <cell r="BT233">
            <v>363286000</v>
          </cell>
        </row>
        <row r="252">
          <cell r="BT252" t="str">
            <v xml:space="preserve"> Alat Baru</v>
          </cell>
        </row>
        <row r="253">
          <cell r="BT253">
            <v>135360000</v>
          </cell>
        </row>
        <row r="272">
          <cell r="BT272" t="str">
            <v xml:space="preserve"> Alat Baru</v>
          </cell>
        </row>
        <row r="273">
          <cell r="BT273">
            <v>951750000</v>
          </cell>
        </row>
        <row r="292">
          <cell r="BT292" t="str">
            <v xml:space="preserve"> Alat Baru</v>
          </cell>
        </row>
        <row r="293">
          <cell r="BT293">
            <v>1015200000</v>
          </cell>
        </row>
        <row r="312">
          <cell r="BT312" t="str">
            <v xml:space="preserve"> Alat Baru</v>
          </cell>
        </row>
        <row r="313">
          <cell r="BT313">
            <v>812160000</v>
          </cell>
        </row>
        <row r="332">
          <cell r="BT332" t="str">
            <v xml:space="preserve"> Alat Baru</v>
          </cell>
        </row>
        <row r="333">
          <cell r="BT333">
            <v>221410000</v>
          </cell>
        </row>
        <row r="352">
          <cell r="BT352" t="str">
            <v xml:space="preserve"> Alat Baru</v>
          </cell>
        </row>
        <row r="353">
          <cell r="BT353">
            <v>989820000</v>
          </cell>
        </row>
        <row r="372">
          <cell r="BT372" t="str">
            <v xml:space="preserve"> Alat Baru</v>
          </cell>
        </row>
        <row r="373">
          <cell r="BT373">
            <v>434913000</v>
          </cell>
        </row>
        <row r="392">
          <cell r="BT392" t="str">
            <v xml:space="preserve"> Alat Baru</v>
          </cell>
        </row>
        <row r="393">
          <cell r="BT393">
            <v>676800000</v>
          </cell>
        </row>
        <row r="412">
          <cell r="BT412" t="str">
            <v xml:space="preserve"> Alat Baru</v>
          </cell>
        </row>
        <row r="413">
          <cell r="BT413">
            <v>4683000</v>
          </cell>
        </row>
        <row r="432">
          <cell r="BT432" t="str">
            <v xml:space="preserve"> Alat Baru</v>
          </cell>
        </row>
        <row r="433">
          <cell r="BT433">
            <v>1943272000</v>
          </cell>
        </row>
        <row r="452">
          <cell r="BT452" t="str">
            <v xml:space="preserve"> Alat Baru</v>
          </cell>
        </row>
        <row r="453">
          <cell r="BT453">
            <v>8627000</v>
          </cell>
        </row>
        <row r="472">
          <cell r="BT472" t="str">
            <v xml:space="preserve"> Alat Baru</v>
          </cell>
        </row>
        <row r="473">
          <cell r="BT473">
            <v>142335000</v>
          </cell>
        </row>
        <row r="492">
          <cell r="BT492" t="str">
            <v xml:space="preserve"> Alat Baru</v>
          </cell>
        </row>
        <row r="493">
          <cell r="BT493">
            <v>73144000</v>
          </cell>
        </row>
        <row r="512">
          <cell r="BT512" t="str">
            <v xml:space="preserve"> Alat Baru</v>
          </cell>
        </row>
        <row r="513">
          <cell r="BT513">
            <v>20660000</v>
          </cell>
        </row>
        <row r="532">
          <cell r="BT532" t="str">
            <v xml:space="preserve"> Alat Baru</v>
          </cell>
        </row>
        <row r="533">
          <cell r="BT533">
            <v>329940000</v>
          </cell>
        </row>
        <row r="552">
          <cell r="BT552" t="str">
            <v xml:space="preserve"> Alat Baru</v>
          </cell>
        </row>
        <row r="553">
          <cell r="BT553">
            <v>181872000</v>
          </cell>
        </row>
        <row r="572">
          <cell r="BT572" t="str">
            <v xml:space="preserve"> Alat Baru</v>
          </cell>
        </row>
        <row r="573">
          <cell r="BT573">
            <v>112500000</v>
          </cell>
        </row>
        <row r="592">
          <cell r="BT592" t="str">
            <v xml:space="preserve"> Alat Baru</v>
          </cell>
        </row>
        <row r="593">
          <cell r="BT593">
            <v>166250000</v>
          </cell>
        </row>
        <row r="612">
          <cell r="BT612" t="str">
            <v xml:space="preserve"> Alat Baru</v>
          </cell>
        </row>
        <row r="613">
          <cell r="BT613">
            <v>70000000</v>
          </cell>
        </row>
        <row r="632">
          <cell r="BT632" t="str">
            <v xml:space="preserve"> Alat Baru</v>
          </cell>
        </row>
        <row r="633">
          <cell r="BT633">
            <v>350000000</v>
          </cell>
        </row>
        <row r="652">
          <cell r="BT652" t="str">
            <v xml:space="preserve"> Alat Baru</v>
          </cell>
        </row>
        <row r="653">
          <cell r="BT653">
            <v>17500000</v>
          </cell>
        </row>
        <row r="672">
          <cell r="BT672" t="str">
            <v xml:space="preserve"> Alat Baru</v>
          </cell>
        </row>
        <row r="673">
          <cell r="BT673">
            <v>2250000000</v>
          </cell>
        </row>
        <row r="703">
          <cell r="BT703" t="str">
            <v xml:space="preserve"> Alat Baru</v>
          </cell>
        </row>
        <row r="704">
          <cell r="BT704">
            <v>15000000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umum"/>
      <sheetName val="div-1"/>
      <sheetName val="3-vs2"/>
      <sheetName val="ps batu"/>
      <sheetName val="Galian"/>
      <sheetName val="div-4"/>
      <sheetName val="div-5"/>
      <sheetName val="div-6a"/>
      <sheetName val="div-7a"/>
      <sheetName val="div-7b"/>
      <sheetName val="UPAH"/>
      <sheetName val="ALAT"/>
      <sheetName val="BAHAN"/>
      <sheetName val="AN-K"/>
      <sheetName val="AN-K805"/>
      <sheetName val="AN-BOW"/>
      <sheetName val="div-6b"/>
      <sheetName val="div-8"/>
      <sheetName val="div-9"/>
      <sheetName val="div-10a"/>
      <sheetName val="div-10b"/>
      <sheetName val="Basic"/>
      <sheetName val="Quarry"/>
      <sheetName val="Agg. Halus &amp; Kasar"/>
      <sheetName val="Agg. A"/>
      <sheetName val="Agg. B"/>
      <sheetName val="Agg. C"/>
    </sheetNames>
    <sheetDataSet>
      <sheetData sheetId="0"/>
      <sheetData sheetId="1">
        <row r="24">
          <cell r="G24">
            <v>3000000</v>
          </cell>
        </row>
        <row r="35">
          <cell r="G35" t="e">
            <v>#REF!</v>
          </cell>
        </row>
        <row r="52">
          <cell r="G52" t="e">
            <v>#REF!</v>
          </cell>
        </row>
        <row r="66">
          <cell r="G66">
            <v>0</v>
          </cell>
        </row>
        <row r="93">
          <cell r="G93" t="e">
            <v>#REF!</v>
          </cell>
        </row>
        <row r="118">
          <cell r="G118" t="e">
            <v>#REF!</v>
          </cell>
        </row>
        <row r="206">
          <cell r="G206" t="e">
            <v>#REF!</v>
          </cell>
        </row>
        <row r="263">
          <cell r="G263">
            <v>0</v>
          </cell>
        </row>
        <row r="305">
          <cell r="G305">
            <v>0</v>
          </cell>
        </row>
        <row r="329">
          <cell r="G329">
            <v>0</v>
          </cell>
        </row>
      </sheetData>
      <sheetData sheetId="2"/>
      <sheetData sheetId="3"/>
      <sheetData sheetId="4" refreshError="1"/>
      <sheetData sheetId="5" refreshError="1"/>
      <sheetData sheetId="6"/>
      <sheetData sheetId="7"/>
      <sheetData sheetId="8"/>
      <sheetData sheetId="9"/>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ow r="51">
          <cell r="U51">
            <v>138092.21691650929</v>
          </cell>
        </row>
      </sheetData>
      <sheetData sheetId="22" refreshError="1"/>
      <sheetData sheetId="23">
        <row r="8">
          <cell r="F8">
            <v>5714.2857142857147</v>
          </cell>
        </row>
        <row r="10">
          <cell r="F10">
            <v>7500</v>
          </cell>
        </row>
        <row r="12">
          <cell r="F12">
            <v>7500</v>
          </cell>
        </row>
        <row r="40">
          <cell r="F40">
            <v>52800</v>
          </cell>
        </row>
        <row r="44">
          <cell r="F44">
            <v>127615.8285145063</v>
          </cell>
        </row>
        <row r="46">
          <cell r="F46">
            <v>121262.54489561869</v>
          </cell>
        </row>
        <row r="50">
          <cell r="F50">
            <v>90500</v>
          </cell>
        </row>
        <row r="58">
          <cell r="F58">
            <v>6347.7</v>
          </cell>
        </row>
        <row r="60">
          <cell r="F60">
            <v>2610.7800000000002</v>
          </cell>
        </row>
        <row r="70">
          <cell r="F70">
            <v>41600</v>
          </cell>
        </row>
        <row r="74">
          <cell r="F74">
            <v>11660.78</v>
          </cell>
        </row>
        <row r="110">
          <cell r="F110">
            <v>35000</v>
          </cell>
        </row>
        <row r="112">
          <cell r="F112">
            <v>8500</v>
          </cell>
        </row>
        <row r="139">
          <cell r="F139">
            <v>35132.93</v>
          </cell>
        </row>
      </sheetData>
      <sheetData sheetId="24" refreshError="1"/>
      <sheetData sheetId="25" refreshError="1"/>
      <sheetData sheetId="26" refreshError="1"/>
      <sheetData sheetId="27" refreshError="1"/>
      <sheetData sheetId="2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alifikasi"/>
      <sheetName val="cvr"/>
      <sheetName val="Personil"/>
      <sheetName val="Pernyataan"/>
      <sheetName val="STR"/>
      <sheetName val="Pngalaman"/>
      <sheetName val="Surat"/>
      <sheetName val="Quarry"/>
      <sheetName val="Basic"/>
      <sheetName val="umum"/>
      <sheetName val="alat"/>
      <sheetName val="Agg. Hls-Ksr"/>
      <sheetName val="PLESTERAN"/>
      <sheetName val="PEMBERSIHAN"/>
      <sheetName val="AN.ALAT 4500"/>
      <sheetName val="AN.ALAT 6000"/>
      <sheetName val="BRONJONG"/>
    </sheetNames>
    <sheetDataSet>
      <sheetData sheetId="0"/>
      <sheetData sheetId="1" refreshError="1"/>
      <sheetData sheetId="2"/>
      <sheetData sheetId="3"/>
      <sheetData sheetId="4" refreshError="1"/>
      <sheetData sheetId="5"/>
      <sheetData sheetId="6" refreshError="1"/>
      <sheetData sheetId="7" refreshError="1"/>
      <sheetData sheetId="8" refreshError="1"/>
      <sheetData sheetId="9" refreshError="1"/>
      <sheetData sheetId="10">
        <row r="11">
          <cell r="BB11">
            <v>502861.48509121145</v>
          </cell>
        </row>
        <row r="13">
          <cell r="BB13">
            <v>44101.681419241642</v>
          </cell>
        </row>
        <row r="15">
          <cell r="BB15">
            <v>233633.64185533812</v>
          </cell>
        </row>
        <row r="16">
          <cell r="BB16">
            <v>281264.12720572401</v>
          </cell>
        </row>
        <row r="17">
          <cell r="BB17">
            <v>331806.54071923345</v>
          </cell>
        </row>
        <row r="18">
          <cell r="BB18">
            <v>275134.68772633804</v>
          </cell>
        </row>
        <row r="19">
          <cell r="BB19">
            <v>360923.51136218617</v>
          </cell>
        </row>
        <row r="20">
          <cell r="BB20">
            <v>457119.70606881473</v>
          </cell>
        </row>
        <row r="22">
          <cell r="BB22">
            <v>384134.89947135007</v>
          </cell>
        </row>
        <row r="26">
          <cell r="BB26">
            <v>317374.55094099866</v>
          </cell>
          <cell r="BT26" t="str">
            <v xml:space="preserve"> Alat Baru</v>
          </cell>
        </row>
        <row r="27">
          <cell r="BB27">
            <v>35232.236158789201</v>
          </cell>
          <cell r="BT27">
            <v>2562451000</v>
          </cell>
        </row>
        <row r="29">
          <cell r="BB29">
            <v>28939.249742463959</v>
          </cell>
        </row>
        <row r="30">
          <cell r="BB30">
            <v>227327.60479784274</v>
          </cell>
        </row>
        <row r="32">
          <cell r="BB32">
            <v>34112.062197255051</v>
          </cell>
        </row>
        <row r="46">
          <cell r="BT46" t="str">
            <v xml:space="preserve"> Alat Baru</v>
          </cell>
        </row>
        <row r="47">
          <cell r="BT47">
            <v>1205590000</v>
          </cell>
        </row>
        <row r="72">
          <cell r="BT72" t="str">
            <v xml:space="preserve"> Alat Baru</v>
          </cell>
        </row>
        <row r="73">
          <cell r="BT73">
            <v>106751000</v>
          </cell>
        </row>
        <row r="92">
          <cell r="BT92" t="str">
            <v xml:space="preserve"> Alat Baru</v>
          </cell>
        </row>
        <row r="93">
          <cell r="BT93">
            <v>1065960000</v>
          </cell>
        </row>
        <row r="112">
          <cell r="BT112" t="str">
            <v xml:space="preserve"> Alat Baru</v>
          </cell>
        </row>
        <row r="113">
          <cell r="BT113">
            <v>160740000</v>
          </cell>
        </row>
        <row r="132">
          <cell r="BT132" t="str">
            <v xml:space="preserve"> Alat Baru</v>
          </cell>
        </row>
        <row r="133">
          <cell r="BT133">
            <v>9367000</v>
          </cell>
        </row>
        <row r="152">
          <cell r="BT152" t="str">
            <v xml:space="preserve"> Alat Baru</v>
          </cell>
        </row>
        <row r="153">
          <cell r="BT153">
            <v>434913000</v>
          </cell>
        </row>
        <row r="172">
          <cell r="BT172" t="str">
            <v xml:space="preserve"> Alat Baru</v>
          </cell>
        </row>
        <row r="173">
          <cell r="BT173">
            <v>171566000</v>
          </cell>
        </row>
        <row r="192">
          <cell r="BT192" t="str">
            <v xml:space="preserve"> Alat Baru</v>
          </cell>
        </row>
        <row r="193">
          <cell r="BT193">
            <v>184877000</v>
          </cell>
        </row>
        <row r="212">
          <cell r="BT212" t="str">
            <v xml:space="preserve"> Alat Baru</v>
          </cell>
        </row>
        <row r="213">
          <cell r="BT213">
            <v>778320000</v>
          </cell>
        </row>
        <row r="232">
          <cell r="BT232" t="str">
            <v xml:space="preserve"> Alat Baru</v>
          </cell>
        </row>
        <row r="233">
          <cell r="BT233">
            <v>363286000</v>
          </cell>
        </row>
        <row r="252">
          <cell r="BT252" t="str">
            <v xml:space="preserve"> Alat Baru</v>
          </cell>
        </row>
        <row r="253">
          <cell r="BT253">
            <v>135360000</v>
          </cell>
        </row>
        <row r="272">
          <cell r="BT272" t="str">
            <v xml:space="preserve"> Alat Baru</v>
          </cell>
        </row>
        <row r="273">
          <cell r="BT273">
            <v>951750000</v>
          </cell>
        </row>
        <row r="292">
          <cell r="BT292" t="str">
            <v xml:space="preserve"> Alat Baru</v>
          </cell>
        </row>
        <row r="293">
          <cell r="BT293">
            <v>1015200000</v>
          </cell>
        </row>
        <row r="312">
          <cell r="BT312" t="str">
            <v xml:space="preserve"> Alat Baru</v>
          </cell>
        </row>
        <row r="313">
          <cell r="BT313">
            <v>812160000</v>
          </cell>
        </row>
        <row r="332">
          <cell r="BT332" t="str">
            <v xml:space="preserve"> Alat Baru</v>
          </cell>
        </row>
        <row r="333">
          <cell r="BT333">
            <v>221410000</v>
          </cell>
        </row>
        <row r="352">
          <cell r="BT352" t="str">
            <v xml:space="preserve"> Alat Baru</v>
          </cell>
        </row>
        <row r="353">
          <cell r="BT353">
            <v>989820000</v>
          </cell>
        </row>
        <row r="372">
          <cell r="BT372" t="str">
            <v xml:space="preserve"> Alat Baru</v>
          </cell>
        </row>
        <row r="373">
          <cell r="BT373">
            <v>434913000</v>
          </cell>
        </row>
        <row r="392">
          <cell r="BT392" t="str">
            <v xml:space="preserve"> Alat Baru</v>
          </cell>
        </row>
        <row r="393">
          <cell r="BT393">
            <v>676800000</v>
          </cell>
        </row>
        <row r="412">
          <cell r="BT412" t="str">
            <v xml:space="preserve"> Alat Baru</v>
          </cell>
        </row>
        <row r="413">
          <cell r="BT413">
            <v>4683000</v>
          </cell>
        </row>
        <row r="432">
          <cell r="BT432" t="str">
            <v xml:space="preserve"> Alat Baru</v>
          </cell>
        </row>
        <row r="433">
          <cell r="BT433">
            <v>1943272000</v>
          </cell>
        </row>
        <row r="452">
          <cell r="BT452" t="str">
            <v xml:space="preserve"> Alat Baru</v>
          </cell>
        </row>
        <row r="453">
          <cell r="BT453">
            <v>8627000</v>
          </cell>
        </row>
        <row r="472">
          <cell r="BT472" t="str">
            <v xml:space="preserve"> Alat Baru</v>
          </cell>
        </row>
        <row r="473">
          <cell r="BT473">
            <v>142335000</v>
          </cell>
        </row>
        <row r="492">
          <cell r="BT492" t="str">
            <v xml:space="preserve"> Alat Baru</v>
          </cell>
        </row>
        <row r="493">
          <cell r="BT493">
            <v>73144000</v>
          </cell>
        </row>
        <row r="512">
          <cell r="BT512" t="str">
            <v xml:space="preserve"> Alat Baru</v>
          </cell>
        </row>
        <row r="513">
          <cell r="BT513">
            <v>20660000</v>
          </cell>
        </row>
        <row r="532">
          <cell r="BT532" t="str">
            <v xml:space="preserve"> Alat Baru</v>
          </cell>
        </row>
        <row r="533">
          <cell r="BT533">
            <v>329940000</v>
          </cell>
        </row>
        <row r="552">
          <cell r="BT552" t="str">
            <v xml:space="preserve"> Alat Baru</v>
          </cell>
        </row>
        <row r="553">
          <cell r="BT553">
            <v>181872000</v>
          </cell>
        </row>
        <row r="572">
          <cell r="BT572" t="str">
            <v xml:space="preserve"> Alat Baru</v>
          </cell>
        </row>
        <row r="573">
          <cell r="BT573">
            <v>112500000</v>
          </cell>
        </row>
        <row r="592">
          <cell r="BT592" t="str">
            <v xml:space="preserve"> Alat Baru</v>
          </cell>
        </row>
        <row r="593">
          <cell r="BT593">
            <v>166250000</v>
          </cell>
        </row>
        <row r="612">
          <cell r="BT612" t="str">
            <v xml:space="preserve"> Alat Baru</v>
          </cell>
        </row>
        <row r="613">
          <cell r="BT613">
            <v>70000000</v>
          </cell>
        </row>
        <row r="632">
          <cell r="BT632" t="str">
            <v xml:space="preserve"> Alat Baru</v>
          </cell>
        </row>
        <row r="633">
          <cell r="BT633">
            <v>350000000</v>
          </cell>
        </row>
        <row r="652">
          <cell r="BT652" t="str">
            <v xml:space="preserve"> Alat Baru</v>
          </cell>
        </row>
        <row r="653">
          <cell r="BT653">
            <v>17500000</v>
          </cell>
        </row>
        <row r="672">
          <cell r="BT672" t="str">
            <v xml:space="preserve"> Alat Baru</v>
          </cell>
        </row>
        <row r="673">
          <cell r="BT673">
            <v>2250000000</v>
          </cell>
        </row>
        <row r="703">
          <cell r="BT703" t="str">
            <v xml:space="preserve"> Alat Baru</v>
          </cell>
        </row>
        <row r="704">
          <cell r="BT704">
            <v>15000000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2)"/>
      <sheetName val="Rekap Akhir"/>
      <sheetName val="Rekap"/>
      <sheetName val="RAB"/>
      <sheetName val="Porsi"/>
      <sheetName val="boq"/>
      <sheetName val="hsd"/>
      <sheetName val="anal_hs"/>
    </sheetNames>
    <sheetDataSet>
      <sheetData sheetId="0" refreshError="1">
        <row r="11">
          <cell r="J11">
            <v>30000</v>
          </cell>
        </row>
        <row r="24">
          <cell r="J24">
            <v>1350</v>
          </cell>
        </row>
        <row r="32">
          <cell r="J32">
            <v>50000</v>
          </cell>
        </row>
        <row r="44">
          <cell r="J44">
            <v>6500</v>
          </cell>
        </row>
        <row r="45">
          <cell r="J45">
            <v>10000</v>
          </cell>
        </row>
        <row r="62">
          <cell r="J62">
            <v>19500</v>
          </cell>
        </row>
        <row r="63">
          <cell r="J63">
            <v>15000</v>
          </cell>
        </row>
        <row r="70">
          <cell r="J70">
            <v>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nalisa2"/>
      <sheetName val="Upah Bahan"/>
      <sheetName val="RAB"/>
      <sheetName val="PERALATAN 1"/>
      <sheetName val="MEto"/>
      <sheetName val="SCHEDULE"/>
      <sheetName val="Person"/>
    </sheetNames>
    <sheetDataSet>
      <sheetData sheetId="0" refreshError="1">
        <row r="15">
          <cell r="Q15">
            <v>72028.472972799995</v>
          </cell>
        </row>
        <row r="26">
          <cell r="Q26">
            <v>78588.366720000005</v>
          </cell>
        </row>
      </sheetData>
      <sheetData sheetId="1" refreshError="1"/>
      <sheetData sheetId="2" refreshError="1">
        <row r="16">
          <cell r="F16">
            <v>28800</v>
          </cell>
        </row>
        <row r="40">
          <cell r="F40">
            <v>62000</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umum"/>
      <sheetName val="div-1"/>
      <sheetName val="div-3"/>
      <sheetName val="div-4"/>
      <sheetName val="div-5"/>
      <sheetName val="div-6a"/>
      <sheetName val="div-6b"/>
      <sheetName val="div-7a"/>
      <sheetName val="div-7b"/>
      <sheetName val="div-8"/>
      <sheetName val="div-9"/>
      <sheetName val="div-10a"/>
      <sheetName val="div-10b"/>
      <sheetName val="Basic"/>
      <sheetName val="Quarry"/>
      <sheetName val="Agg. Halus &amp; Kasar"/>
      <sheetName val="Agg. A"/>
      <sheetName val="Agg. B"/>
      <sheetName val="Agg.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t"/>
      <sheetName val="Sheet5"/>
      <sheetName val="Sheet2"/>
      <sheetName val="Sheet3"/>
      <sheetName val="Sheet4"/>
      <sheetName val="Rekap"/>
      <sheetName val="Wkt Plksanaan"/>
      <sheetName val="boq"/>
      <sheetName val="umum"/>
      <sheetName val="div-1"/>
      <sheetName val="3-vs2"/>
      <sheetName val="div-2"/>
      <sheetName val="div-3"/>
      <sheetName val="div-3-1"/>
      <sheetName val="div-4"/>
      <sheetName val="div-5"/>
      <sheetName val="UPAH"/>
      <sheetName val="AN-K"/>
      <sheetName val="AN-K805"/>
      <sheetName val="AN-BOW"/>
      <sheetName val="BAHAN"/>
      <sheetName val="Bahan Sheep"/>
      <sheetName val="BAHAN (ok)"/>
      <sheetName val="div-6a"/>
      <sheetName val="div-6b"/>
      <sheetName val="beton"/>
      <sheetName val="div-7a"/>
      <sheetName val="div-7b"/>
      <sheetName val="div-8"/>
      <sheetName val="div-8-1"/>
      <sheetName val="div-9"/>
      <sheetName val="div-10a"/>
      <sheetName val="div-10b"/>
      <sheetName val="Basic"/>
      <sheetName val="Quarry"/>
      <sheetName val="Agg. Halus &amp; Kasar"/>
      <sheetName val="Agg. A"/>
      <sheetName val="Agg. B"/>
      <sheetName val="Agg. C"/>
      <sheetName val="Sheet1"/>
      <sheetName val="UP MINOR"/>
      <sheetName val="Daftar Harga"/>
      <sheetName val="Daftar Upah"/>
      <sheetName val="escon"/>
      <sheetName val="Factor"/>
      <sheetName val="Analisa"/>
      <sheetName val="rab"/>
      <sheetName val="MAP"/>
      <sheetName val="RKP"/>
      <sheetName val="JUDUL"/>
    </sheetNames>
    <sheetDataSet>
      <sheetData sheetId="0" refreshError="1">
        <row r="1">
          <cell r="A1" t="str">
            <v>URAIAN ANALISA ALAT</v>
          </cell>
        </row>
        <row r="8">
          <cell r="AW8">
            <v>1437745.8491325765</v>
          </cell>
        </row>
        <row r="9">
          <cell r="AW9">
            <v>186086.65692333854</v>
          </cell>
        </row>
        <row r="10">
          <cell r="AW10">
            <v>37484.934491024178</v>
          </cell>
        </row>
        <row r="11">
          <cell r="AW11">
            <v>361501.32087966101</v>
          </cell>
        </row>
        <row r="12">
          <cell r="AW12">
            <v>73489.056253201736</v>
          </cell>
        </row>
        <row r="13">
          <cell r="AW13">
            <v>15466.905223378548</v>
          </cell>
        </row>
        <row r="14">
          <cell r="AW14">
            <v>162007.40469630476</v>
          </cell>
        </row>
        <row r="15">
          <cell r="AW15">
            <v>83919.087166806028</v>
          </cell>
        </row>
        <row r="16">
          <cell r="AW16">
            <v>95693.708518421205</v>
          </cell>
        </row>
        <row r="17">
          <cell r="AW17">
            <v>188458.267261097</v>
          </cell>
        </row>
        <row r="18">
          <cell r="AW18">
            <v>126422.54779123512</v>
          </cell>
        </row>
        <row r="19">
          <cell r="AW19">
            <v>107875.3045011122</v>
          </cell>
        </row>
        <row r="20">
          <cell r="AW20">
            <v>265341.93613225233</v>
          </cell>
        </row>
        <row r="21">
          <cell r="AW21">
            <v>209607.93360775028</v>
          </cell>
        </row>
        <row r="22">
          <cell r="AW22">
            <v>258296.4625204099</v>
          </cell>
        </row>
        <row r="23">
          <cell r="AW23">
            <v>78295.571657396067</v>
          </cell>
        </row>
        <row r="24">
          <cell r="AW24">
            <v>101286.66094309572</v>
          </cell>
        </row>
        <row r="25">
          <cell r="AW25">
            <v>139001.87823398941</v>
          </cell>
        </row>
        <row r="26">
          <cell r="AW26">
            <v>187756.46011572256</v>
          </cell>
          <cell r="BO26" t="str">
            <v xml:space="preserve"> Alat Baru</v>
          </cell>
        </row>
        <row r="27">
          <cell r="AW27">
            <v>13918.547098184272</v>
          </cell>
          <cell r="BO27">
            <v>2562451872</v>
          </cell>
        </row>
        <row r="28">
          <cell r="AW28">
            <v>530087.67129373446</v>
          </cell>
        </row>
        <row r="29">
          <cell r="AW29">
            <v>13371.398061798893</v>
          </cell>
        </row>
        <row r="30">
          <cell r="AW30">
            <v>77460.864959366634</v>
          </cell>
        </row>
        <row r="31">
          <cell r="AW31">
            <v>30280.440226021026</v>
          </cell>
        </row>
        <row r="32">
          <cell r="AW32">
            <v>15668.516107747953</v>
          </cell>
        </row>
        <row r="33">
          <cell r="AW33">
            <v>186786.31546833669</v>
          </cell>
        </row>
        <row r="34">
          <cell r="AW34">
            <v>76937.593308381358</v>
          </cell>
        </row>
        <row r="35">
          <cell r="AW35">
            <v>67660.591600635147</v>
          </cell>
        </row>
        <row r="36">
          <cell r="AW36">
            <v>106475.71155585925</v>
          </cell>
        </row>
        <row r="37">
          <cell r="AW37">
            <v>32125.690255047659</v>
          </cell>
        </row>
        <row r="38">
          <cell r="AW38">
            <v>123888.01117022999</v>
          </cell>
        </row>
        <row r="39">
          <cell r="AW39">
            <v>26622.717206619058</v>
          </cell>
        </row>
        <row r="40">
          <cell r="AW40">
            <v>507863.61772698874</v>
          </cell>
        </row>
        <row r="46">
          <cell r="BO46" t="str">
            <v xml:space="preserve"> Alat Baru</v>
          </cell>
        </row>
        <row r="47">
          <cell r="BO47">
            <v>770982966</v>
          </cell>
        </row>
        <row r="66">
          <cell r="BO66" t="str">
            <v xml:space="preserve"> Alat Baru</v>
          </cell>
        </row>
        <row r="67">
          <cell r="BO67">
            <v>106751488</v>
          </cell>
        </row>
        <row r="86">
          <cell r="BO86" t="str">
            <v xml:space="preserve"> Alat Baru</v>
          </cell>
        </row>
        <row r="87">
          <cell r="BO87">
            <v>1332600000</v>
          </cell>
        </row>
        <row r="106">
          <cell r="BO106" t="str">
            <v xml:space="preserve"> Alat Baru</v>
          </cell>
        </row>
        <row r="107">
          <cell r="BO107">
            <v>158150352</v>
          </cell>
        </row>
        <row r="126">
          <cell r="BO126" t="str">
            <v xml:space="preserve"> Alat Baru</v>
          </cell>
        </row>
        <row r="127">
          <cell r="BO127">
            <v>9367148</v>
          </cell>
        </row>
        <row r="146">
          <cell r="BO146" t="str">
            <v xml:space="preserve"> Alat Baru</v>
          </cell>
        </row>
        <row r="147">
          <cell r="BO147">
            <v>434913468</v>
          </cell>
        </row>
        <row r="166">
          <cell r="BO166" t="str">
            <v xml:space="preserve"> Alat Baru</v>
          </cell>
        </row>
        <row r="167">
          <cell r="BO167">
            <v>171566704</v>
          </cell>
        </row>
        <row r="186">
          <cell r="BO186" t="str">
            <v xml:space="preserve"> Alat Baru</v>
          </cell>
        </row>
        <row r="187">
          <cell r="BO187">
            <v>184877913</v>
          </cell>
        </row>
        <row r="206">
          <cell r="BO206" t="str">
            <v xml:space="preserve"> Alat Baru</v>
          </cell>
        </row>
        <row r="207">
          <cell r="BO207">
            <v>666300000</v>
          </cell>
        </row>
        <row r="226">
          <cell r="BO226" t="str">
            <v xml:space="preserve"> Alat Baru</v>
          </cell>
        </row>
        <row r="227">
          <cell r="BO227">
            <v>363286806</v>
          </cell>
        </row>
        <row r="246">
          <cell r="BO246" t="str">
            <v xml:space="preserve"> Alat Baru</v>
          </cell>
        </row>
        <row r="247">
          <cell r="BO247">
            <v>155470000</v>
          </cell>
        </row>
        <row r="266">
          <cell r="BO266" t="str">
            <v xml:space="preserve"> Alat Baru</v>
          </cell>
        </row>
        <row r="267">
          <cell r="BO267">
            <v>932820000</v>
          </cell>
        </row>
        <row r="286">
          <cell r="BO286" t="str">
            <v xml:space="preserve"> Alat Baru</v>
          </cell>
        </row>
        <row r="287">
          <cell r="BO287">
            <v>747260413</v>
          </cell>
        </row>
        <row r="306">
          <cell r="BO306" t="str">
            <v xml:space="preserve"> Alat Baru</v>
          </cell>
        </row>
        <row r="307">
          <cell r="BO307">
            <v>932820000</v>
          </cell>
        </row>
        <row r="326">
          <cell r="BO326" t="str">
            <v xml:space="preserve"> Alat Baru</v>
          </cell>
        </row>
        <row r="327">
          <cell r="BO327">
            <v>221410493</v>
          </cell>
        </row>
        <row r="346">
          <cell r="BO346" t="str">
            <v xml:space="preserve"> Alat Baru</v>
          </cell>
        </row>
        <row r="347">
          <cell r="BO347">
            <v>332115739</v>
          </cell>
        </row>
        <row r="366">
          <cell r="BO366" t="str">
            <v xml:space="preserve"> Alat Baru</v>
          </cell>
        </row>
        <row r="367">
          <cell r="BO367">
            <v>434913468</v>
          </cell>
        </row>
        <row r="386">
          <cell r="BO386" t="str">
            <v xml:space="preserve"> Alat Baru</v>
          </cell>
        </row>
        <row r="387">
          <cell r="BO387">
            <v>604112000</v>
          </cell>
        </row>
        <row r="406">
          <cell r="BO406" t="str">
            <v xml:space="preserve"> Alat Baru</v>
          </cell>
        </row>
        <row r="407">
          <cell r="BO407">
            <v>4683574</v>
          </cell>
        </row>
        <row r="426">
          <cell r="BO426" t="str">
            <v xml:space="preserve"> Alat Baru</v>
          </cell>
        </row>
        <row r="427">
          <cell r="BO427">
            <v>1943272449</v>
          </cell>
        </row>
        <row r="446">
          <cell r="BO446" t="str">
            <v xml:space="preserve"> Alat Baru</v>
          </cell>
        </row>
        <row r="447">
          <cell r="BO447">
            <v>8627636</v>
          </cell>
        </row>
        <row r="466">
          <cell r="BO466" t="str">
            <v xml:space="preserve"> Alat Baru</v>
          </cell>
        </row>
        <row r="467">
          <cell r="BO467">
            <v>142335317</v>
          </cell>
        </row>
        <row r="486">
          <cell r="BO486" t="str">
            <v xml:space="preserve"> Alat Baru</v>
          </cell>
        </row>
        <row r="487">
          <cell r="BO487">
            <v>73144538</v>
          </cell>
        </row>
        <row r="506">
          <cell r="BO506" t="str">
            <v xml:space="preserve"> Alat Baru</v>
          </cell>
        </row>
        <row r="507">
          <cell r="BO507">
            <v>11861276</v>
          </cell>
        </row>
        <row r="526">
          <cell r="BO526" t="str">
            <v xml:space="preserve"> Alat Baru</v>
          </cell>
        </row>
        <row r="527">
          <cell r="BO527">
            <v>349141200</v>
          </cell>
        </row>
        <row r="546">
          <cell r="BO546" t="str">
            <v xml:space="preserve"> Alat Baru</v>
          </cell>
        </row>
        <row r="547">
          <cell r="BO547">
            <v>181872905</v>
          </cell>
        </row>
        <row r="566">
          <cell r="BO566" t="str">
            <v xml:space="preserve"> Alat Baru</v>
          </cell>
        </row>
        <row r="567">
          <cell r="BO567">
            <v>112500000</v>
          </cell>
        </row>
        <row r="586">
          <cell r="BO586" t="str">
            <v xml:space="preserve"> Alat Baru</v>
          </cell>
        </row>
        <row r="587">
          <cell r="BO587">
            <v>166250000</v>
          </cell>
        </row>
        <row r="606">
          <cell r="BO606" t="str">
            <v xml:space="preserve"> Alat Baru</v>
          </cell>
        </row>
        <row r="607">
          <cell r="BO607">
            <v>70000000</v>
          </cell>
        </row>
        <row r="626">
          <cell r="BO626" t="str">
            <v xml:space="preserve"> Alat Baru</v>
          </cell>
        </row>
        <row r="627">
          <cell r="BO627">
            <v>350000000</v>
          </cell>
        </row>
        <row r="646">
          <cell r="BO646" t="str">
            <v xml:space="preserve"> Alat Baru</v>
          </cell>
        </row>
        <row r="647">
          <cell r="BO647">
            <v>17500000</v>
          </cell>
        </row>
        <row r="666">
          <cell r="BO666" t="str">
            <v xml:space="preserve"> Alat Baru</v>
          </cell>
        </row>
        <row r="667">
          <cell r="BO667">
            <v>2250000000</v>
          </cell>
        </row>
        <row r="697">
          <cell r="BO697" t="str">
            <v xml:space="preserve"> Alat Baru</v>
          </cell>
        </row>
        <row r="698">
          <cell r="BO698">
            <v>15000000</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TOTAL"/>
      <sheetName val="RUANG PERAWATAN"/>
      <sheetName val="RUANG GIZI"/>
      <sheetName val="RUANG LOUNDRY"/>
      <sheetName val="Analisa"/>
      <sheetName val="Harga"/>
    </sheetNames>
    <sheetDataSet>
      <sheetData sheetId="0"/>
      <sheetData sheetId="1"/>
      <sheetData sheetId="2"/>
      <sheetData sheetId="3"/>
      <sheetData sheetId="4">
        <row r="160">
          <cell r="J160">
            <v>772777.6</v>
          </cell>
        </row>
      </sheetData>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nalisa2"/>
      <sheetName val="Upah Bahan"/>
      <sheetName val="RAB"/>
      <sheetName val="PERALATAN 1"/>
      <sheetName val="MEto"/>
      <sheetName val="SCHEDULE"/>
      <sheetName val="Person"/>
    </sheetNames>
    <sheetDataSet>
      <sheetData sheetId="0" refreshError="1">
        <row r="15">
          <cell r="Q15">
            <v>72028.472972799995</v>
          </cell>
        </row>
        <row r="26">
          <cell r="Q26">
            <v>78588.366720000005</v>
          </cell>
        </row>
      </sheetData>
      <sheetData sheetId="1" refreshError="1"/>
      <sheetData sheetId="2" refreshError="1">
        <row r="16">
          <cell r="F16">
            <v>28800</v>
          </cell>
        </row>
        <row r="40">
          <cell r="F40">
            <v>62000</v>
          </cell>
        </row>
        <row r="41">
          <cell r="F41">
            <v>77500</v>
          </cell>
        </row>
      </sheetData>
      <sheetData sheetId="3" refreshError="1"/>
      <sheetData sheetId="4" refreshError="1"/>
      <sheetData sheetId="5" refreshError="1"/>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umum"/>
      <sheetName val="div-1"/>
      <sheetName val="3-vs2"/>
      <sheetName val="div-2"/>
      <sheetName val="div-4"/>
      <sheetName val="div-5"/>
      <sheetName val="div-6a"/>
      <sheetName val="div-7a"/>
      <sheetName val="div-7b"/>
      <sheetName val="UPAH"/>
      <sheetName val="ALAT"/>
      <sheetName val="BAHAN"/>
      <sheetName val="AN-K"/>
      <sheetName val="AN-K805"/>
      <sheetName val="AN-BOW"/>
      <sheetName val="div-6b"/>
      <sheetName val="div-8"/>
      <sheetName val="div-9"/>
      <sheetName val="div-10a"/>
      <sheetName val="div-10b"/>
      <sheetName val="Basic"/>
      <sheetName val="Quarry"/>
      <sheetName val="Agg. Halus &amp; Kasar"/>
      <sheetName val="Agg. A"/>
      <sheetName val="Agg. B"/>
      <sheetName val="Agg. C"/>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ow r="42">
          <cell r="F42">
            <v>69300</v>
          </cell>
        </row>
        <row r="48">
          <cell r="F48">
            <v>852.97880000000009</v>
          </cell>
        </row>
      </sheetData>
      <sheetData sheetId="23"/>
      <sheetData sheetId="24" refreshError="1"/>
      <sheetData sheetId="25" refreshError="1"/>
      <sheetData sheetId="26"/>
      <sheetData sheetId="2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AWATAN"/>
      <sheetName val="Jadwal Perawatan"/>
      <sheetName val="PERSALINAN"/>
      <sheetName val="Jadwal Persalinan"/>
      <sheetName val="Hit. Volume"/>
      <sheetName val="ANALISA"/>
      <sheetName val="HARGA"/>
    </sheetNames>
    <sheetDataSet>
      <sheetData sheetId="0"/>
      <sheetData sheetId="1"/>
      <sheetData sheetId="2"/>
      <sheetData sheetId="3"/>
      <sheetData sheetId="4"/>
      <sheetData sheetId="5">
        <row r="12">
          <cell r="B12" t="str">
            <v>PEKERJAAN TANAH</v>
          </cell>
        </row>
      </sheetData>
      <sheetData sheetId="6">
        <row r="7">
          <cell r="E7">
            <v>55000</v>
          </cell>
        </row>
        <row r="100">
          <cell r="E100">
            <v>90000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Rekapi"/>
      <sheetName val="AHS"/>
      <sheetName val="Bul"/>
      <sheetName val="Alat"/>
      <sheetName val="Subkont"/>
      <sheetName val="Bahan"/>
      <sheetName val="Upah1"/>
      <sheetName val="Rekap"/>
      <sheetName val="Bang A"/>
      <sheetName val="Bang B"/>
      <sheetName val="Sarana"/>
      <sheetName val="Asrama"/>
      <sheetName val="Utility"/>
      <sheetName val="Kamar"/>
      <sheetName val="Material"/>
      <sheetName val="Upah"/>
      <sheetName val="Analisa"/>
      <sheetName val="BQ PLAMBING - SEMANAN"/>
      <sheetName val="SAT"/>
      <sheetName val="Anal"/>
      <sheetName val="REK"/>
      <sheetName val="Bill rekap"/>
      <sheetName val="Bill of Qty"/>
      <sheetName val="BQ-RSUD1"/>
      <sheetName val="Bahan "/>
      <sheetName val="Pekerjaan "/>
      <sheetName val="DivVII"/>
      <sheetName val="Harga Satuan"/>
      <sheetName val="Bldg"/>
      <sheetName val="_bhn_uph"/>
      <sheetName val="HARGA ALAT"/>
      <sheetName val="Plumbing"/>
      <sheetName val="Elektronik"/>
      <sheetName val="Electrikal"/>
      <sheetName val="AC"/>
      <sheetName val="Fire Fighting"/>
      <sheetName val="Item Kompensasi"/>
      <sheetName val="DAFTAR HARGA"/>
      <sheetName val="ESCON"/>
      <sheetName val="Cover"/>
      <sheetName val="HRG BHN"/>
      <sheetName val="BO alat"/>
      <sheetName val="I-KAMAR"/>
      <sheetName val="Bang_A"/>
      <sheetName val="Bang_B"/>
      <sheetName val="BQ_PLAMBING_-_SEMANAN"/>
      <sheetName val="bq"/>
      <sheetName val="Sheet1"/>
      <sheetName val="DivX"/>
      <sheetName val="ANAL KOEF"/>
      <sheetName val="DivVI"/>
      <sheetName val="Analisa Gabungan"/>
      <sheetName val="Sub"/>
      <sheetName val="BQ-E20-02(Rp)"/>
      <sheetName val="chitimc"/>
      <sheetName val="dongia (2)"/>
      <sheetName val="giathanh1"/>
      <sheetName val="THPDMoi  (2)"/>
      <sheetName val="gtrinh"/>
      <sheetName val="phuluc1"/>
      <sheetName val="TONG HOP VL-NC"/>
      <sheetName val="lam-moi"/>
      <sheetName val="#REF"/>
      <sheetName val="DONGIA"/>
      <sheetName val="chitiet"/>
      <sheetName val="thao-go"/>
      <sheetName val="DON GIA"/>
      <sheetName val="TONGKE-HT"/>
      <sheetName val="DG"/>
      <sheetName val="dtxl"/>
      <sheetName val="t-h HA THE"/>
      <sheetName val="CHITIET VL-NC-TT -1p"/>
      <sheetName val="TONG HOP VL-NC TT"/>
      <sheetName val="TH XL"/>
      <sheetName val="TONGKE3p "/>
      <sheetName val="VC"/>
      <sheetName val="CHITIET VL-NC-TT-3p"/>
      <sheetName val="TDTKP1"/>
      <sheetName val="KPVC-BD "/>
      <sheetName val="VCV-BE-TONG"/>
      <sheetName val="CHITIET VL-NC"/>
      <sheetName val="H.Satuan"/>
      <sheetName val="QTO-11P"/>
      <sheetName val="304_06"/>
      <sheetName val="Bangunan Utama"/>
      <sheetName val="RAB-NEGO"/>
      <sheetName val="Harsat"/>
      <sheetName val="Bhn"/>
      <sheetName val="UP_an"/>
      <sheetName val="ELEC STIS"/>
      <sheetName val="BoQ C4"/>
      <sheetName val="ANALISA (2)"/>
      <sheetName val="BQ-1A"/>
      <sheetName val="LS-Rutin"/>
      <sheetName val="GTS I PS"/>
      <sheetName val="str"/>
      <sheetName val="UPH,BHN,ALT"/>
      <sheetName val="Analis harga"/>
      <sheetName val="Vibro_Roller"/>
      <sheetName val="LKVL-CK-HT-GD1"/>
      <sheetName val="TH VL, NC, DDHT Thanhphuoc"/>
      <sheetName val="TNHCHINH"/>
      <sheetName val="Tiepdia"/>
      <sheetName val="TDTKP"/>
      <sheetName val="Sat Bah &amp; Up"/>
      <sheetName val="TE TS FA LAN MATV"/>
      <sheetName val="Ch"/>
      <sheetName val="SDY"/>
      <sheetName val="Perhitungan RAB"/>
      <sheetName val="Lamp.2,3&amp;4"/>
      <sheetName val="Peralatan"/>
      <sheetName val="Analisa Quarry"/>
      <sheetName val="Informasi"/>
      <sheetName val="SAT-BHN"/>
      <sheetName val="SAP"/>
      <sheetName val="daf-3(OK)"/>
      <sheetName val="daf-7(OK)"/>
      <sheetName val="daf_3_OK_"/>
      <sheetName val="daf_7_OK_"/>
      <sheetName val="Harga"/>
      <sheetName val="Mall"/>
      <sheetName val="Analisa-S"/>
      <sheetName val="MATERIAL-UPAH"/>
      <sheetName val="LAL - PASAR PAGI "/>
      <sheetName val="BAG_2"/>
      <sheetName val="Basic Price"/>
      <sheetName val="BOQ-Indonesia"/>
      <sheetName val="8LT 12"/>
      <sheetName val="H-BHN"/>
      <sheetName val="HB"/>
      <sheetName val="Pipe"/>
      <sheetName val="Surat"/>
      <sheetName val="Input"/>
      <sheetName val="NAME"/>
      <sheetName val="DAF-1"/>
      <sheetName val="A LIS"/>
      <sheetName val="A REKAP"/>
      <sheetName val="struktur tdk dipakai"/>
      <sheetName val="Prelim"/>
      <sheetName val="Daf-harga"/>
      <sheetName val="DATA"/>
      <sheetName val="MAIN BQ"/>
      <sheetName val="DAF_7"/>
      <sheetName val="COST-SUM"/>
      <sheetName val="S.UPAH"/>
      <sheetName val="FLAF&amp;PARTSI"/>
      <sheetName val="D-1"/>
      <sheetName val="UPAH _ ALAT"/>
      <sheetName val="D3.1"/>
      <sheetName val="Metode"/>
      <sheetName val="Hrg.Sat"/>
      <sheetName val="SEX"/>
      <sheetName val="SCH"/>
      <sheetName val="DAF-7"/>
      <sheetName val="REKAP BQ"/>
      <sheetName val="Harsat Bah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sheetNames>
    <sheetDataSet>
      <sheetData sheetId="0">
        <row r="10">
          <cell r="J10" t="str">
            <v>1</v>
          </cell>
          <cell r="L10">
            <v>3</v>
          </cell>
        </row>
        <row r="12">
          <cell r="J12">
            <v>31</v>
          </cell>
          <cell r="L12">
            <v>31</v>
          </cell>
        </row>
        <row r="15">
          <cell r="J15">
            <v>360000</v>
          </cell>
          <cell r="L15">
            <v>360000</v>
          </cell>
        </row>
        <row r="16">
          <cell r="J16">
            <v>1296000</v>
          </cell>
          <cell r="L16">
            <v>1296000</v>
          </cell>
        </row>
        <row r="17">
          <cell r="J17">
            <v>864000</v>
          </cell>
          <cell r="L17">
            <v>864000</v>
          </cell>
        </row>
        <row r="18">
          <cell r="J18">
            <v>3600000</v>
          </cell>
          <cell r="L18">
            <v>3600000</v>
          </cell>
        </row>
        <row r="19">
          <cell r="J19">
            <v>1440000</v>
          </cell>
          <cell r="L19">
            <v>1440000</v>
          </cell>
        </row>
        <row r="20">
          <cell r="J20">
            <v>450000</v>
          </cell>
          <cell r="L20">
            <v>450000</v>
          </cell>
        </row>
        <row r="21">
          <cell r="J21">
            <v>0</v>
          </cell>
          <cell r="L21">
            <v>0</v>
          </cell>
        </row>
        <row r="22">
          <cell r="J22">
            <v>0</v>
          </cell>
          <cell r="L22">
            <v>0</v>
          </cell>
        </row>
        <row r="23">
          <cell r="J23">
            <v>2400000</v>
          </cell>
          <cell r="L23">
            <v>2400000</v>
          </cell>
        </row>
        <row r="24">
          <cell r="J24">
            <v>0</v>
          </cell>
          <cell r="L24">
            <v>0</v>
          </cell>
        </row>
        <row r="25">
          <cell r="J25">
            <v>0</v>
          </cell>
          <cell r="L25">
            <v>2800000</v>
          </cell>
        </row>
        <row r="26">
          <cell r="J26">
            <v>0</v>
          </cell>
          <cell r="L26">
            <v>1400000</v>
          </cell>
        </row>
        <row r="27">
          <cell r="J27">
            <v>0</v>
          </cell>
          <cell r="L27">
            <v>0</v>
          </cell>
        </row>
        <row r="28">
          <cell r="J28">
            <v>0</v>
          </cell>
          <cell r="L28">
            <v>700000</v>
          </cell>
        </row>
        <row r="29">
          <cell r="J29">
            <v>0</v>
          </cell>
          <cell r="L29">
            <v>1400000</v>
          </cell>
        </row>
        <row r="30">
          <cell r="J30">
            <v>450000</v>
          </cell>
          <cell r="L30">
            <v>900000</v>
          </cell>
        </row>
        <row r="31">
          <cell r="J31">
            <v>0</v>
          </cell>
          <cell r="L31">
            <v>0</v>
          </cell>
        </row>
        <row r="32">
          <cell r="J32">
            <v>0</v>
          </cell>
          <cell r="L32">
            <v>0</v>
          </cell>
        </row>
        <row r="33">
          <cell r="J33">
            <v>0</v>
          </cell>
          <cell r="L33">
            <v>0</v>
          </cell>
        </row>
        <row r="34">
          <cell r="J34">
            <v>2400000</v>
          </cell>
          <cell r="L34">
            <v>2400000</v>
          </cell>
        </row>
        <row r="35">
          <cell r="J35">
            <v>1400000</v>
          </cell>
          <cell r="L35">
            <v>1400000</v>
          </cell>
        </row>
        <row r="36">
          <cell r="J36">
            <v>1400000</v>
          </cell>
          <cell r="L36">
            <v>1400000</v>
          </cell>
        </row>
        <row r="37">
          <cell r="J37">
            <v>1400000</v>
          </cell>
          <cell r="L37">
            <v>1400000</v>
          </cell>
        </row>
        <row r="38">
          <cell r="J38">
            <v>1400000</v>
          </cell>
          <cell r="L38">
            <v>1400000</v>
          </cell>
        </row>
        <row r="39">
          <cell r="J39">
            <v>450000</v>
          </cell>
          <cell r="L39">
            <v>450000</v>
          </cell>
        </row>
        <row r="40">
          <cell r="J40">
            <v>0</v>
          </cell>
          <cell r="L40">
            <v>0</v>
          </cell>
        </row>
        <row r="41">
          <cell r="J41">
            <v>0</v>
          </cell>
          <cell r="L41">
            <v>0</v>
          </cell>
        </row>
        <row r="42">
          <cell r="J42">
            <v>0</v>
          </cell>
          <cell r="L42">
            <v>0</v>
          </cell>
        </row>
        <row r="43">
          <cell r="J43">
            <v>200000</v>
          </cell>
          <cell r="L43">
            <v>200000</v>
          </cell>
        </row>
        <row r="44">
          <cell r="J44">
            <v>160000</v>
          </cell>
          <cell r="L44">
            <v>160000</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AT"/>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s>
    <sheetDataSet>
      <sheetData sheetId="0" refreshError="1">
        <row r="10">
          <cell r="J10" t="str">
            <v>1</v>
          </cell>
          <cell r="L10">
            <v>3</v>
          </cell>
          <cell r="M10">
            <v>4</v>
          </cell>
          <cell r="N10">
            <v>5</v>
          </cell>
          <cell r="O10">
            <v>6</v>
          </cell>
          <cell r="P10">
            <v>7</v>
          </cell>
          <cell r="R10">
            <v>9</v>
          </cell>
          <cell r="S10">
            <v>10</v>
          </cell>
        </row>
        <row r="12">
          <cell r="J12">
            <v>31</v>
          </cell>
          <cell r="L12">
            <v>31</v>
          </cell>
          <cell r="M12">
            <v>30</v>
          </cell>
          <cell r="N12">
            <v>31</v>
          </cell>
          <cell r="O12">
            <v>30</v>
          </cell>
          <cell r="P12">
            <v>31</v>
          </cell>
          <cell r="R12">
            <v>30</v>
          </cell>
          <cell r="S12">
            <v>31</v>
          </cell>
        </row>
        <row r="13">
          <cell r="J13">
            <v>1</v>
          </cell>
          <cell r="L13">
            <v>1</v>
          </cell>
          <cell r="M13">
            <v>1</v>
          </cell>
          <cell r="N13">
            <v>1</v>
          </cell>
          <cell r="O13">
            <v>1</v>
          </cell>
          <cell r="P13">
            <v>1</v>
          </cell>
          <cell r="R13">
            <v>1</v>
          </cell>
          <cell r="S13">
            <v>1</v>
          </cell>
        </row>
        <row r="14">
          <cell r="J14">
            <v>0</v>
          </cell>
          <cell r="L14">
            <v>0</v>
          </cell>
          <cell r="M14">
            <v>0</v>
          </cell>
          <cell r="N14">
            <v>0</v>
          </cell>
          <cell r="O14">
            <v>0</v>
          </cell>
          <cell r="P14">
            <v>0</v>
          </cell>
          <cell r="R14">
            <v>0</v>
          </cell>
          <cell r="S14">
            <v>0</v>
          </cell>
        </row>
        <row r="15">
          <cell r="J15">
            <v>0.05</v>
          </cell>
          <cell r="L15">
            <v>0.05</v>
          </cell>
          <cell r="M15">
            <v>0.05</v>
          </cell>
          <cell r="N15">
            <v>0.05</v>
          </cell>
          <cell r="O15">
            <v>0.05</v>
          </cell>
          <cell r="P15">
            <v>0.05</v>
          </cell>
          <cell r="R15">
            <v>0.05</v>
          </cell>
          <cell r="S15">
            <v>0.05</v>
          </cell>
        </row>
        <row r="16">
          <cell r="J16">
            <v>0.3</v>
          </cell>
          <cell r="L16">
            <v>0.3</v>
          </cell>
          <cell r="M16">
            <v>0.3</v>
          </cell>
          <cell r="N16">
            <v>0.3</v>
          </cell>
          <cell r="O16">
            <v>0.3</v>
          </cell>
          <cell r="P16">
            <v>0.3</v>
          </cell>
          <cell r="R16">
            <v>0.3</v>
          </cell>
          <cell r="S16">
            <v>0.3</v>
          </cell>
        </row>
        <row r="17">
          <cell r="J17">
            <v>0.2</v>
          </cell>
          <cell r="L17">
            <v>0.2</v>
          </cell>
          <cell r="M17">
            <v>0.2</v>
          </cell>
          <cell r="N17">
            <v>0.2</v>
          </cell>
          <cell r="O17">
            <v>0.2</v>
          </cell>
          <cell r="P17">
            <v>0.2</v>
          </cell>
          <cell r="R17">
            <v>0.2</v>
          </cell>
          <cell r="S17">
            <v>0.2</v>
          </cell>
        </row>
        <row r="18">
          <cell r="J18">
            <v>1</v>
          </cell>
          <cell r="L18">
            <v>1</v>
          </cell>
          <cell r="M18">
            <v>1</v>
          </cell>
          <cell r="N18">
            <v>1</v>
          </cell>
          <cell r="O18">
            <v>1</v>
          </cell>
          <cell r="P18">
            <v>1</v>
          </cell>
          <cell r="R18">
            <v>1</v>
          </cell>
          <cell r="S18">
            <v>1</v>
          </cell>
        </row>
        <row r="19">
          <cell r="J19">
            <v>2</v>
          </cell>
          <cell r="L19">
            <v>2</v>
          </cell>
          <cell r="M19">
            <v>2</v>
          </cell>
          <cell r="N19">
            <v>2</v>
          </cell>
          <cell r="O19">
            <v>2</v>
          </cell>
          <cell r="P19">
            <v>2</v>
          </cell>
          <cell r="R19">
            <v>2</v>
          </cell>
          <cell r="S19">
            <v>2</v>
          </cell>
        </row>
        <row r="20">
          <cell r="J20">
            <v>1</v>
          </cell>
          <cell r="L20">
            <v>1</v>
          </cell>
          <cell r="M20">
            <v>1</v>
          </cell>
          <cell r="N20">
            <v>1</v>
          </cell>
          <cell r="O20">
            <v>1</v>
          </cell>
          <cell r="P20">
            <v>1</v>
          </cell>
          <cell r="R20">
            <v>1</v>
          </cell>
          <cell r="S20">
            <v>1</v>
          </cell>
        </row>
        <row r="23">
          <cell r="J23">
            <v>1</v>
          </cell>
          <cell r="L23">
            <v>1</v>
          </cell>
          <cell r="M23">
            <v>1</v>
          </cell>
          <cell r="N23">
            <v>1</v>
          </cell>
          <cell r="O23">
            <v>1</v>
          </cell>
          <cell r="P23">
            <v>1</v>
          </cell>
          <cell r="R23">
            <v>1</v>
          </cell>
          <cell r="S23">
            <v>1</v>
          </cell>
        </row>
        <row r="24">
          <cell r="J24">
            <v>0</v>
          </cell>
          <cell r="L24">
            <v>0</v>
          </cell>
          <cell r="M24">
            <v>0</v>
          </cell>
          <cell r="N24">
            <v>3</v>
          </cell>
          <cell r="O24">
            <v>3</v>
          </cell>
          <cell r="P24">
            <v>3</v>
          </cell>
          <cell r="R24">
            <v>3</v>
          </cell>
          <cell r="S24">
            <v>3</v>
          </cell>
        </row>
        <row r="25">
          <cell r="J25">
            <v>0</v>
          </cell>
          <cell r="L25">
            <v>2</v>
          </cell>
          <cell r="M25">
            <v>2</v>
          </cell>
          <cell r="N25">
            <v>2</v>
          </cell>
          <cell r="O25">
            <v>2</v>
          </cell>
          <cell r="P25">
            <v>2</v>
          </cell>
          <cell r="R25">
            <v>2</v>
          </cell>
          <cell r="S25">
            <v>2</v>
          </cell>
        </row>
        <row r="26">
          <cell r="J26">
            <v>0</v>
          </cell>
          <cell r="L26">
            <v>1</v>
          </cell>
          <cell r="M26">
            <v>1</v>
          </cell>
          <cell r="N26">
            <v>1</v>
          </cell>
          <cell r="O26">
            <v>1</v>
          </cell>
          <cell r="P26">
            <v>1</v>
          </cell>
          <cell r="R26">
            <v>1</v>
          </cell>
          <cell r="S26">
            <v>1</v>
          </cell>
        </row>
        <row r="27">
          <cell r="J27">
            <v>0</v>
          </cell>
          <cell r="L27">
            <v>0</v>
          </cell>
          <cell r="M27">
            <v>0</v>
          </cell>
          <cell r="N27">
            <v>1</v>
          </cell>
          <cell r="O27">
            <v>1</v>
          </cell>
          <cell r="P27">
            <v>1</v>
          </cell>
          <cell r="R27">
            <v>1</v>
          </cell>
          <cell r="S27">
            <v>1</v>
          </cell>
        </row>
        <row r="28">
          <cell r="J28">
            <v>0</v>
          </cell>
          <cell r="L28">
            <v>0.5</v>
          </cell>
          <cell r="M28">
            <v>0.5</v>
          </cell>
          <cell r="N28">
            <v>0.5</v>
          </cell>
          <cell r="O28">
            <v>0.5</v>
          </cell>
          <cell r="P28">
            <v>0.5</v>
          </cell>
          <cell r="R28">
            <v>0.5</v>
          </cell>
          <cell r="S28">
            <v>0.5</v>
          </cell>
        </row>
        <row r="29">
          <cell r="J29">
            <v>0</v>
          </cell>
          <cell r="L29">
            <v>1</v>
          </cell>
          <cell r="M29">
            <v>1</v>
          </cell>
          <cell r="N29">
            <v>1</v>
          </cell>
          <cell r="O29">
            <v>1</v>
          </cell>
          <cell r="P29">
            <v>1</v>
          </cell>
          <cell r="R29">
            <v>1</v>
          </cell>
          <cell r="S29">
            <v>1</v>
          </cell>
        </row>
        <row r="30">
          <cell r="J30">
            <v>1</v>
          </cell>
          <cell r="L30">
            <v>2</v>
          </cell>
          <cell r="M30">
            <v>2</v>
          </cell>
          <cell r="N30">
            <v>2</v>
          </cell>
          <cell r="O30">
            <v>2</v>
          </cell>
          <cell r="P30">
            <v>2</v>
          </cell>
          <cell r="R30">
            <v>2</v>
          </cell>
          <cell r="S30">
            <v>2</v>
          </cell>
        </row>
        <row r="34">
          <cell r="J34">
            <v>1</v>
          </cell>
          <cell r="L34">
            <v>1</v>
          </cell>
          <cell r="M34">
            <v>1</v>
          </cell>
          <cell r="N34">
            <v>1</v>
          </cell>
          <cell r="O34">
            <v>1</v>
          </cell>
          <cell r="P34">
            <v>1</v>
          </cell>
          <cell r="R34">
            <v>1</v>
          </cell>
          <cell r="S34">
            <v>1</v>
          </cell>
        </row>
        <row r="35">
          <cell r="J35">
            <v>1</v>
          </cell>
          <cell r="L35">
            <v>1</v>
          </cell>
          <cell r="M35">
            <v>1</v>
          </cell>
          <cell r="N35">
            <v>1</v>
          </cell>
          <cell r="O35">
            <v>1</v>
          </cell>
          <cell r="P35">
            <v>1</v>
          </cell>
          <cell r="R35">
            <v>1</v>
          </cell>
          <cell r="S35">
            <v>1</v>
          </cell>
        </row>
        <row r="36">
          <cell r="J36">
            <v>1</v>
          </cell>
          <cell r="L36">
            <v>1</v>
          </cell>
          <cell r="M36">
            <v>1</v>
          </cell>
          <cell r="N36">
            <v>1</v>
          </cell>
          <cell r="O36">
            <v>1</v>
          </cell>
          <cell r="P36">
            <v>1</v>
          </cell>
          <cell r="R36">
            <v>1</v>
          </cell>
          <cell r="S36">
            <v>1</v>
          </cell>
        </row>
        <row r="37">
          <cell r="J37">
            <v>1</v>
          </cell>
          <cell r="L37">
            <v>1</v>
          </cell>
          <cell r="M37">
            <v>1</v>
          </cell>
          <cell r="N37">
            <v>1</v>
          </cell>
          <cell r="O37">
            <v>1</v>
          </cell>
          <cell r="P37">
            <v>1</v>
          </cell>
          <cell r="R37">
            <v>1</v>
          </cell>
          <cell r="S37">
            <v>1</v>
          </cell>
        </row>
        <row r="38">
          <cell r="J38">
            <v>1</v>
          </cell>
          <cell r="L38">
            <v>1</v>
          </cell>
          <cell r="M38">
            <v>1</v>
          </cell>
          <cell r="N38">
            <v>1</v>
          </cell>
          <cell r="O38">
            <v>1</v>
          </cell>
          <cell r="P38">
            <v>1</v>
          </cell>
          <cell r="R38">
            <v>1</v>
          </cell>
          <cell r="S38">
            <v>1</v>
          </cell>
        </row>
        <row r="39">
          <cell r="J39">
            <v>1</v>
          </cell>
          <cell r="L39">
            <v>1</v>
          </cell>
          <cell r="M39">
            <v>1</v>
          </cell>
          <cell r="N39">
            <v>1</v>
          </cell>
          <cell r="O39">
            <v>1</v>
          </cell>
          <cell r="P39">
            <v>1</v>
          </cell>
          <cell r="R39">
            <v>1</v>
          </cell>
          <cell r="S39">
            <v>1</v>
          </cell>
        </row>
        <row r="42">
          <cell r="J42">
            <v>0</v>
          </cell>
          <cell r="L42">
            <v>0</v>
          </cell>
          <cell r="M42">
            <v>0</v>
          </cell>
          <cell r="N42">
            <v>0</v>
          </cell>
          <cell r="O42">
            <v>0</v>
          </cell>
          <cell r="P42">
            <v>0</v>
          </cell>
          <cell r="R42">
            <v>0</v>
          </cell>
          <cell r="S42">
            <v>0</v>
          </cell>
        </row>
        <row r="43">
          <cell r="J43">
            <v>1</v>
          </cell>
          <cell r="L43">
            <v>1</v>
          </cell>
          <cell r="M43">
            <v>1</v>
          </cell>
          <cell r="N43">
            <v>1</v>
          </cell>
          <cell r="O43">
            <v>1</v>
          </cell>
          <cell r="P43">
            <v>1</v>
          </cell>
          <cell r="R43">
            <v>1</v>
          </cell>
          <cell r="S43">
            <v>1</v>
          </cell>
        </row>
        <row r="44">
          <cell r="J44">
            <v>1</v>
          </cell>
          <cell r="L44">
            <v>1</v>
          </cell>
          <cell r="M44">
            <v>1</v>
          </cell>
          <cell r="N44">
            <v>1</v>
          </cell>
          <cell r="O44">
            <v>1</v>
          </cell>
          <cell r="P44">
            <v>1</v>
          </cell>
          <cell r="R44">
            <v>1</v>
          </cell>
          <cell r="S44">
            <v>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s>
    <sheetDataSet>
      <sheetData sheetId="0">
        <row r="10">
          <cell r="J10" t="str">
            <v>1</v>
          </cell>
        </row>
        <row r="12">
          <cell r="J12">
            <v>31</v>
          </cell>
        </row>
        <row r="13">
          <cell r="J13">
            <v>1</v>
          </cell>
        </row>
        <row r="14">
          <cell r="J14">
            <v>0</v>
          </cell>
        </row>
        <row r="15">
          <cell r="J15">
            <v>0.05</v>
          </cell>
        </row>
        <row r="16">
          <cell r="J16">
            <v>0.3</v>
          </cell>
        </row>
        <row r="17">
          <cell r="J17">
            <v>0.2</v>
          </cell>
        </row>
        <row r="18">
          <cell r="J18">
            <v>1</v>
          </cell>
        </row>
        <row r="19">
          <cell r="J19">
            <v>2</v>
          </cell>
        </row>
        <row r="20">
          <cell r="J20">
            <v>1</v>
          </cell>
        </row>
        <row r="23">
          <cell r="J23">
            <v>1</v>
          </cell>
        </row>
        <row r="24">
          <cell r="J24">
            <v>0</v>
          </cell>
        </row>
        <row r="25">
          <cell r="J25">
            <v>0</v>
          </cell>
        </row>
        <row r="26">
          <cell r="J26">
            <v>0</v>
          </cell>
        </row>
        <row r="27">
          <cell r="J27">
            <v>0</v>
          </cell>
        </row>
        <row r="28">
          <cell r="J28">
            <v>0</v>
          </cell>
        </row>
        <row r="29">
          <cell r="J29">
            <v>0</v>
          </cell>
        </row>
        <row r="30">
          <cell r="J30">
            <v>1</v>
          </cell>
        </row>
        <row r="34">
          <cell r="J34">
            <v>1</v>
          </cell>
        </row>
        <row r="35">
          <cell r="J35">
            <v>1</v>
          </cell>
        </row>
        <row r="36">
          <cell r="J36">
            <v>1</v>
          </cell>
        </row>
        <row r="37">
          <cell r="J37">
            <v>1</v>
          </cell>
        </row>
        <row r="38">
          <cell r="J38">
            <v>1</v>
          </cell>
        </row>
        <row r="39">
          <cell r="J39">
            <v>1</v>
          </cell>
        </row>
        <row r="42">
          <cell r="J42">
            <v>0</v>
          </cell>
        </row>
        <row r="43">
          <cell r="J43">
            <v>1</v>
          </cell>
        </row>
        <row r="44">
          <cell r="J44">
            <v>1</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 TTK (2)"/>
      <sheetName val="LG"/>
      <sheetName val="pulau"/>
      <sheetName val="clc 16d02"/>
      <sheetName val="Denpasar FEB"/>
      <sheetName val="Sheet2 (2)"/>
      <sheetName val="Sheet2"/>
      <sheetName val="lokasi (3)"/>
      <sheetName val="surat"/>
    </sheetNames>
    <sheetDataSet>
      <sheetData sheetId="0" refreshError="1"/>
      <sheetData sheetId="1" refreshError="1">
        <row r="20">
          <cell r="H20">
            <v>0.7</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K"/>
      <sheetName val="Rev cal 1"/>
      <sheetName val="Cabling Survey"/>
      <sheetName val="RNCN"/>
      <sheetName val="Surat (2)"/>
    </sheetNames>
    <sheetDataSet>
      <sheetData sheetId="0" refreshError="1"/>
      <sheetData sheetId="1" refreshError="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ndungan Lokal (2)"/>
      <sheetName val="rekap1"/>
      <sheetName val="lcc-09o98 (2)"/>
      <sheetName val="analisa"/>
      <sheetName val="volume"/>
      <sheetName val="REKAP2"/>
      <sheetName val="breakdown"/>
      <sheetName val="Kandungan Lokal"/>
      <sheetName val="volume (2)"/>
      <sheetName val="FORM1"/>
      <sheetName val="calc u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AB36">
            <v>915000</v>
          </cell>
        </row>
        <row r="64">
          <cell r="AU64">
            <v>738000</v>
          </cell>
        </row>
        <row r="67">
          <cell r="AU67">
            <v>698000</v>
          </cell>
        </row>
        <row r="70">
          <cell r="AU70">
            <v>138000</v>
          </cell>
        </row>
        <row r="79">
          <cell r="AU79">
            <v>1683000</v>
          </cell>
        </row>
      </sheetData>
      <sheetData sheetId="1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2)"/>
      <sheetName val="Rekap Akhir"/>
      <sheetName val="Rekap"/>
      <sheetName val="RAB"/>
      <sheetName val="Porsi"/>
    </sheetNames>
    <sheetDataSet>
      <sheetData sheetId="0">
        <row r="30">
          <cell r="J30">
            <v>50000</v>
          </cell>
        </row>
      </sheetData>
      <sheetData sheetId="1"/>
      <sheetData sheetId="2"/>
      <sheetData sheetId="3"/>
      <sheetData sheetId="4"/>
      <sheetData sheetId="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ODE"/>
      <sheetName val="ANALISA"/>
      <sheetName val="HS"/>
      <sheetName val="uraianaspal"/>
      <sheetName val="uraianII_VIII"/>
      <sheetName val="uraianIX"/>
      <sheetName val="UraianX"/>
      <sheetName val="Upah"/>
      <sheetName val="bahan"/>
      <sheetName val="alat"/>
      <sheetName val="kaputama"/>
      <sheetName val="PRODBAHAN"/>
      <sheetName val="quarry"/>
      <sheetName val="satbahan"/>
      <sheetName val="Sheet2"/>
      <sheetName val="satalat"/>
      <sheetName val="pldt"/>
      <sheetName val="boq"/>
      <sheetName val="D7(1)"/>
      <sheetName val="RAB"/>
      <sheetName val="5-ALAT(1)"/>
      <sheetName val="4-Basic Price"/>
      <sheetName val="Rekap"/>
      <sheetName val="Rekapitulasi"/>
      <sheetName val="Kuantitas &amp; Harga"/>
      <sheetName val="kalibrasi-Tank"/>
      <sheetName val="Urai _Resap pengikat"/>
      <sheetName val="H.Satuan"/>
      <sheetName val="anal"/>
      <sheetName val="mob"/>
      <sheetName val="NP"/>
      <sheetName val="plant"/>
      <sheetName val="MOS"/>
      <sheetName val="RK"/>
      <sheetName val="lamp 9"/>
      <sheetName val="HSD"/>
      <sheetName val="Analisa-ubp"/>
      <sheetName val="Peralatan (2)"/>
      <sheetName val="m schedule"/>
      <sheetName val="schbhn"/>
      <sheetName val="Perm. Test"/>
      <sheetName val="grpsr2"/>
      <sheetName val="chitimc"/>
      <sheetName val="dongia (2)"/>
      <sheetName val="LKVL-CK-HT-GD1"/>
      <sheetName val="THPDMoi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2.4(2)"/>
      <sheetName val="Div2"/>
      <sheetName val="Input"/>
      <sheetName val="ALT 1"/>
      <sheetName val="Cur"/>
      <sheetName val="umu"/>
      <sheetName val="data"/>
      <sheetName val="H_Satuan"/>
      <sheetName val="VC"/>
      <sheetName val="Tiepdia"/>
      <sheetName val="CHITIET VL-NC-TT-3p"/>
      <sheetName val="TDTKP"/>
      <sheetName val="TDTKP1"/>
      <sheetName val="KPVC-BD "/>
      <sheetName val="VCV-BE-TONG"/>
      <sheetName val="3-DIV3"/>
      <sheetName val="DHSD"/>
      <sheetName val="upah bahan"/>
      <sheetName val="per span 35"/>
      <sheetName val="Harga Satuan"/>
    </sheetNames>
    <sheetDataSet>
      <sheetData sheetId="0">
        <row r="16">
          <cell r="J16">
            <v>45000</v>
          </cell>
        </row>
      </sheetData>
      <sheetData sheetId="1"/>
      <sheetData sheetId="2"/>
      <sheetData sheetId="3"/>
      <sheetData sheetId="4"/>
      <sheetData sheetId="5">
        <row r="10">
          <cell r="G10">
            <v>1000</v>
          </cell>
        </row>
      </sheetData>
      <sheetData sheetId="6">
        <row r="10">
          <cell r="G10">
            <v>1000</v>
          </cell>
        </row>
      </sheetData>
      <sheetData sheetId="7">
        <row r="10">
          <cell r="G10">
            <v>1000</v>
          </cell>
        </row>
      </sheetData>
      <sheetData sheetId="8">
        <row r="10">
          <cell r="G10">
            <v>1000</v>
          </cell>
        </row>
      </sheetData>
      <sheetData sheetId="9">
        <row r="16">
          <cell r="J16">
            <v>45000</v>
          </cell>
        </row>
        <row r="17">
          <cell r="J17">
            <v>71600</v>
          </cell>
        </row>
        <row r="18">
          <cell r="J18">
            <v>125800</v>
          </cell>
        </row>
        <row r="23">
          <cell r="J23">
            <v>76800</v>
          </cell>
        </row>
      </sheetData>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umum"/>
      <sheetName val="mobilisation"/>
      <sheetName val="metoda"/>
      <sheetName val="H DSR"/>
      <sheetName val="Harga Satuan"/>
      <sheetName val="Jadwal_(2)"/>
      <sheetName val="alat_(2)"/>
      <sheetName val="upah_(2)"/>
      <sheetName val="H_DSR"/>
      <sheetName val="Jadwal_(2)1"/>
      <sheetName val="alat_(2)1"/>
      <sheetName val="upah_(2)1"/>
      <sheetName val="H_DSR1"/>
      <sheetName val="Jadwal_(2)2"/>
      <sheetName val="alat_(2)2"/>
      <sheetName val="upah_(2)2"/>
      <sheetName val="H_DSR2"/>
      <sheetName val="Jadwal_(2)3"/>
      <sheetName val="alat_(2)3"/>
      <sheetName val="upah_(2)3"/>
      <sheetName val="H_DSR3"/>
      <sheetName val="Jadwal_(2)4"/>
      <sheetName val="alat_(2)4"/>
      <sheetName val="upah_(2)4"/>
      <sheetName val="H_DSR4"/>
      <sheetName val="Jadwal_(2)5"/>
      <sheetName val="alat_(2)5"/>
      <sheetName val="upah_(2)5"/>
      <sheetName val="H_DSR5"/>
      <sheetName val="Jadwal_(2)6"/>
      <sheetName val="alat_(2)6"/>
      <sheetName val="upah_(2)6"/>
      <sheetName val="H_DSR6"/>
      <sheetName val="Jadwal_(2)7"/>
      <sheetName val="alat_(2)7"/>
      <sheetName val="upah_(2)7"/>
      <sheetName val="H_DSR7"/>
      <sheetName val="Jadwal_(2)8"/>
      <sheetName val="alat_(2)8"/>
      <sheetName val="upah_(2)8"/>
      <sheetName val="H_DSR8"/>
      <sheetName val="5-ALAT"/>
      <sheetName val="Cover"/>
      <sheetName val="ESCON"/>
      <sheetName val="Jadwal_(2)9"/>
      <sheetName val="alat_(2)9"/>
      <sheetName val="upah_(2)9"/>
      <sheetName val="H_DSR9"/>
      <sheetName val="alat"/>
      <sheetName val="Upah"/>
      <sheetName val="Analisa"/>
      <sheetName val="DaftarHS"/>
      <sheetName val="Enc14"/>
      <sheetName val="h.satuan"/>
      <sheetName val="DHSD"/>
      <sheetName val="ocean voyage"/>
      <sheetName val="Analisa-Harga"/>
      <sheetName val="Analisa Lump sum"/>
      <sheetName val="data-pendukung"/>
      <sheetName val="0"/>
      <sheetName val="1"/>
      <sheetName val="2"/>
      <sheetName val="3"/>
      <sheetName val="4"/>
      <sheetName val="Tgl 25"/>
      <sheetName val="5"/>
      <sheetName val="PHO"/>
      <sheetName val="Sec I ML"/>
      <sheetName val="anal"/>
      <sheetName val="mob"/>
      <sheetName val="BOQ"/>
      <sheetName val="NP"/>
      <sheetName val="plant"/>
      <sheetName val="MOS"/>
      <sheetName val="RK"/>
      <sheetName val="lamp 9"/>
      <sheetName val="BasicPrice"/>
      <sheetName val="beton"/>
      <sheetName val="CashFlow"/>
      <sheetName val="harsat"/>
      <sheetName val="BAU"/>
      <sheetName val="Urai _Resap pengikat"/>
      <sheetName val="struktur tdk dipakai"/>
      <sheetName val="rumus"/>
      <sheetName val="PekTanah"/>
      <sheetName val="Piling"/>
      <sheetName val="RANGKUM"/>
      <sheetName val="InputAlat"/>
      <sheetName val="Dewatering"/>
      <sheetName val="Jalan"/>
      <sheetName val="Jembatan"/>
      <sheetName val="River Protect"/>
      <sheetName val="LOKASI RIG Litbang"/>
      <sheetName val="Upah Bahan"/>
      <sheetName val="Rab"/>
      <sheetName val="Kuantitas &amp; Harga"/>
      <sheetName val="BQPAKET5"/>
      <sheetName val="CH"/>
      <sheetName val="ahs_bhn"/>
      <sheetName val="koef"/>
      <sheetName val="dft~alt"/>
      <sheetName val="dtkont"/>
      <sheetName val="bhn"/>
      <sheetName val="jdw"/>
      <sheetName val="jdw~bhn"/>
      <sheetName val="jdw~tng_alt"/>
      <sheetName val="jdwmob"/>
      <sheetName val="konfirm"/>
      <sheetName val="met"/>
      <sheetName val="mpu"/>
      <sheetName val="btpecah"/>
      <sheetName val="sub"/>
      <sheetName val="urut~keg"/>
      <sheetName val="3-DIV5"/>
      <sheetName val="Peralatan"/>
      <sheetName val="Rek"/>
      <sheetName val="alat2"/>
      <sheetName val="Nunu"/>
      <sheetName val="ah sanitary"/>
      <sheetName val="Basic"/>
      <sheetName val="harga sat"/>
      <sheetName val="Anls Alat"/>
      <sheetName val="div-10a"/>
      <sheetName val="LS-Rutin"/>
      <sheetName val="B"/>
      <sheetName val="ALAT1"/>
      <sheetName val="ALAT2 (TDK DIPAKAI)"/>
      <sheetName val="DIV10"/>
      <sheetName val="UPH,BHN,ALT"/>
      <sheetName val="Perm. Test"/>
      <sheetName val="D7(2)"/>
      <sheetName val="Additional"/>
      <sheetName val="3-DIV3"/>
      <sheetName val="m schedule"/>
      <sheetName val="HSD"/>
      <sheetName val="4-Basic Price"/>
      <sheetName val="Galian 1"/>
      <sheetName val="TRAFFIC"/>
      <sheetName val="analisabudget"/>
      <sheetName val="LKVL-CK-HT-GD1"/>
      <sheetName val="UP MINOR"/>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0">
          <cell r="G50">
            <v>303732.16499999998</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an"/>
      <sheetName val="Kwantitas Harga Satuan"/>
      <sheetName val="Pompa"/>
      <sheetName val="Rekapitulasi Analisa"/>
      <sheetName val="Analisa Harga Sat. Pek."/>
      <sheetName val="Analisa Harga"/>
      <sheetName val="Daftar Harga Satuan"/>
      <sheetName val="Analisa"/>
      <sheetName val="Daftar Harga Upah dan Bahan"/>
      <sheetName val="Sheet7"/>
      <sheetName val="Sheet8"/>
      <sheetName val="Sheet9"/>
      <sheetName val="Sheet10"/>
      <sheetName val="Sheet11"/>
      <sheetName val="Sheet12"/>
      <sheetName val="Sheet13"/>
      <sheetName val="Sheet14"/>
      <sheetName val="Sheet15"/>
      <sheetName val="Sheet16"/>
      <sheetName val="Kuantitas &amp; Harga"/>
      <sheetName val="4-Basic Price"/>
      <sheetName val="Kwantitas_Harga_Satuan"/>
      <sheetName val="Rekapitulasi_Analisa"/>
      <sheetName val="Analisa_Harga_Sat__Pek_"/>
      <sheetName val="Analisa_Harga"/>
      <sheetName val="Daftar_Harga_Satuan"/>
      <sheetName val="Daftar_Harga_Upah_dan_Bahan"/>
      <sheetName val="Kwantitas_Harga_Satuan1"/>
      <sheetName val="Rekapitulasi_Analisa1"/>
      <sheetName val="Analisa_Harga_Sat__Pek_1"/>
      <sheetName val="Analisa_Harga1"/>
      <sheetName val="Daftar_Harga_Satuan1"/>
      <sheetName val="Daftar_Harga_Upah_dan_Bahan1"/>
      <sheetName val="Kwantitas_Harga_Satuan2"/>
      <sheetName val="Rekapitulasi_Analisa2"/>
      <sheetName val="Analisa_Harga_Sat__Pek_2"/>
      <sheetName val="Analisa_Harga2"/>
      <sheetName val="Daftar_Harga_Satuan2"/>
      <sheetName val="Daftar_Harga_Upah_dan_Bahan2"/>
      <sheetName val="Kwantitas_Harga_Satuan3"/>
      <sheetName val="Rekapitulasi_Analisa3"/>
      <sheetName val="Analisa_Harga_Sat__Pek_3"/>
      <sheetName val="Analisa_Harga3"/>
      <sheetName val="Daftar_Harga_Satuan3"/>
      <sheetName val="Daftar_Harga_Upah_dan_Bahan3"/>
      <sheetName val="Kwantitas_Harga_Satuan4"/>
      <sheetName val="Rekapitulasi_Analisa4"/>
      <sheetName val="Analisa_Harga_Sat__Pek_4"/>
      <sheetName val="Analisa_Harga4"/>
      <sheetName val="Daftar_Harga_Satuan4"/>
      <sheetName val="Daftar_Harga_Upah_dan_Bahan4"/>
      <sheetName val="Kwantitas_Harga_Satuan5"/>
      <sheetName val="Rekapitulasi_Analisa5"/>
      <sheetName val="Analisa_Harga_Sat__Pek_5"/>
      <sheetName val="Analisa_Harga5"/>
      <sheetName val="Daftar_Harga_Satuan5"/>
      <sheetName val="Daftar_Harga_Upah_dan_Bahan5"/>
      <sheetName val="Kwantitas_Harga_Satuan6"/>
      <sheetName val="Rekapitulasi_Analisa6"/>
      <sheetName val="Analisa_Harga_Sat__Pek_6"/>
      <sheetName val="Analisa_Harga6"/>
      <sheetName val="Daftar_Harga_Satuan6"/>
      <sheetName val="Daftar_Harga_Upah_dan_Bahan6"/>
      <sheetName val="Kwantitas_Harga_Satuan7"/>
      <sheetName val="Rekapitulasi_Analisa7"/>
      <sheetName val="Analisa_Harga_Sat__Pek_7"/>
      <sheetName val="Analisa_Harga7"/>
      <sheetName val="Daftar_Harga_Satuan7"/>
      <sheetName val="Daftar_Harga_Upah_dan_Bahan7"/>
      <sheetName val="Kwantitas_Harga_Satuan8"/>
      <sheetName val="Rekapitulasi_Analisa8"/>
      <sheetName val="Analisa_Harga_Sat__Pek_8"/>
      <sheetName val="Analisa_Harga8"/>
      <sheetName val="Daftar_Harga_Satuan8"/>
      <sheetName val="Daftar_Harga_Upah_dan_Bahan8"/>
      <sheetName val="Kwantitas_Harga_Satuan9"/>
      <sheetName val="Rekapitulasi_Analisa9"/>
      <sheetName val="Analisa_Harga_Sat__Pek_9"/>
      <sheetName val="Analisa_Harga9"/>
      <sheetName val="Daftar_Harga_Satuan9"/>
      <sheetName val="Daftar_Harga_Upah_dan_Bahan9"/>
      <sheetName val="HSD"/>
      <sheetName val="DivVII"/>
      <sheetName val="SEX"/>
      <sheetName val="Div2"/>
      <sheetName val="Peralatan"/>
      <sheetName val="alat"/>
      <sheetName val="DivIV"/>
      <sheetName val="DivV"/>
      <sheetName val="DivVIII"/>
      <sheetName val="DivIII"/>
      <sheetName val="divII"/>
      <sheetName val="mobilisation"/>
      <sheetName val="bahan"/>
      <sheetName val="rekI"/>
      <sheetName val="upah"/>
      <sheetName val="RE-SCHEDULLING"/>
      <sheetName val="cal borepile"/>
      <sheetName val="cetak -Div.7.1 Girder"/>
      <sheetName val="cetak -Div.8-1.Agr &amp; Aspal"/>
      <sheetName val="5-ALAT(1)"/>
      <sheetName val="cetak 7-HSD Upah-Bhn"/>
      <sheetName val="H DSR"/>
      <sheetName val="bq_build"/>
      <sheetName val="Kuantitas _ Harga"/>
      <sheetName val="AHS Marka"/>
      <sheetName val="AHS Aspal"/>
      <sheetName val="RPPJ"/>
      <sheetName val="Perhit.Alat"/>
      <sheetName val="A"/>
      <sheetName val="Basic Price"/>
      <sheetName val="NP3"/>
      <sheetName val="Perm. Test"/>
      <sheetName val="CH"/>
      <sheetName val="Kuantitas"/>
      <sheetName val="Galian 1"/>
      <sheetName val="SCHED"/>
      <sheetName val="DHSD"/>
      <sheetName val="Cur"/>
      <sheetName val="UP MINOR"/>
      <sheetName val="5-Peralatan"/>
      <sheetName val="LOADDAT"/>
      <sheetName val="anal rab"/>
      <sheetName val="Volume"/>
      <sheetName val="BOQ"/>
      <sheetName val="data"/>
      <sheetName val="Harga Satuan"/>
      <sheetName val="cold milling"/>
      <sheetName val="LPA minor"/>
      <sheetName val="BAB II"/>
      <sheetName val="Gal Darinase"/>
      <sheetName val="NP"/>
      <sheetName val="LEMBAR1"/>
      <sheetName val="LEMBAR2"/>
      <sheetName val="LEMBAR3"/>
      <sheetName val="LEMBAR4"/>
      <sheetName val="LEMBAR5"/>
      <sheetName val="div4"/>
      <sheetName val="di2"/>
      <sheetName val="div71"/>
      <sheetName val="Harga S Das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4">
          <cell r="F14">
            <v>10500</v>
          </cell>
        </row>
        <row r="15">
          <cell r="F15">
            <v>24500</v>
          </cell>
        </row>
        <row r="16">
          <cell r="F16">
            <v>33750</v>
          </cell>
        </row>
        <row r="17">
          <cell r="F17">
            <v>24000</v>
          </cell>
        </row>
        <row r="18">
          <cell r="F18">
            <v>24000</v>
          </cell>
        </row>
        <row r="19">
          <cell r="F19">
            <v>24000</v>
          </cell>
        </row>
        <row r="20">
          <cell r="F20">
            <v>24000</v>
          </cell>
        </row>
        <row r="21">
          <cell r="F21">
            <v>24000</v>
          </cell>
        </row>
        <row r="22">
          <cell r="F22">
            <v>32000</v>
          </cell>
        </row>
        <row r="24">
          <cell r="F24">
            <v>32400.000000000004</v>
          </cell>
        </row>
        <row r="31">
          <cell r="F31">
            <v>81000</v>
          </cell>
        </row>
        <row r="35">
          <cell r="F35">
            <v>8100.0000000000009</v>
          </cell>
        </row>
        <row r="44">
          <cell r="F44">
            <v>47250</v>
          </cell>
        </row>
        <row r="49">
          <cell r="F49">
            <v>124200.00000000001</v>
          </cell>
        </row>
        <row r="55">
          <cell r="F55">
            <v>607.5</v>
          </cell>
        </row>
        <row r="57">
          <cell r="F57">
            <v>27000</v>
          </cell>
        </row>
        <row r="60">
          <cell r="F60">
            <v>39487.5</v>
          </cell>
        </row>
        <row r="62">
          <cell r="F62">
            <v>675000</v>
          </cell>
        </row>
        <row r="64">
          <cell r="F64">
            <v>675000</v>
          </cell>
        </row>
        <row r="65">
          <cell r="F65">
            <v>1147500</v>
          </cell>
        </row>
        <row r="66">
          <cell r="F66">
            <v>1147500</v>
          </cell>
        </row>
        <row r="67">
          <cell r="F67">
            <v>945000.00000000012</v>
          </cell>
        </row>
        <row r="68">
          <cell r="F68">
            <v>68850</v>
          </cell>
        </row>
        <row r="85">
          <cell r="F85">
            <v>97200</v>
          </cell>
        </row>
        <row r="88">
          <cell r="F88">
            <v>3375</v>
          </cell>
        </row>
        <row r="89">
          <cell r="F89">
            <v>16875</v>
          </cell>
        </row>
        <row r="90">
          <cell r="F90">
            <v>3712.5000000000005</v>
          </cell>
        </row>
        <row r="91">
          <cell r="F91">
            <v>4725</v>
          </cell>
        </row>
        <row r="92">
          <cell r="F92">
            <v>8100.0000000000009</v>
          </cell>
        </row>
        <row r="93">
          <cell r="F93">
            <v>1012.5000000000001</v>
          </cell>
        </row>
        <row r="95">
          <cell r="F95">
            <v>8100.0000000000009</v>
          </cell>
        </row>
        <row r="96">
          <cell r="F96">
            <v>10125</v>
          </cell>
        </row>
        <row r="97">
          <cell r="F97">
            <v>4387.5</v>
          </cell>
        </row>
        <row r="99">
          <cell r="F99">
            <v>8775</v>
          </cell>
        </row>
        <row r="109">
          <cell r="F109">
            <v>43875</v>
          </cell>
        </row>
        <row r="111">
          <cell r="F111">
            <v>492750.00000000006</v>
          </cell>
        </row>
        <row r="117">
          <cell r="F117">
            <v>10800</v>
          </cell>
        </row>
        <row r="118">
          <cell r="F118">
            <v>6075</v>
          </cell>
        </row>
        <row r="124">
          <cell r="F124">
            <v>37125</v>
          </cell>
        </row>
        <row r="165">
          <cell r="F165">
            <v>19575</v>
          </cell>
        </row>
        <row r="166">
          <cell r="F166">
            <v>24975</v>
          </cell>
        </row>
        <row r="167">
          <cell r="F167">
            <v>16875</v>
          </cell>
        </row>
        <row r="168">
          <cell r="F168">
            <v>121500.00000000001</v>
          </cell>
        </row>
        <row r="186">
          <cell r="F186">
            <v>36180</v>
          </cell>
        </row>
        <row r="187">
          <cell r="F187">
            <v>189000</v>
          </cell>
        </row>
        <row r="188">
          <cell r="F188">
            <v>284175</v>
          </cell>
        </row>
        <row r="189">
          <cell r="F189">
            <v>402705</v>
          </cell>
        </row>
        <row r="190">
          <cell r="F190">
            <v>552015</v>
          </cell>
        </row>
        <row r="191">
          <cell r="F191">
            <v>633015</v>
          </cell>
        </row>
        <row r="192">
          <cell r="F192">
            <v>795150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4">
          <cell r="F14">
            <v>10500</v>
          </cell>
        </row>
      </sheetData>
      <sheetData sheetId="22">
        <row r="14">
          <cell r="F14">
            <v>10500</v>
          </cell>
        </row>
      </sheetData>
      <sheetData sheetId="23">
        <row r="14">
          <cell r="F14">
            <v>10500</v>
          </cell>
        </row>
      </sheetData>
      <sheetData sheetId="24">
        <row r="14">
          <cell r="F14">
            <v>10500</v>
          </cell>
        </row>
      </sheetData>
      <sheetData sheetId="25">
        <row r="14">
          <cell r="F14">
            <v>10500</v>
          </cell>
        </row>
      </sheetData>
      <sheetData sheetId="26">
        <row r="14">
          <cell r="F14">
            <v>10500</v>
          </cell>
        </row>
      </sheetData>
      <sheetData sheetId="27">
        <row r="14">
          <cell r="F14">
            <v>10500</v>
          </cell>
        </row>
      </sheetData>
      <sheetData sheetId="28"/>
      <sheetData sheetId="29">
        <row r="14">
          <cell r="F14">
            <v>10500</v>
          </cell>
        </row>
      </sheetData>
      <sheetData sheetId="30">
        <row r="14">
          <cell r="F14">
            <v>10500</v>
          </cell>
        </row>
      </sheetData>
      <sheetData sheetId="31">
        <row r="14">
          <cell r="F14">
            <v>10500</v>
          </cell>
        </row>
      </sheetData>
      <sheetData sheetId="32">
        <row r="14">
          <cell r="F14">
            <v>10500</v>
          </cell>
        </row>
      </sheetData>
      <sheetData sheetId="33">
        <row r="14">
          <cell r="F14">
            <v>10500</v>
          </cell>
        </row>
      </sheetData>
      <sheetData sheetId="34">
        <row r="14">
          <cell r="F14">
            <v>10500</v>
          </cell>
        </row>
      </sheetData>
      <sheetData sheetId="35">
        <row r="14">
          <cell r="F14">
            <v>10500</v>
          </cell>
        </row>
      </sheetData>
      <sheetData sheetId="36">
        <row r="14">
          <cell r="F14">
            <v>10500</v>
          </cell>
        </row>
      </sheetData>
      <sheetData sheetId="37"/>
      <sheetData sheetId="38">
        <row r="14">
          <cell r="F14">
            <v>10500</v>
          </cell>
        </row>
      </sheetData>
      <sheetData sheetId="39"/>
      <sheetData sheetId="40"/>
      <sheetData sheetId="41">
        <row r="14">
          <cell r="F14">
            <v>10500</v>
          </cell>
        </row>
      </sheetData>
      <sheetData sheetId="42">
        <row r="14">
          <cell r="F14">
            <v>10500</v>
          </cell>
        </row>
      </sheetData>
      <sheetData sheetId="43"/>
      <sheetData sheetId="44">
        <row r="14">
          <cell r="F14">
            <v>10500</v>
          </cell>
        </row>
      </sheetData>
      <sheetData sheetId="45"/>
      <sheetData sheetId="46"/>
      <sheetData sheetId="47">
        <row r="14">
          <cell r="F14">
            <v>10500</v>
          </cell>
        </row>
      </sheetData>
      <sheetData sheetId="48">
        <row r="14">
          <cell r="F14">
            <v>10500</v>
          </cell>
        </row>
      </sheetData>
      <sheetData sheetId="49">
        <row r="14">
          <cell r="F14">
            <v>10500</v>
          </cell>
        </row>
      </sheetData>
      <sheetData sheetId="50">
        <row r="14">
          <cell r="F14">
            <v>10500</v>
          </cell>
        </row>
      </sheetData>
      <sheetData sheetId="51">
        <row r="14">
          <cell r="F14">
            <v>10500</v>
          </cell>
        </row>
      </sheetData>
      <sheetData sheetId="52"/>
      <sheetData sheetId="53">
        <row r="14">
          <cell r="F14">
            <v>10500</v>
          </cell>
        </row>
      </sheetData>
      <sheetData sheetId="54">
        <row r="14">
          <cell r="F14">
            <v>10500</v>
          </cell>
        </row>
      </sheetData>
      <sheetData sheetId="55">
        <row r="14">
          <cell r="F14">
            <v>10500</v>
          </cell>
        </row>
      </sheetData>
      <sheetData sheetId="56">
        <row r="14">
          <cell r="F14">
            <v>10500</v>
          </cell>
        </row>
      </sheetData>
      <sheetData sheetId="57">
        <row r="14">
          <cell r="F14">
            <v>10500</v>
          </cell>
        </row>
      </sheetData>
      <sheetData sheetId="58"/>
      <sheetData sheetId="59">
        <row r="14">
          <cell r="F14">
            <v>10500</v>
          </cell>
        </row>
      </sheetData>
      <sheetData sheetId="60">
        <row r="14">
          <cell r="F14">
            <v>10500</v>
          </cell>
        </row>
      </sheetData>
      <sheetData sheetId="61">
        <row r="14">
          <cell r="F14">
            <v>10500</v>
          </cell>
        </row>
      </sheetData>
      <sheetData sheetId="62">
        <row r="14">
          <cell r="F14">
            <v>10500</v>
          </cell>
        </row>
      </sheetData>
      <sheetData sheetId="63">
        <row r="14">
          <cell r="F14">
            <v>10500</v>
          </cell>
        </row>
      </sheetData>
      <sheetData sheetId="64"/>
      <sheetData sheetId="65">
        <row r="14">
          <cell r="F14">
            <v>10500</v>
          </cell>
        </row>
      </sheetData>
      <sheetData sheetId="66">
        <row r="14">
          <cell r="F14">
            <v>10500</v>
          </cell>
        </row>
      </sheetData>
      <sheetData sheetId="67">
        <row r="14">
          <cell r="F14">
            <v>10500</v>
          </cell>
        </row>
      </sheetData>
      <sheetData sheetId="68">
        <row r="14">
          <cell r="F14">
            <v>10500</v>
          </cell>
        </row>
      </sheetData>
      <sheetData sheetId="69">
        <row r="14">
          <cell r="F14">
            <v>10500</v>
          </cell>
        </row>
      </sheetData>
      <sheetData sheetId="70"/>
      <sheetData sheetId="71">
        <row r="14">
          <cell r="F14">
            <v>10500</v>
          </cell>
        </row>
      </sheetData>
      <sheetData sheetId="72">
        <row r="14">
          <cell r="F14">
            <v>10500</v>
          </cell>
        </row>
      </sheetData>
      <sheetData sheetId="73">
        <row r="14">
          <cell r="F14">
            <v>10500</v>
          </cell>
        </row>
      </sheetData>
      <sheetData sheetId="74">
        <row r="14">
          <cell r="F14">
            <v>10500</v>
          </cell>
        </row>
      </sheetData>
      <sheetData sheetId="75">
        <row r="14">
          <cell r="F14">
            <v>10500</v>
          </cell>
        </row>
      </sheetData>
      <sheetData sheetId="76">
        <row r="14">
          <cell r="F14">
            <v>10500</v>
          </cell>
        </row>
      </sheetData>
      <sheetData sheetId="77">
        <row r="14">
          <cell r="F14">
            <v>10500</v>
          </cell>
        </row>
      </sheetData>
      <sheetData sheetId="78">
        <row r="14">
          <cell r="F14">
            <v>10500</v>
          </cell>
        </row>
      </sheetData>
      <sheetData sheetId="79">
        <row r="14">
          <cell r="F14">
            <v>10500</v>
          </cell>
        </row>
      </sheetData>
      <sheetData sheetId="80">
        <row r="14">
          <cell r="F14">
            <v>10500</v>
          </cell>
        </row>
      </sheetData>
      <sheetData sheetId="81">
        <row r="14">
          <cell r="F14">
            <v>10500</v>
          </cell>
        </row>
      </sheetData>
      <sheetData sheetId="82">
        <row r="14">
          <cell r="F14">
            <v>10500</v>
          </cell>
        </row>
      </sheetData>
      <sheetData sheetId="83" refreshError="1"/>
      <sheetData sheetId="84">
        <row r="14">
          <cell r="F14">
            <v>10500</v>
          </cell>
        </row>
      </sheetData>
      <sheetData sheetId="85"/>
      <sheetData sheetId="86"/>
      <sheetData sheetId="87">
        <row r="14">
          <cell r="F14">
            <v>10500</v>
          </cell>
        </row>
      </sheetData>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ANALISA"/>
      <sheetName val="RAB STM"/>
      <sheetName val="REKAP capil"/>
      <sheetName val="Vol.Ged.capil"/>
    </sheetNames>
    <sheetDataSet>
      <sheetData sheetId="0" refreshError="1"/>
      <sheetData sheetId="1" refreshError="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E-PROP"/>
    </sheetNames>
    <sheetDataSet>
      <sheetData sheetId="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fico"/>
      <sheetName val="tifico[NO]"/>
      <sheetName val="tifico[Ext]"/>
      <sheetName val="Sheet1"/>
      <sheetName val="H-BHN"/>
      <sheetName val="A-BANTU"/>
      <sheetName val="ME-PLUMBING"/>
      <sheetName val="REKAP"/>
      <sheetName val="Tifico-newoffice,R1"/>
      <sheetName val="Material"/>
      <sheetName val="tifico_NO_"/>
      <sheetName val="tifico_Ext_"/>
      <sheetName val="Urai _Resap pengikat"/>
      <sheetName val="STAF"/>
      <sheetName val="2-Genset print"/>
      <sheetName val="AC"/>
      <sheetName val="Daf 1"/>
      <sheetName val="BQ"/>
      <sheetName val="escon"/>
      <sheetName val="HRG BHN"/>
      <sheetName val="BAG-2"/>
      <sheetName val="D &amp; W sizes"/>
      <sheetName val="COVERUSRP"/>
      <sheetName val="SITE"/>
      <sheetName val="ESCOND"/>
      <sheetName val="BQUSRP"/>
      <sheetName val="Elektrikal"/>
      <sheetName val="mat-me pipa"/>
      <sheetName val="DAF_1"/>
      <sheetName val="Isolasi Luar Dalam"/>
      <sheetName val="Isolasi Luar"/>
      <sheetName val="Currency Rate"/>
      <sheetName val="A"/>
      <sheetName val="PEF29_CD(IDR)"/>
      <sheetName val="Cover Daf-2"/>
      <sheetName val="SEX"/>
      <sheetName val="Analisa HS"/>
      <sheetName val="upah"/>
      <sheetName val="RAPlenk"/>
      <sheetName val="RAB"/>
      <sheetName val="Bahan"/>
      <sheetName val="Sal"/>
      <sheetName val="Harsat"/>
      <sheetName val="ANALIS"/>
      <sheetName val="BASIC"/>
      <sheetName val="ANALISA"/>
      <sheetName val="PO-2"/>
      <sheetName val="SAT-BHN"/>
      <sheetName val="Basic Price"/>
      <sheetName val="STR"/>
      <sheetName val="atap"/>
      <sheetName val="TOWN"/>
      <sheetName val="B _ Norelec"/>
      <sheetName val="Rekap Direct Cost"/>
      <sheetName val="Bill No 6 Koord _ Attendance"/>
      <sheetName val="Pile"/>
      <sheetName val="Time Schedul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X"/>
      <sheetName val="SRT"/>
      <sheetName val="ESCON"/>
      <sheetName val="MAKER"/>
      <sheetName val="SCOPE"/>
      <sheetName val="BQ-VE"/>
      <sheetName val="BQ"/>
      <sheetName val="PROFIT"/>
      <sheetName val="SUM-PRO"/>
      <sheetName val="DBP-0900"/>
      <sheetName val="Found"/>
      <sheetName val="AC"/>
      <sheetName val="H S D"/>
      <sheetName val="Sal"/>
      <sheetName val="Harsat"/>
      <sheetName val="Anal"/>
      <sheetName val="Fak"/>
      <sheetName val="Rek-Tot"/>
      <sheetName val="RAB"/>
      <sheetName val="D7"/>
      <sheetName val="RAPlenk"/>
      <sheetName val="ANALISA"/>
      <sheetName val="HSD"/>
      <sheetName val="Urai _Resap pengikat"/>
      <sheetName val="8LT 12"/>
    </sheetNames>
    <sheetDataSet>
      <sheetData sheetId="0" refreshError="1">
        <row r="7">
          <cell r="P7" t="str">
            <v xml:space="preserve">B U D G E T A R Y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n"/>
      <sheetName val="srt"/>
      <sheetName val="maker"/>
      <sheetName val="scope"/>
      <sheetName val="bq"/>
      <sheetName val="profit"/>
      <sheetName val="sum-pro"/>
      <sheetName val="sex"/>
      <sheetName val="dbp-0601"/>
      <sheetName val="DBP-0900"/>
      <sheetName val="DBP-0200"/>
      <sheetName val="QUERY"/>
      <sheetName val="RAB AR&amp;STR"/>
      <sheetName val="D &amp; W sizes"/>
      <sheetName val="DAS-SAT (2)"/>
      <sheetName val="DAS-SAT (3)"/>
      <sheetName val="tifico"/>
      <sheetName val="HARSAT"/>
      <sheetName val="RAPlenk"/>
      <sheetName val="daf isi (xref)"/>
      <sheetName val="Anal"/>
      <sheetName val="Fak"/>
      <sheetName val="Rek-Tot"/>
      <sheetName val="MON_OH"/>
      <sheetName val="Analisa Biaya Alat"/>
      <sheetName val="H S D"/>
      <sheetName val="Analisa"/>
      <sheetName val="RAB"/>
      <sheetName val="8LT 12"/>
      <sheetName val="Urai _Resap pengikat"/>
      <sheetName val="Bhan"/>
      <sheetName val="AO-UMUM"/>
    </sheetNames>
    <sheetDataSet>
      <sheetData sheetId="0"/>
      <sheetData sheetId="1"/>
      <sheetData sheetId="2" refreshError="1"/>
      <sheetData sheetId="3" refreshError="1"/>
      <sheetData sheetId="4"/>
      <sheetData sheetId="5"/>
      <sheetData sheetId="6" refreshError="1"/>
      <sheetData sheetId="7"/>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OE"/>
      <sheetName val=" HARGA"/>
      <sheetName val="ANALISA"/>
      <sheetName val="REKAP"/>
      <sheetName val="RAB"/>
      <sheetName val="Schedule"/>
      <sheetName val="Sub"/>
      <sheetName val="Sheet1"/>
    </sheetNames>
    <sheetDataSet>
      <sheetData sheetId="0" refreshError="1"/>
      <sheetData sheetId="1" refreshError="1">
        <row r="23">
          <cell r="H23">
            <v>50000</v>
          </cell>
        </row>
        <row r="24">
          <cell r="H24">
            <v>85000</v>
          </cell>
        </row>
        <row r="30">
          <cell r="H30">
            <v>50000</v>
          </cell>
        </row>
        <row r="44">
          <cell r="H44">
            <v>90000</v>
          </cell>
        </row>
        <row r="54">
          <cell r="H54">
            <v>45000</v>
          </cell>
          <cell r="L54">
            <v>77000</v>
          </cell>
        </row>
        <row r="55">
          <cell r="H55">
            <v>40000</v>
          </cell>
        </row>
        <row r="69">
          <cell r="H69">
            <v>95000</v>
          </cell>
        </row>
        <row r="73">
          <cell r="H73">
            <v>2000</v>
          </cell>
        </row>
        <row r="78">
          <cell r="H78">
            <v>21500</v>
          </cell>
        </row>
        <row r="91">
          <cell r="H91">
            <v>4100</v>
          </cell>
        </row>
        <row r="92">
          <cell r="H92">
            <v>1350</v>
          </cell>
        </row>
        <row r="93">
          <cell r="H93">
            <v>7500</v>
          </cell>
        </row>
        <row r="94">
          <cell r="H94">
            <v>2250</v>
          </cell>
        </row>
        <row r="95">
          <cell r="H95">
            <v>2200</v>
          </cell>
        </row>
        <row r="98">
          <cell r="H98">
            <v>4500</v>
          </cell>
        </row>
      </sheetData>
      <sheetData sheetId="2" refreshError="1">
        <row r="110">
          <cell r="N110">
            <v>3423.25</v>
          </cell>
        </row>
        <row r="119">
          <cell r="G119">
            <v>440100</v>
          </cell>
        </row>
        <row r="136">
          <cell r="G136">
            <v>5667.75</v>
          </cell>
        </row>
        <row r="166">
          <cell r="G166">
            <v>62715</v>
          </cell>
        </row>
        <row r="178">
          <cell r="G178">
            <v>64405</v>
          </cell>
        </row>
        <row r="190">
          <cell r="G190">
            <v>81055</v>
          </cell>
        </row>
      </sheetData>
      <sheetData sheetId="3" refreshError="1"/>
      <sheetData sheetId="4" refreshError="1"/>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oq"/>
      <sheetName val="Quarry"/>
      <sheetName val="Basic"/>
      <sheetName val="umum"/>
      <sheetName val="div-1"/>
      <sheetName val="div-2"/>
      <sheetName val="div-3"/>
      <sheetName val="div-4"/>
      <sheetName val="div-5"/>
      <sheetName val="div-6a"/>
      <sheetName val="div-6b"/>
      <sheetName val="div-7a"/>
      <sheetName val="div-7b"/>
      <sheetName val="div-8"/>
      <sheetName val="div-9"/>
      <sheetName val="div-10a"/>
      <sheetName val="div-10b"/>
      <sheetName val="alat"/>
      <sheetName val="Agg. Hls-Ksr"/>
      <sheetName val="Agg. A"/>
      <sheetName val="Agg. B"/>
      <sheetName val="Agg. C"/>
      <sheetName val="Sheet1"/>
      <sheetName val="Sheet2"/>
      <sheetName val="Sampul"/>
    </sheetNames>
    <sheetDataSet>
      <sheetData sheetId="0"/>
      <sheetData sheetId="1" refreshError="1"/>
      <sheetData sheetId="2" refreshError="1"/>
      <sheetData sheetId="3">
        <row r="74">
          <cell r="F74">
            <v>1190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2)"/>
      <sheetName val="Rekap Akhir"/>
      <sheetName val="Rekap"/>
      <sheetName val="RAB"/>
      <sheetName val="Porsi"/>
    </sheetNames>
    <sheetDataSet>
      <sheetData sheetId="0" refreshError="1">
        <row r="30">
          <cell r="J30">
            <v>50000</v>
          </cell>
        </row>
        <row r="45">
          <cell r="J45">
            <v>10000</v>
          </cell>
        </row>
        <row r="48">
          <cell r="J48">
            <v>5500</v>
          </cell>
        </row>
        <row r="49">
          <cell r="J49">
            <v>37500</v>
          </cell>
        </row>
        <row r="53">
          <cell r="J53">
            <v>62500</v>
          </cell>
        </row>
        <row r="56">
          <cell r="J56">
            <v>26000</v>
          </cell>
        </row>
        <row r="65">
          <cell r="J65">
            <v>7250</v>
          </cell>
        </row>
        <row r="66">
          <cell r="J66">
            <v>2000</v>
          </cell>
        </row>
        <row r="67">
          <cell r="J67">
            <v>16000</v>
          </cell>
        </row>
        <row r="68">
          <cell r="J68">
            <v>7500</v>
          </cell>
        </row>
        <row r="69">
          <cell r="J69">
            <v>45000</v>
          </cell>
        </row>
        <row r="79">
          <cell r="J79">
            <v>65000</v>
          </cell>
        </row>
      </sheetData>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versi"/>
      <sheetName val="Lembar1"/>
      <sheetName val="Lembar2"/>
      <sheetName val="Lembar 3"/>
      <sheetName val="Lembar4"/>
      <sheetName val="Lembar5"/>
      <sheetName val="Faktur"/>
    </sheetNames>
    <sheetDataSet>
      <sheetData sheetId="0" refreshError="1"/>
      <sheetData sheetId="1">
        <row r="34">
          <cell r="D34">
            <v>91363</v>
          </cell>
        </row>
      </sheetData>
      <sheetData sheetId="2" refreshError="1"/>
      <sheetData sheetId="3" refreshError="1"/>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 COMMON"/>
      <sheetName val="MAT. MS &amp; SW"/>
      <sheetName val="MAT PRIME &amp; RS"/>
      <sheetName val="SM"/>
      <sheetName val="MS"/>
      <sheetName val="common"/>
      <sheetName val="embankment"/>
      <sheetName val="AGG. A-9"/>
      <sheetName val="PRIME"/>
      <sheetName val="TACK"/>
      <sheetName val="SMA-A9"/>
      <sheetName val="AC-BINDER-9"/>
      <sheetName val="k-225 E"/>
      <sheetName val="k-225 F"/>
      <sheetName val="STEEL"/>
      <sheetName val="MAT.  A &amp; B"/>
      <sheetName val="ATB "/>
      <sheetName val="ATB patching"/>
      <sheetName val="BASIC"/>
      <sheetName val="Unit Price"/>
      <sheetName val="sld"/>
      <sheetName val="kerb"/>
      <sheetName val="BOQ"/>
      <sheetName val="UP MINOR"/>
      <sheetName val="4a-Mob"/>
      <sheetName val="4b-Mob "/>
      <sheetName val="6a-Crushing Plant"/>
      <sheetName val="6b-AMP"/>
      <sheetName val="7-MAJOR"/>
      <sheetName val="8-data"/>
      <sheetName val="9-CONS PLANT"/>
      <sheetName val="10-KEY"/>
      <sheetName val="11-SUB"/>
      <sheetName val="12a-FOREIGN"/>
      <sheetName val="12b-FOREIGN "/>
      <sheetName val="13-FOREIGN  "/>
      <sheetName val="1-List of Document"/>
      <sheetName val="pav-block"/>
      <sheetName val="demol-mas"/>
      <sheetName val="demol-bui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22">
          <cell r="C22">
            <v>155250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ANALISA"/>
      <sheetName val="RAB STM"/>
      <sheetName val="REKAP capil"/>
      <sheetName val="Vol.Ged.capil"/>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M"/>
      <sheetName val="RAB"/>
      <sheetName val="BOQ"/>
      <sheetName val="C Boq"/>
      <sheetName val="UTM"/>
      <sheetName val="%"/>
      <sheetName val="BBL"/>
      <sheetName val="P MBL"/>
      <sheetName val="LL"/>
      <sheetName val="J DRT"/>
      <sheetName val="Metode"/>
      <sheetName val="D P U"/>
      <sheetName val="Harga"/>
      <sheetName val="MOS"/>
      <sheetName val="KONF"/>
      <sheetName val="Sched"/>
      <sheetName val="B2"/>
      <sheetName val="B3"/>
      <sheetName val="B3A"/>
      <sheetName val="B3B"/>
      <sheetName val="B4"/>
      <sheetName val="B5"/>
      <sheetName val="B6"/>
      <sheetName val="B6A"/>
      <sheetName val="B7"/>
      <sheetName val="B7A"/>
      <sheetName val="B8"/>
      <sheetName val="B9"/>
      <sheetName val="B 10"/>
      <sheetName val="B 10k"/>
      <sheetName val="AHSP"/>
      <sheetName val="H DSR"/>
      <sheetName val="F BHN"/>
      <sheetName val="A QUARY"/>
      <sheetName val="ALT"/>
      <sheetName val="ALT 1"/>
      <sheetName val="AG K-H"/>
      <sheetName val="KLS A"/>
      <sheetName val="KLS B"/>
      <sheetName val="KLS C"/>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8">
          <cell r="A8" t="str">
            <v>U1</v>
          </cell>
          <cell r="B8" t="str">
            <v>1.</v>
          </cell>
          <cell r="D8" t="str">
            <v>Pekerja</v>
          </cell>
          <cell r="E8" t="str">
            <v>L01</v>
          </cell>
          <cell r="F8" t="str">
            <v>Jam</v>
          </cell>
          <cell r="G8">
            <v>4214.2857142857147</v>
          </cell>
          <cell r="H8" t="str">
            <v xml:space="preserve"> 29,500 / hari</v>
          </cell>
        </row>
        <row r="9">
          <cell r="A9" t="str">
            <v>U2</v>
          </cell>
          <cell r="B9" t="str">
            <v>2.</v>
          </cell>
          <cell r="D9" t="str">
            <v>Tukang</v>
          </cell>
          <cell r="E9" t="str">
            <v>L02</v>
          </cell>
          <cell r="F9" t="str">
            <v>Jam</v>
          </cell>
          <cell r="G9">
            <v>4285.7142857142853</v>
          </cell>
          <cell r="H9" t="str">
            <v xml:space="preserve"> 30,000 / hari</v>
          </cell>
        </row>
        <row r="10">
          <cell r="A10" t="str">
            <v>U3</v>
          </cell>
          <cell r="B10" t="str">
            <v>3.</v>
          </cell>
          <cell r="D10" t="str">
            <v>Mandor</v>
          </cell>
          <cell r="E10" t="str">
            <v>L03</v>
          </cell>
          <cell r="F10" t="str">
            <v>Jam</v>
          </cell>
          <cell r="G10">
            <v>4214.2857142857147</v>
          </cell>
          <cell r="H10" t="str">
            <v xml:space="preserve"> 22,500 / hari</v>
          </cell>
        </row>
        <row r="11">
          <cell r="A11" t="str">
            <v>U4</v>
          </cell>
          <cell r="B11" t="str">
            <v>4.</v>
          </cell>
          <cell r="D11" t="str">
            <v>Operator</v>
          </cell>
          <cell r="E11" t="str">
            <v>L04</v>
          </cell>
          <cell r="F11" t="str">
            <v>Jam</v>
          </cell>
          <cell r="G11">
            <v>5000</v>
          </cell>
          <cell r="H11" t="str">
            <v xml:space="preserve"> 35,000 / hari</v>
          </cell>
        </row>
        <row r="12">
          <cell r="A12" t="str">
            <v>U5</v>
          </cell>
          <cell r="B12" t="str">
            <v>5.</v>
          </cell>
          <cell r="D12" t="str">
            <v>Pembantu Operator</v>
          </cell>
          <cell r="E12" t="str">
            <v>L05</v>
          </cell>
          <cell r="F12" t="str">
            <v>Jam</v>
          </cell>
          <cell r="G12">
            <v>3928.57</v>
          </cell>
          <cell r="H12" t="str">
            <v xml:space="preserve"> 27,500 / hari</v>
          </cell>
        </row>
        <row r="13">
          <cell r="A13" t="str">
            <v>U6</v>
          </cell>
          <cell r="B13" t="str">
            <v>6.</v>
          </cell>
          <cell r="D13" t="str">
            <v>Sopir / Driver</v>
          </cell>
          <cell r="E13" t="str">
            <v>L06</v>
          </cell>
          <cell r="F13" t="str">
            <v>Jam</v>
          </cell>
          <cell r="G13">
            <v>4285.71</v>
          </cell>
          <cell r="H13" t="str">
            <v xml:space="preserve"> 30,000 / hari</v>
          </cell>
        </row>
        <row r="14">
          <cell r="A14" t="str">
            <v>U7</v>
          </cell>
          <cell r="B14" t="str">
            <v>7.</v>
          </cell>
          <cell r="D14" t="str">
            <v>Pembantu Sopir / Driver</v>
          </cell>
          <cell r="E14" t="str">
            <v>L07</v>
          </cell>
          <cell r="F14" t="str">
            <v>Jam</v>
          </cell>
          <cell r="G14">
            <v>2857.14</v>
          </cell>
          <cell r="H14" t="str">
            <v xml:space="preserve"> 20,000 / hari</v>
          </cell>
        </row>
        <row r="15">
          <cell r="A15" t="str">
            <v>U8</v>
          </cell>
          <cell r="B15" t="str">
            <v>8.</v>
          </cell>
          <cell r="D15" t="str">
            <v>Mekanik</v>
          </cell>
          <cell r="E15" t="str">
            <v>L08</v>
          </cell>
          <cell r="F15" t="str">
            <v>Jam</v>
          </cell>
          <cell r="G15">
            <v>3928.57</v>
          </cell>
          <cell r="H15" t="str">
            <v xml:space="preserve"> 27,500 / hari</v>
          </cell>
        </row>
        <row r="16">
          <cell r="A16" t="str">
            <v>U9</v>
          </cell>
          <cell r="B16" t="str">
            <v>9.</v>
          </cell>
          <cell r="D16" t="str">
            <v>Pembantu Mekanik</v>
          </cell>
          <cell r="E16" t="str">
            <v>L09</v>
          </cell>
          <cell r="F16" t="str">
            <v>Jam</v>
          </cell>
          <cell r="G16">
            <v>2857.14</v>
          </cell>
          <cell r="H16" t="str">
            <v xml:space="preserve"> 20,000 / hari</v>
          </cell>
        </row>
        <row r="17">
          <cell r="A17" t="str">
            <v>U10</v>
          </cell>
          <cell r="B17" t="str">
            <v>10.</v>
          </cell>
          <cell r="D17" t="str">
            <v>Kepala Tukang</v>
          </cell>
          <cell r="E17" t="str">
            <v>L10</v>
          </cell>
          <cell r="F17" t="str">
            <v>Jam</v>
          </cell>
          <cell r="G17">
            <v>5000</v>
          </cell>
          <cell r="H17" t="str">
            <v xml:space="preserve"> 35,000 / hari</v>
          </cell>
        </row>
        <row r="22">
          <cell r="B22" t="str">
            <v>DAFTAR</v>
          </cell>
        </row>
        <row r="23">
          <cell r="B23" t="str">
            <v>HARGA DASAR SATUAN BAHAN</v>
          </cell>
        </row>
        <row r="25">
          <cell r="G25" t="str">
            <v>HARGA</v>
          </cell>
        </row>
        <row r="26">
          <cell r="B26" t="str">
            <v>No.</v>
          </cell>
          <cell r="C26" t="str">
            <v>U R A I A N</v>
          </cell>
          <cell r="E26" t="str">
            <v>KODE</v>
          </cell>
          <cell r="F26" t="str">
            <v>SATUAN</v>
          </cell>
          <cell r="G26" t="str">
            <v>SATUAN</v>
          </cell>
          <cell r="H26" t="str">
            <v>KETERANGAN</v>
          </cell>
        </row>
        <row r="27">
          <cell r="G27" t="str">
            <v>( Rp.)</v>
          </cell>
        </row>
        <row r="29">
          <cell r="A29" t="str">
            <v>B1</v>
          </cell>
          <cell r="B29" t="str">
            <v>1.</v>
          </cell>
          <cell r="D29" t="str">
            <v>P a s i r</v>
          </cell>
          <cell r="E29" t="str">
            <v>M01</v>
          </cell>
          <cell r="F29" t="str">
            <v>M3</v>
          </cell>
          <cell r="G29">
            <v>61700</v>
          </cell>
          <cell r="H29" t="str">
            <v xml:space="preserve"> Base Camp</v>
          </cell>
        </row>
        <row r="30">
          <cell r="A30" t="str">
            <v>B2</v>
          </cell>
          <cell r="B30" t="str">
            <v>2.</v>
          </cell>
          <cell r="D30" t="str">
            <v>Batu Kali</v>
          </cell>
          <cell r="E30" t="str">
            <v>M02</v>
          </cell>
          <cell r="F30" t="str">
            <v>M3</v>
          </cell>
          <cell r="G30">
            <v>78900</v>
          </cell>
          <cell r="H30" t="str">
            <v xml:space="preserve"> Lokasi Pekerjaan</v>
          </cell>
        </row>
        <row r="31">
          <cell r="A31" t="str">
            <v>B3</v>
          </cell>
          <cell r="B31" t="str">
            <v>3.</v>
          </cell>
          <cell r="D31" t="str">
            <v>Agregat Kasar</v>
          </cell>
          <cell r="E31" t="str">
            <v>M03</v>
          </cell>
          <cell r="F31" t="str">
            <v>M3</v>
          </cell>
          <cell r="G31">
            <v>124807.31534784107</v>
          </cell>
          <cell r="H31" t="str">
            <v xml:space="preserve"> Base Camp</v>
          </cell>
        </row>
        <row r="32">
          <cell r="A32" t="str">
            <v>B4</v>
          </cell>
          <cell r="B32" t="str">
            <v>4.</v>
          </cell>
          <cell r="D32" t="str">
            <v>Agregat Halus</v>
          </cell>
          <cell r="E32" t="str">
            <v>M04</v>
          </cell>
          <cell r="F32" t="str">
            <v>M3</v>
          </cell>
          <cell r="G32">
            <v>120339.09663549515</v>
          </cell>
          <cell r="H32" t="str">
            <v xml:space="preserve"> Base Camp</v>
          </cell>
        </row>
        <row r="33">
          <cell r="A33" t="str">
            <v>B5</v>
          </cell>
          <cell r="B33" t="str">
            <v>5.</v>
          </cell>
          <cell r="D33" t="str">
            <v>F i l l e r</v>
          </cell>
          <cell r="E33" t="str">
            <v>M05</v>
          </cell>
          <cell r="F33" t="str">
            <v>Kg</v>
          </cell>
          <cell r="G33">
            <v>520</v>
          </cell>
          <cell r="H33" t="str">
            <v xml:space="preserve"> Proses/Base Camp</v>
          </cell>
        </row>
        <row r="34">
          <cell r="A34" t="str">
            <v>B6</v>
          </cell>
          <cell r="B34" t="str">
            <v>6.</v>
          </cell>
          <cell r="D34" t="str">
            <v>Batu Belah / Kerakal</v>
          </cell>
          <cell r="E34" t="str">
            <v>M06</v>
          </cell>
          <cell r="F34" t="str">
            <v>M3</v>
          </cell>
          <cell r="G34">
            <v>241100</v>
          </cell>
          <cell r="H34" t="str">
            <v xml:space="preserve"> Lokasi Pekerjaan</v>
          </cell>
        </row>
        <row r="35">
          <cell r="A35" t="str">
            <v>B7</v>
          </cell>
          <cell r="B35" t="str">
            <v>7.</v>
          </cell>
          <cell r="D35" t="str">
            <v>G r a v e l</v>
          </cell>
          <cell r="E35" t="str">
            <v>M07</v>
          </cell>
          <cell r="F35" t="str">
            <v>M3</v>
          </cell>
          <cell r="G35">
            <v>579000</v>
          </cell>
          <cell r="H35" t="str">
            <v xml:space="preserve"> Base Camp</v>
          </cell>
        </row>
        <row r="36">
          <cell r="A36" t="str">
            <v>B8</v>
          </cell>
          <cell r="B36" t="str">
            <v>8.</v>
          </cell>
          <cell r="D36" t="str">
            <v>Bahan Timbunan</v>
          </cell>
          <cell r="E36" t="str">
            <v>M08</v>
          </cell>
          <cell r="F36" t="str">
            <v>M3</v>
          </cell>
          <cell r="G36">
            <v>20700</v>
          </cell>
          <cell r="H36" t="str">
            <v xml:space="preserve"> Borrow Pit/quarry</v>
          </cell>
        </row>
        <row r="37">
          <cell r="A37" t="str">
            <v>B9</v>
          </cell>
          <cell r="B37" t="str">
            <v>9.</v>
          </cell>
          <cell r="D37" t="str">
            <v>Bahan Pilihan</v>
          </cell>
          <cell r="E37" t="str">
            <v>M09</v>
          </cell>
          <cell r="F37" t="str">
            <v>M3</v>
          </cell>
          <cell r="G37">
            <v>25000</v>
          </cell>
          <cell r="H37" t="str">
            <v xml:space="preserve"> Quarry</v>
          </cell>
        </row>
        <row r="38">
          <cell r="A38" t="str">
            <v>B10</v>
          </cell>
          <cell r="B38" t="str">
            <v>10.</v>
          </cell>
          <cell r="D38" t="str">
            <v>Aspal</v>
          </cell>
          <cell r="E38" t="str">
            <v>M10</v>
          </cell>
          <cell r="F38" t="str">
            <v>KG</v>
          </cell>
          <cell r="G38">
            <v>5750</v>
          </cell>
          <cell r="H38" t="str">
            <v xml:space="preserve"> Base Camp</v>
          </cell>
        </row>
        <row r="39">
          <cell r="A39" t="str">
            <v>B11</v>
          </cell>
          <cell r="B39" t="str">
            <v>11.</v>
          </cell>
          <cell r="D39" t="str">
            <v>Kerosen / Minyak Tanah</v>
          </cell>
          <cell r="E39" t="str">
            <v>M11</v>
          </cell>
          <cell r="F39" t="str">
            <v>LITER</v>
          </cell>
          <cell r="G39">
            <v>5900</v>
          </cell>
          <cell r="H39" t="str">
            <v xml:space="preserve"> Base Camp</v>
          </cell>
        </row>
        <row r="40">
          <cell r="A40" t="str">
            <v>B12</v>
          </cell>
          <cell r="B40" t="str">
            <v>12.</v>
          </cell>
          <cell r="D40" t="str">
            <v>Semen</v>
          </cell>
          <cell r="E40" t="str">
            <v>M12</v>
          </cell>
          <cell r="F40" t="str">
            <v>Zak</v>
          </cell>
          <cell r="G40">
            <v>36331.818181818184</v>
          </cell>
          <cell r="H40" t="str">
            <v xml:space="preserve"> Base Camp</v>
          </cell>
        </row>
        <row r="41">
          <cell r="A41" t="str">
            <v>B13</v>
          </cell>
          <cell r="D41" t="str">
            <v>Semen</v>
          </cell>
          <cell r="E41" t="str">
            <v>M12</v>
          </cell>
          <cell r="F41" t="str">
            <v>Kg</v>
          </cell>
          <cell r="G41">
            <v>726.63636363636363</v>
          </cell>
          <cell r="H41" t="str">
            <v xml:space="preserve"> Base Camp</v>
          </cell>
        </row>
        <row r="42">
          <cell r="A42" t="str">
            <v>B14</v>
          </cell>
          <cell r="B42" t="str">
            <v>13.</v>
          </cell>
          <cell r="D42" t="str">
            <v>Besi Beton</v>
          </cell>
          <cell r="E42" t="str">
            <v>M13</v>
          </cell>
          <cell r="F42" t="str">
            <v>Kg</v>
          </cell>
          <cell r="G42">
            <v>8750</v>
          </cell>
          <cell r="H42" t="str">
            <v xml:space="preserve"> Lokasi Pekerjaan</v>
          </cell>
        </row>
        <row r="43">
          <cell r="A43" t="str">
            <v>B15</v>
          </cell>
          <cell r="G43">
            <v>8750</v>
          </cell>
        </row>
        <row r="44">
          <cell r="A44" t="str">
            <v>B16</v>
          </cell>
          <cell r="B44" t="str">
            <v>14.</v>
          </cell>
          <cell r="D44" t="str">
            <v>Kawat Beton</v>
          </cell>
          <cell r="E44" t="str">
            <v>M14</v>
          </cell>
          <cell r="F44" t="str">
            <v>Kg</v>
          </cell>
          <cell r="G44">
            <v>9000</v>
          </cell>
          <cell r="H44" t="str">
            <v xml:space="preserve"> Lokasi Pekerjaan</v>
          </cell>
        </row>
        <row r="45">
          <cell r="A45" t="str">
            <v>B17</v>
          </cell>
          <cell r="B45" t="str">
            <v>15.</v>
          </cell>
          <cell r="D45" t="str">
            <v>Kawat Bronjong</v>
          </cell>
          <cell r="E45" t="str">
            <v>M15</v>
          </cell>
          <cell r="F45" t="str">
            <v>Kg</v>
          </cell>
          <cell r="G45">
            <v>16500</v>
          </cell>
          <cell r="H45" t="str">
            <v xml:space="preserve"> Lokasi Pekerjaan</v>
          </cell>
        </row>
        <row r="46">
          <cell r="A46" t="str">
            <v>B18</v>
          </cell>
          <cell r="B46" t="str">
            <v>16.</v>
          </cell>
          <cell r="D46" t="str">
            <v>S i r t u</v>
          </cell>
          <cell r="E46" t="str">
            <v>M16</v>
          </cell>
          <cell r="F46" t="str">
            <v>M3</v>
          </cell>
          <cell r="G46">
            <v>55100</v>
          </cell>
          <cell r="H46" t="str">
            <v xml:space="preserve"> Lokasi Pekerjaan</v>
          </cell>
        </row>
        <row r="47">
          <cell r="A47" t="str">
            <v>B19</v>
          </cell>
          <cell r="B47" t="str">
            <v>17.</v>
          </cell>
          <cell r="D47" t="str">
            <v>Cat Marka (Non Thermoplas)</v>
          </cell>
          <cell r="E47" t="str">
            <v>M17a</v>
          </cell>
          <cell r="F47" t="str">
            <v>Kg</v>
          </cell>
          <cell r="G47">
            <v>40000</v>
          </cell>
          <cell r="H47" t="str">
            <v xml:space="preserve"> Lokasi Pekerjaan</v>
          </cell>
        </row>
        <row r="48">
          <cell r="A48" t="str">
            <v>B20</v>
          </cell>
          <cell r="D48" t="str">
            <v>Cat Marka (Thermoplastic)</v>
          </cell>
          <cell r="E48" t="str">
            <v>M17b</v>
          </cell>
          <cell r="F48" t="str">
            <v>Kg</v>
          </cell>
          <cell r="G48">
            <v>45000</v>
          </cell>
          <cell r="H48" t="str">
            <v xml:space="preserve"> Lokasi Pekerjaan</v>
          </cell>
        </row>
        <row r="49">
          <cell r="A49" t="str">
            <v>B21</v>
          </cell>
          <cell r="B49" t="str">
            <v>18.</v>
          </cell>
          <cell r="D49" t="str">
            <v>P a k u</v>
          </cell>
          <cell r="E49" t="str">
            <v>M18</v>
          </cell>
          <cell r="F49" t="str">
            <v>Kg</v>
          </cell>
          <cell r="G49">
            <v>5500</v>
          </cell>
          <cell r="H49" t="str">
            <v xml:space="preserve"> Lokasi Pekerjaan</v>
          </cell>
        </row>
        <row r="51">
          <cell r="H51" t="str">
            <v xml:space="preserve">Berlanjut ke halaman berikut  </v>
          </cell>
        </row>
        <row r="52">
          <cell r="B52" t="str">
            <v>DAFTAR</v>
          </cell>
        </row>
        <row r="53">
          <cell r="B53" t="str">
            <v>HARGA DASAR SATUAN BAHAN</v>
          </cell>
        </row>
        <row r="54">
          <cell r="H54" t="str">
            <v xml:space="preserve">Lanjutan </v>
          </cell>
        </row>
        <row r="55">
          <cell r="G55" t="str">
            <v>HARGA</v>
          </cell>
        </row>
        <row r="56">
          <cell r="B56" t="str">
            <v>No.</v>
          </cell>
          <cell r="C56" t="str">
            <v>U R A I A N</v>
          </cell>
          <cell r="E56" t="str">
            <v>KODE</v>
          </cell>
          <cell r="F56" t="str">
            <v>SATUAN</v>
          </cell>
          <cell r="G56" t="str">
            <v>SATUAN</v>
          </cell>
          <cell r="H56" t="str">
            <v>KETERANGAN</v>
          </cell>
        </row>
        <row r="57">
          <cell r="G57" t="str">
            <v>( Rp.)</v>
          </cell>
        </row>
        <row r="59">
          <cell r="A59" t="str">
            <v>B22</v>
          </cell>
          <cell r="B59" t="str">
            <v>19.</v>
          </cell>
          <cell r="D59" t="str">
            <v>Kayu Perancah</v>
          </cell>
          <cell r="E59" t="str">
            <v>M19</v>
          </cell>
          <cell r="F59" t="str">
            <v>M3</v>
          </cell>
          <cell r="G59">
            <v>1200000</v>
          </cell>
          <cell r="H59" t="str">
            <v xml:space="preserve"> Lokasi Pekerjaan</v>
          </cell>
        </row>
        <row r="60">
          <cell r="A60" t="str">
            <v>B23</v>
          </cell>
          <cell r="B60" t="str">
            <v>20.</v>
          </cell>
          <cell r="D60" t="str">
            <v>B e n s i n</v>
          </cell>
          <cell r="E60" t="str">
            <v>M20</v>
          </cell>
          <cell r="F60" t="str">
            <v>LITER</v>
          </cell>
          <cell r="G60">
            <v>6500</v>
          </cell>
          <cell r="H60" t="str">
            <v xml:space="preserve"> Pertamina</v>
          </cell>
        </row>
        <row r="61">
          <cell r="A61" t="str">
            <v>B24</v>
          </cell>
          <cell r="B61" t="str">
            <v>21.</v>
          </cell>
          <cell r="D61" t="str">
            <v>S o l a r</v>
          </cell>
          <cell r="E61" t="str">
            <v>M21</v>
          </cell>
          <cell r="F61" t="str">
            <v>LITER</v>
          </cell>
          <cell r="G61">
            <v>5850</v>
          </cell>
          <cell r="H61" t="str">
            <v xml:space="preserve"> Industri</v>
          </cell>
        </row>
        <row r="62">
          <cell r="A62" t="str">
            <v>B25</v>
          </cell>
          <cell r="B62" t="str">
            <v>22.</v>
          </cell>
          <cell r="D62" t="str">
            <v>Minyak Pelumas / Olie</v>
          </cell>
          <cell r="E62" t="str">
            <v>M22</v>
          </cell>
          <cell r="F62" t="str">
            <v>LITER</v>
          </cell>
          <cell r="G62">
            <v>15000</v>
          </cell>
          <cell r="H62" t="str">
            <v xml:space="preserve"> Pertamina</v>
          </cell>
        </row>
        <row r="63">
          <cell r="A63" t="str">
            <v>B26</v>
          </cell>
          <cell r="B63" t="str">
            <v>23.</v>
          </cell>
          <cell r="D63" t="str">
            <v>Plastik Filter</v>
          </cell>
          <cell r="E63" t="str">
            <v>M23</v>
          </cell>
          <cell r="F63" t="str">
            <v>M2</v>
          </cell>
          <cell r="G63">
            <v>10500</v>
          </cell>
          <cell r="H63" t="str">
            <v xml:space="preserve"> Lokasi Pekerjaan</v>
          </cell>
        </row>
        <row r="64">
          <cell r="A64" t="str">
            <v>B27</v>
          </cell>
          <cell r="B64" t="str">
            <v>24.</v>
          </cell>
          <cell r="D64" t="str">
            <v>Pipa Galvanis Dia. 3"</v>
          </cell>
          <cell r="E64" t="str">
            <v>M24</v>
          </cell>
          <cell r="F64" t="str">
            <v>Batang</v>
          </cell>
          <cell r="G64">
            <v>76000</v>
          </cell>
          <cell r="H64" t="str">
            <v xml:space="preserve"> Lokasi Pekerjaan</v>
          </cell>
        </row>
        <row r="65">
          <cell r="A65" t="str">
            <v>B28</v>
          </cell>
          <cell r="B65" t="str">
            <v>25.</v>
          </cell>
          <cell r="D65" t="str">
            <v>Pipa Porus</v>
          </cell>
          <cell r="E65" t="str">
            <v>M25</v>
          </cell>
          <cell r="F65" t="str">
            <v>M'</v>
          </cell>
          <cell r="G65">
            <v>13250</v>
          </cell>
          <cell r="H65" t="str">
            <v xml:space="preserve"> Lokasi Pekerjaan</v>
          </cell>
        </row>
        <row r="66">
          <cell r="A66" t="str">
            <v>B29</v>
          </cell>
          <cell r="B66" t="str">
            <v>26.</v>
          </cell>
          <cell r="D66" t="str">
            <v>Bahan Agr.Base Kelas A</v>
          </cell>
          <cell r="E66" t="str">
            <v>M26</v>
          </cell>
          <cell r="F66" t="str">
            <v>M3</v>
          </cell>
          <cell r="G66">
            <v>128911.55019520213</v>
          </cell>
          <cell r="H66" t="str">
            <v xml:space="preserve"> Base Camp</v>
          </cell>
        </row>
        <row r="67">
          <cell r="A67" t="str">
            <v>B30</v>
          </cell>
          <cell r="B67" t="str">
            <v>27.</v>
          </cell>
          <cell r="D67" t="str">
            <v>Bahan Agr.Base Kelas B</v>
          </cell>
          <cell r="E67" t="str">
            <v>M27</v>
          </cell>
          <cell r="F67" t="str">
            <v>M3</v>
          </cell>
          <cell r="G67">
            <v>73865.312966760117</v>
          </cell>
          <cell r="H67" t="str">
            <v xml:space="preserve"> Base Camp</v>
          </cell>
        </row>
        <row r="68">
          <cell r="A68" t="str">
            <v>B31</v>
          </cell>
          <cell r="B68" t="str">
            <v>28.</v>
          </cell>
          <cell r="D68" t="str">
            <v>Bahan Agr.Base Kelas C</v>
          </cell>
          <cell r="E68" t="str">
            <v>M28</v>
          </cell>
          <cell r="F68" t="str">
            <v>M3</v>
          </cell>
          <cell r="G68">
            <v>105593.54910654102</v>
          </cell>
          <cell r="H68" t="str">
            <v xml:space="preserve"> Base Camp</v>
          </cell>
        </row>
        <row r="69">
          <cell r="A69" t="str">
            <v>B32</v>
          </cell>
          <cell r="B69" t="str">
            <v>29.</v>
          </cell>
          <cell r="D69" t="str">
            <v>Bahan Agr.Base Kelas C2</v>
          </cell>
          <cell r="E69" t="str">
            <v>M29</v>
          </cell>
          <cell r="F69" t="str">
            <v>M3</v>
          </cell>
          <cell r="G69" t="str">
            <v xml:space="preserve">-  </v>
          </cell>
          <cell r="H69" t="str">
            <v xml:space="preserve"> Tidak tersedia</v>
          </cell>
        </row>
        <row r="70">
          <cell r="A70" t="str">
            <v>B33</v>
          </cell>
          <cell r="B70" t="str">
            <v>30.</v>
          </cell>
          <cell r="D70" t="str">
            <v>Geotextile</v>
          </cell>
          <cell r="E70" t="str">
            <v>M30</v>
          </cell>
          <cell r="F70" t="str">
            <v>M2</v>
          </cell>
          <cell r="G70">
            <v>10320</v>
          </cell>
          <cell r="H70" t="str">
            <v xml:space="preserve"> Lokasi Pekerjaan</v>
          </cell>
        </row>
        <row r="71">
          <cell r="A71" t="str">
            <v>B34</v>
          </cell>
          <cell r="B71" t="str">
            <v>31.</v>
          </cell>
          <cell r="D71" t="str">
            <v>Aspal Emulsi</v>
          </cell>
          <cell r="E71" t="str">
            <v>M31</v>
          </cell>
          <cell r="F71" t="str">
            <v>Kg</v>
          </cell>
          <cell r="G71">
            <v>1750</v>
          </cell>
          <cell r="H71" t="str">
            <v xml:space="preserve"> Base Camp</v>
          </cell>
        </row>
        <row r="72">
          <cell r="A72" t="str">
            <v>B35</v>
          </cell>
          <cell r="B72" t="str">
            <v>32.</v>
          </cell>
          <cell r="D72" t="str">
            <v>Gebalan Rumput</v>
          </cell>
          <cell r="E72" t="str">
            <v>M32</v>
          </cell>
          <cell r="F72" t="str">
            <v>M2</v>
          </cell>
          <cell r="G72">
            <v>5500</v>
          </cell>
          <cell r="H72" t="str">
            <v xml:space="preserve"> Lokasi Pekerjaan</v>
          </cell>
        </row>
        <row r="73">
          <cell r="A73" t="str">
            <v>B36</v>
          </cell>
          <cell r="B73" t="str">
            <v>33.</v>
          </cell>
          <cell r="D73" t="str">
            <v>Thinner</v>
          </cell>
          <cell r="E73" t="str">
            <v>M33</v>
          </cell>
          <cell r="F73" t="str">
            <v>LITER</v>
          </cell>
          <cell r="G73">
            <v>19000</v>
          </cell>
          <cell r="H73" t="str">
            <v xml:space="preserve"> Lokasi Pekerjaan</v>
          </cell>
        </row>
        <row r="74">
          <cell r="A74" t="str">
            <v>B37</v>
          </cell>
          <cell r="B74" t="str">
            <v>34.</v>
          </cell>
          <cell r="D74" t="str">
            <v>Glass Bead</v>
          </cell>
          <cell r="E74" t="str">
            <v>M34</v>
          </cell>
          <cell r="F74" t="str">
            <v>Kg</v>
          </cell>
          <cell r="G74">
            <v>29398.39</v>
          </cell>
          <cell r="H74" t="str">
            <v xml:space="preserve"> Lokasi Pekerjaan</v>
          </cell>
        </row>
        <row r="75">
          <cell r="A75" t="str">
            <v>B38</v>
          </cell>
          <cell r="B75" t="str">
            <v>35.</v>
          </cell>
          <cell r="D75" t="str">
            <v>Pelat Rambu (Eng. Grade)</v>
          </cell>
          <cell r="E75" t="str">
            <v>M35a</v>
          </cell>
          <cell r="F75" t="str">
            <v>BH</v>
          </cell>
          <cell r="G75">
            <v>75000</v>
          </cell>
          <cell r="H75" t="str">
            <v xml:space="preserve"> Lokasi Pekerjaan</v>
          </cell>
        </row>
        <row r="76">
          <cell r="A76" t="str">
            <v>B39</v>
          </cell>
          <cell r="D76" t="str">
            <v>Pelat Rambu (High I. Grade)</v>
          </cell>
          <cell r="E76" t="str">
            <v>M35b</v>
          </cell>
          <cell r="F76" t="str">
            <v>BH</v>
          </cell>
          <cell r="G76">
            <v>100000</v>
          </cell>
          <cell r="H76" t="str">
            <v xml:space="preserve"> Lokasi Pekerjaan</v>
          </cell>
        </row>
        <row r="77">
          <cell r="A77" t="str">
            <v>B40</v>
          </cell>
          <cell r="B77" t="str">
            <v>36.</v>
          </cell>
          <cell r="D77" t="str">
            <v>Rel Pengaman</v>
          </cell>
          <cell r="E77" t="str">
            <v>M36</v>
          </cell>
          <cell r="F77" t="str">
            <v>M'</v>
          </cell>
          <cell r="G77">
            <v>55000</v>
          </cell>
          <cell r="H77" t="str">
            <v xml:space="preserve"> Lokasi Pekerjaan</v>
          </cell>
        </row>
        <row r="79">
          <cell r="H79" t="str">
            <v xml:space="preserve">Berlanjut ke halaman berikut  </v>
          </cell>
        </row>
        <row r="80">
          <cell r="B80" t="str">
            <v>DAFTAR</v>
          </cell>
        </row>
        <row r="81">
          <cell r="B81" t="str">
            <v>HARGA DASAR SATUAN BAHAN</v>
          </cell>
        </row>
        <row r="82">
          <cell r="H82" t="str">
            <v xml:space="preserve">Lanjutan </v>
          </cell>
        </row>
        <row r="83">
          <cell r="G83" t="str">
            <v>HARGA</v>
          </cell>
        </row>
        <row r="84">
          <cell r="B84" t="str">
            <v>No.</v>
          </cell>
          <cell r="C84" t="str">
            <v>U R A I A N</v>
          </cell>
          <cell r="E84" t="str">
            <v>KODE</v>
          </cell>
          <cell r="F84" t="str">
            <v>SATUAN</v>
          </cell>
          <cell r="G84" t="str">
            <v>SATUAN</v>
          </cell>
          <cell r="H84" t="str">
            <v>KETERANGAN</v>
          </cell>
        </row>
        <row r="85">
          <cell r="G85" t="str">
            <v>( Rp.)</v>
          </cell>
        </row>
        <row r="87">
          <cell r="A87" t="str">
            <v>B41</v>
          </cell>
          <cell r="B87" t="str">
            <v>37.</v>
          </cell>
          <cell r="D87" t="str">
            <v>Beton K-250</v>
          </cell>
          <cell r="E87" t="str">
            <v>M37</v>
          </cell>
          <cell r="F87" t="str">
            <v>M3</v>
          </cell>
          <cell r="G87">
            <v>711039.96499617188</v>
          </cell>
          <cell r="H87" t="str">
            <v xml:space="preserve"> Lokasi Pekerjaan</v>
          </cell>
        </row>
        <row r="88">
          <cell r="A88" t="str">
            <v>B42</v>
          </cell>
          <cell r="B88" t="str">
            <v>38.</v>
          </cell>
          <cell r="D88" t="str">
            <v>Beton K-225</v>
          </cell>
          <cell r="E88" t="str">
            <v>M38</v>
          </cell>
          <cell r="F88" t="str">
            <v>M3</v>
          </cell>
          <cell r="G88">
            <v>631710.70724234649</v>
          </cell>
          <cell r="H88" t="str">
            <v xml:space="preserve"> Lokasi Pekerjaan</v>
          </cell>
        </row>
        <row r="89">
          <cell r="A89" t="str">
            <v>B43</v>
          </cell>
          <cell r="B89" t="str">
            <v>39.</v>
          </cell>
          <cell r="D89" t="str">
            <v>Baja Tulangan (Polos) U24</v>
          </cell>
          <cell r="E89" t="str">
            <v>M39a</v>
          </cell>
          <cell r="F89" t="str">
            <v>Kg</v>
          </cell>
          <cell r="G89">
            <v>10717.5</v>
          </cell>
          <cell r="H89" t="str">
            <v xml:space="preserve"> Lokasi Pekerjaan</v>
          </cell>
        </row>
        <row r="90">
          <cell r="A90" t="str">
            <v>B44</v>
          </cell>
          <cell r="D90" t="str">
            <v>Baja Tulangan (Ulir) D32</v>
          </cell>
          <cell r="E90" t="str">
            <v>M39b</v>
          </cell>
          <cell r="F90" t="str">
            <v>Kg</v>
          </cell>
          <cell r="G90">
            <v>10570</v>
          </cell>
          <cell r="H90" t="str">
            <v xml:space="preserve"> Lokasi Pekerjaan</v>
          </cell>
        </row>
        <row r="91">
          <cell r="A91" t="str">
            <v>B45</v>
          </cell>
          <cell r="B91" t="str">
            <v>40.</v>
          </cell>
          <cell r="D91" t="str">
            <v>Kapur</v>
          </cell>
          <cell r="E91" t="str">
            <v>M40</v>
          </cell>
          <cell r="F91" t="str">
            <v>M3</v>
          </cell>
          <cell r="G91">
            <v>125000</v>
          </cell>
          <cell r="H91" t="str">
            <v xml:space="preserve"> Hasil Proses</v>
          </cell>
        </row>
        <row r="92">
          <cell r="A92" t="str">
            <v>B46</v>
          </cell>
          <cell r="B92" t="str">
            <v>41.</v>
          </cell>
          <cell r="D92" t="str">
            <v>Chipping</v>
          </cell>
          <cell r="E92" t="str">
            <v>M41</v>
          </cell>
          <cell r="F92" t="str">
            <v>M3</v>
          </cell>
          <cell r="G92">
            <v>124807.31534784107</v>
          </cell>
          <cell r="H92" t="str">
            <v xml:space="preserve"> Base Camp</v>
          </cell>
        </row>
        <row r="93">
          <cell r="A93" t="str">
            <v>B47</v>
          </cell>
          <cell r="F93" t="str">
            <v>Kg</v>
          </cell>
          <cell r="G93">
            <v>66.217803134465768</v>
          </cell>
          <cell r="H93" t="str">
            <v xml:space="preserve"> Base Camp</v>
          </cell>
        </row>
        <row r="94">
          <cell r="A94" t="str">
            <v>B48</v>
          </cell>
          <cell r="B94" t="str">
            <v>42.</v>
          </cell>
          <cell r="D94" t="str">
            <v>Cat</v>
          </cell>
          <cell r="E94" t="str">
            <v>M42</v>
          </cell>
          <cell r="F94" t="str">
            <v>Kg</v>
          </cell>
          <cell r="G94">
            <v>22500</v>
          </cell>
          <cell r="H94" t="str">
            <v xml:space="preserve"> Base Camp</v>
          </cell>
        </row>
        <row r="95">
          <cell r="A95" t="str">
            <v>B49</v>
          </cell>
          <cell r="B95" t="str">
            <v>43.</v>
          </cell>
          <cell r="D95" t="str">
            <v>Pemantul Cahaya (Reflector)</v>
          </cell>
          <cell r="E95" t="str">
            <v>M43</v>
          </cell>
          <cell r="F95" t="str">
            <v>Bh.</v>
          </cell>
          <cell r="G95">
            <v>5250</v>
          </cell>
          <cell r="H95" t="str">
            <v xml:space="preserve"> Base Camp</v>
          </cell>
        </row>
        <row r="96">
          <cell r="A96" t="str">
            <v>B50</v>
          </cell>
          <cell r="B96" t="str">
            <v>44.</v>
          </cell>
          <cell r="D96" t="str">
            <v>Pasir Urug</v>
          </cell>
          <cell r="E96" t="str">
            <v>M44</v>
          </cell>
          <cell r="F96" t="str">
            <v>M3</v>
          </cell>
          <cell r="G96">
            <v>41400</v>
          </cell>
          <cell r="H96" t="str">
            <v xml:space="preserve"> Base Camp</v>
          </cell>
        </row>
        <row r="97">
          <cell r="A97" t="str">
            <v>B51</v>
          </cell>
          <cell r="B97" t="str">
            <v>45.</v>
          </cell>
          <cell r="D97" t="str">
            <v>Arbocell</v>
          </cell>
          <cell r="E97" t="str">
            <v>M45</v>
          </cell>
          <cell r="F97" t="str">
            <v>Kg.</v>
          </cell>
          <cell r="G97">
            <v>25000</v>
          </cell>
          <cell r="H97" t="str">
            <v xml:space="preserve"> Base Camp</v>
          </cell>
        </row>
        <row r="98">
          <cell r="A98" t="str">
            <v>B52</v>
          </cell>
          <cell r="B98" t="str">
            <v>46.</v>
          </cell>
          <cell r="D98" t="str">
            <v>Baja Bergelombang</v>
          </cell>
          <cell r="E98" t="str">
            <v>M46</v>
          </cell>
          <cell r="F98" t="str">
            <v>Kg</v>
          </cell>
          <cell r="G98">
            <v>7500</v>
          </cell>
          <cell r="H98" t="str">
            <v xml:space="preserve"> Lokasi Pekerjaan</v>
          </cell>
        </row>
        <row r="99">
          <cell r="A99" t="str">
            <v>B53</v>
          </cell>
          <cell r="B99" t="str">
            <v>47.</v>
          </cell>
          <cell r="D99" t="str">
            <v>Beton K-125</v>
          </cell>
          <cell r="E99" t="str">
            <v>M47</v>
          </cell>
          <cell r="F99" t="str">
            <v>M3</v>
          </cell>
          <cell r="G99">
            <v>488555.92690822814</v>
          </cell>
          <cell r="H99" t="str">
            <v xml:space="preserve"> Lokasi Pekerjaan</v>
          </cell>
        </row>
        <row r="100">
          <cell r="A100" t="str">
            <v>B54</v>
          </cell>
          <cell r="B100" t="str">
            <v>48.</v>
          </cell>
          <cell r="D100" t="str">
            <v>Baja Struktur</v>
          </cell>
          <cell r="E100" t="str">
            <v>M48</v>
          </cell>
          <cell r="F100" t="str">
            <v>Kg</v>
          </cell>
          <cell r="G100">
            <v>5600</v>
          </cell>
          <cell r="H100" t="str">
            <v xml:space="preserve"> Pelabuhan terdekat</v>
          </cell>
        </row>
        <row r="101">
          <cell r="A101" t="str">
            <v>B55</v>
          </cell>
          <cell r="B101" t="str">
            <v>49.</v>
          </cell>
          <cell r="D101" t="str">
            <v>Tiang Pancang Baja</v>
          </cell>
          <cell r="E101" t="str">
            <v>M49</v>
          </cell>
          <cell r="F101" t="str">
            <v>M'</v>
          </cell>
          <cell r="G101">
            <v>1853559.3734438808</v>
          </cell>
          <cell r="H101" t="str">
            <v xml:space="preserve"> Lokasi Pekerjaan</v>
          </cell>
        </row>
        <row r="102">
          <cell r="A102" t="str">
            <v>B56</v>
          </cell>
          <cell r="B102" t="str">
            <v>50.</v>
          </cell>
          <cell r="D102" t="str">
            <v>T. Pancang Beton Pratekan</v>
          </cell>
          <cell r="E102" t="str">
            <v>M50</v>
          </cell>
          <cell r="F102" t="str">
            <v>M3</v>
          </cell>
          <cell r="G102">
            <v>1492500</v>
          </cell>
          <cell r="H102" t="str">
            <v xml:space="preserve"> Pelabuhan terdekat</v>
          </cell>
        </row>
        <row r="103">
          <cell r="A103" t="str">
            <v>B57</v>
          </cell>
          <cell r="B103" t="str">
            <v>51.</v>
          </cell>
          <cell r="D103" t="str">
            <v>Kawat Las</v>
          </cell>
          <cell r="E103" t="str">
            <v>M51</v>
          </cell>
          <cell r="F103" t="str">
            <v>Dos</v>
          </cell>
          <cell r="G103">
            <v>55000</v>
          </cell>
          <cell r="H103" t="str">
            <v xml:space="preserve"> Lokasi Pekerjaan</v>
          </cell>
        </row>
        <row r="104">
          <cell r="A104" t="str">
            <v>B58</v>
          </cell>
          <cell r="B104" t="str">
            <v>52.</v>
          </cell>
          <cell r="D104" t="str">
            <v>Pipa Baja</v>
          </cell>
          <cell r="E104" t="str">
            <v>M52</v>
          </cell>
          <cell r="F104" t="str">
            <v>Kg</v>
          </cell>
          <cell r="G104">
            <v>5500</v>
          </cell>
          <cell r="H104" t="str">
            <v xml:space="preserve"> Pelabuhan terdekat</v>
          </cell>
        </row>
        <row r="105">
          <cell r="A105" t="str">
            <v>B59</v>
          </cell>
          <cell r="B105" t="str">
            <v>53.</v>
          </cell>
          <cell r="D105" t="str">
            <v>Minyak Fluks</v>
          </cell>
          <cell r="E105" t="str">
            <v>M53</v>
          </cell>
          <cell r="F105" t="str">
            <v>Liter</v>
          </cell>
          <cell r="G105">
            <v>550</v>
          </cell>
          <cell r="H105" t="str">
            <v xml:space="preserve"> Base Camp</v>
          </cell>
        </row>
        <row r="108">
          <cell r="H108" t="str">
            <v xml:space="preserve">Berlanjut ke halaman berikut  </v>
          </cell>
        </row>
        <row r="109">
          <cell r="B109" t="str">
            <v>DAFTAR</v>
          </cell>
        </row>
        <row r="110">
          <cell r="B110" t="str">
            <v>HARGA DASAR SATUAN BAHAN</v>
          </cell>
        </row>
        <row r="111">
          <cell r="H111" t="str">
            <v xml:space="preserve">Lanjutan </v>
          </cell>
        </row>
        <row r="112">
          <cell r="G112" t="str">
            <v>HARGA</v>
          </cell>
        </row>
        <row r="113">
          <cell r="B113" t="str">
            <v>No.</v>
          </cell>
          <cell r="C113" t="str">
            <v>U R A I A N</v>
          </cell>
          <cell r="E113" t="str">
            <v>KODE</v>
          </cell>
          <cell r="F113" t="str">
            <v>SATUAN</v>
          </cell>
          <cell r="G113" t="str">
            <v>SATUAN</v>
          </cell>
          <cell r="H113" t="str">
            <v>KETERANGAN</v>
          </cell>
        </row>
        <row r="114">
          <cell r="G114" t="str">
            <v>( Rp.)</v>
          </cell>
        </row>
        <row r="116">
          <cell r="A116" t="str">
            <v>B60</v>
          </cell>
          <cell r="B116" t="str">
            <v>54.</v>
          </cell>
          <cell r="D116" t="str">
            <v>Bunker Oil</v>
          </cell>
          <cell r="E116" t="str">
            <v>M54</v>
          </cell>
          <cell r="F116" t="str">
            <v>Liter</v>
          </cell>
          <cell r="G116">
            <v>600</v>
          </cell>
          <cell r="H116" t="str">
            <v xml:space="preserve"> Base Camp</v>
          </cell>
        </row>
        <row r="117">
          <cell r="A117" t="str">
            <v>B61</v>
          </cell>
          <cell r="B117" t="str">
            <v>55.</v>
          </cell>
          <cell r="D117" t="str">
            <v>Asbuton Halus</v>
          </cell>
          <cell r="E117" t="str">
            <v>M55</v>
          </cell>
          <cell r="F117" t="str">
            <v>Ton</v>
          </cell>
          <cell r="G117">
            <v>315000</v>
          </cell>
          <cell r="H117" t="str">
            <v xml:space="preserve"> Base Camp</v>
          </cell>
        </row>
        <row r="118">
          <cell r="A118" t="str">
            <v>B62</v>
          </cell>
          <cell r="B118" t="str">
            <v>56.</v>
          </cell>
          <cell r="D118" t="str">
            <v>Baja Prategang</v>
          </cell>
          <cell r="E118" t="str">
            <v>M56</v>
          </cell>
          <cell r="F118" t="str">
            <v>Kg</v>
          </cell>
          <cell r="G118">
            <v>7750</v>
          </cell>
          <cell r="H118" t="str">
            <v xml:space="preserve"> Base Camp</v>
          </cell>
        </row>
        <row r="119">
          <cell r="A119" t="str">
            <v>B63</v>
          </cell>
          <cell r="B119" t="str">
            <v>57.</v>
          </cell>
          <cell r="D119" t="str">
            <v>Baja Tulangan (Polos) U32</v>
          </cell>
          <cell r="E119" t="str">
            <v>M57a</v>
          </cell>
          <cell r="F119" t="str">
            <v>Kg</v>
          </cell>
          <cell r="G119">
            <v>4250</v>
          </cell>
          <cell r="H119" t="str">
            <v xml:space="preserve"> Lokasi Pekerjaan</v>
          </cell>
        </row>
        <row r="120">
          <cell r="A120" t="str">
            <v>B64</v>
          </cell>
          <cell r="D120" t="str">
            <v>Baja Tulangan (Ulir) D39</v>
          </cell>
          <cell r="E120" t="str">
            <v>M57b</v>
          </cell>
          <cell r="F120" t="str">
            <v>Kg</v>
          </cell>
          <cell r="G120">
            <v>4750</v>
          </cell>
          <cell r="H120" t="str">
            <v xml:space="preserve"> Lokasi Pekerjaan</v>
          </cell>
        </row>
        <row r="121">
          <cell r="A121" t="str">
            <v>B65</v>
          </cell>
          <cell r="D121" t="str">
            <v>Baja Tulangan (Ulir) D48</v>
          </cell>
          <cell r="E121" t="str">
            <v>M57c</v>
          </cell>
          <cell r="F121" t="str">
            <v>Kg</v>
          </cell>
          <cell r="G121">
            <v>5000</v>
          </cell>
          <cell r="H121" t="str">
            <v xml:space="preserve"> Lokasi Pekerjaan</v>
          </cell>
        </row>
        <row r="122">
          <cell r="A122" t="str">
            <v>B66</v>
          </cell>
          <cell r="B122" t="str">
            <v>58.</v>
          </cell>
          <cell r="D122" t="str">
            <v>PCI Girder L=17m</v>
          </cell>
          <cell r="E122" t="str">
            <v>M58a</v>
          </cell>
          <cell r="F122" t="str">
            <v>Buah</v>
          </cell>
          <cell r="G122">
            <v>22750000</v>
          </cell>
          <cell r="H122" t="str">
            <v xml:space="preserve"> Pelabuhan terdekat</v>
          </cell>
        </row>
        <row r="123">
          <cell r="A123" t="str">
            <v>B67</v>
          </cell>
          <cell r="D123" t="str">
            <v>PCI Girder L=21m</v>
          </cell>
          <cell r="E123" t="str">
            <v>M58b</v>
          </cell>
          <cell r="F123" t="str">
            <v>Buah</v>
          </cell>
          <cell r="G123">
            <v>26000000</v>
          </cell>
          <cell r="H123" t="str">
            <v xml:space="preserve"> Pelabuhan terdekat</v>
          </cell>
        </row>
        <row r="124">
          <cell r="A124" t="str">
            <v>B68</v>
          </cell>
          <cell r="D124" t="str">
            <v>PCI Girder L=26m</v>
          </cell>
          <cell r="E124" t="str">
            <v>M58c</v>
          </cell>
          <cell r="F124" t="str">
            <v>Buah</v>
          </cell>
          <cell r="G124">
            <v>33750000</v>
          </cell>
          <cell r="H124" t="str">
            <v xml:space="preserve"> Pelabuhan terdekat</v>
          </cell>
        </row>
        <row r="125">
          <cell r="A125" t="str">
            <v>B69</v>
          </cell>
          <cell r="D125" t="str">
            <v>PCI Girder L=32m</v>
          </cell>
          <cell r="E125" t="str">
            <v>M58d</v>
          </cell>
          <cell r="F125" t="str">
            <v>Buah</v>
          </cell>
          <cell r="G125">
            <v>54350000</v>
          </cell>
          <cell r="H125" t="str">
            <v xml:space="preserve"> Pelabuhan terdekat</v>
          </cell>
        </row>
        <row r="126">
          <cell r="A126" t="str">
            <v>B70</v>
          </cell>
          <cell r="D126" t="str">
            <v>PCI Girder L=36m</v>
          </cell>
          <cell r="E126" t="str">
            <v>M58e</v>
          </cell>
          <cell r="F126" t="str">
            <v>Buah</v>
          </cell>
          <cell r="G126">
            <v>63450000</v>
          </cell>
          <cell r="H126" t="str">
            <v xml:space="preserve"> Pelabuhan terdekat</v>
          </cell>
        </row>
        <row r="127">
          <cell r="A127" t="str">
            <v>B71</v>
          </cell>
          <cell r="D127" t="str">
            <v>PCI Girder L=41m</v>
          </cell>
          <cell r="E127" t="str">
            <v>M58f</v>
          </cell>
          <cell r="F127" t="str">
            <v>Buah</v>
          </cell>
          <cell r="G127">
            <v>82500000</v>
          </cell>
          <cell r="H127" t="str">
            <v xml:space="preserve"> Pelabuhan terdekat</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
      <sheetName val="UPAH&amp;BHN"/>
      <sheetName val="AHS"/>
      <sheetName val="BQ"/>
      <sheetName val="REKAP"/>
      <sheetName val="METHOD"/>
      <sheetName val="SUB-KONTR"/>
      <sheetName val="SCHEDULE"/>
      <sheetName val="AHRG-ALT"/>
      <sheetName val="CAP-PLANT"/>
      <sheetName val="ON-SITE"/>
    </sheetNames>
    <sheetDataSet>
      <sheetData sheetId="0" refreshError="1"/>
      <sheetData sheetId="1" refreshError="1"/>
      <sheetData sheetId="2" refreshError="1">
        <row r="62">
          <cell r="B62" t="str">
            <v>Nama  Penawar</v>
          </cell>
          <cell r="F62" t="str">
            <v>:</v>
          </cell>
          <cell r="G62" t="str">
            <v>PT. WIDYA KARYA GATERA UTAMA</v>
          </cell>
        </row>
        <row r="63">
          <cell r="B63" t="str">
            <v>No.  Pembayaran</v>
          </cell>
          <cell r="F63" t="str">
            <v>:</v>
          </cell>
          <cell r="G63" t="str">
            <v>1 . 2</v>
          </cell>
        </row>
        <row r="64">
          <cell r="B64" t="str">
            <v>Uraian   Pekerjaan</v>
          </cell>
          <cell r="F64" t="str">
            <v>:</v>
          </cell>
          <cell r="G64" t="str">
            <v>Mobilisasi</v>
          </cell>
        </row>
        <row r="65">
          <cell r="B65" t="str">
            <v>Satuan  Pekerjaan</v>
          </cell>
          <cell r="F65" t="str">
            <v>:</v>
          </cell>
          <cell r="G65" t="str">
            <v>LUMP SUM</v>
          </cell>
        </row>
        <row r="67">
          <cell r="B67" t="str">
            <v>No.</v>
          </cell>
          <cell r="C67" t="str">
            <v xml:space="preserve">URAIAN  </v>
          </cell>
          <cell r="F67" t="str">
            <v>KODE</v>
          </cell>
          <cell r="G67" t="str">
            <v>SATUAN</v>
          </cell>
          <cell r="H67" t="str">
            <v>VOLUME</v>
          </cell>
          <cell r="I67" t="str">
            <v>HARGA SAT.</v>
          </cell>
          <cell r="J67" t="str">
            <v>JML. HARGA</v>
          </cell>
        </row>
        <row r="68">
          <cell r="F68" t="str">
            <v>ALAT</v>
          </cell>
          <cell r="I68" t="str">
            <v>(Rp.)</v>
          </cell>
          <cell r="J68" t="str">
            <v>(Rp)</v>
          </cell>
        </row>
        <row r="69">
          <cell r="D69" t="str">
            <v>Peralatan :</v>
          </cell>
        </row>
        <row r="71">
          <cell r="B71">
            <v>1</v>
          </cell>
          <cell r="D71" t="str">
            <v>Aspalt Mixing Plant</v>
          </cell>
          <cell r="G71" t="str">
            <v>Unit</v>
          </cell>
          <cell r="H71">
            <v>1</v>
          </cell>
          <cell r="I71">
            <v>10000000</v>
          </cell>
          <cell r="J71">
            <v>10000000</v>
          </cell>
        </row>
        <row r="72">
          <cell r="B72">
            <v>2</v>
          </cell>
          <cell r="D72" t="str">
            <v>Soil Stabilizer</v>
          </cell>
          <cell r="G72" t="str">
            <v>Unit</v>
          </cell>
          <cell r="H72">
            <v>1</v>
          </cell>
          <cell r="I72">
            <v>1500000</v>
          </cell>
          <cell r="J72">
            <v>1500000</v>
          </cell>
        </row>
        <row r="73">
          <cell r="B73">
            <v>3</v>
          </cell>
          <cell r="D73" t="str">
            <v>Asphalt Finisher</v>
          </cell>
          <cell r="G73" t="str">
            <v>Unit</v>
          </cell>
          <cell r="H73">
            <v>1</v>
          </cell>
          <cell r="I73">
            <v>1000000</v>
          </cell>
          <cell r="J73">
            <v>1000000</v>
          </cell>
        </row>
        <row r="74">
          <cell r="B74">
            <v>4</v>
          </cell>
          <cell r="D74" t="str">
            <v>Asphalt Spayer</v>
          </cell>
          <cell r="G74" t="str">
            <v>Unit</v>
          </cell>
          <cell r="H74">
            <v>1</v>
          </cell>
          <cell r="I74">
            <v>175000</v>
          </cell>
          <cell r="J74">
            <v>175000</v>
          </cell>
        </row>
        <row r="75">
          <cell r="B75">
            <v>5</v>
          </cell>
          <cell r="D75" t="str">
            <v xml:space="preserve">Bulldozer  </v>
          </cell>
          <cell r="G75" t="str">
            <v>Unit</v>
          </cell>
          <cell r="H75">
            <v>1</v>
          </cell>
          <cell r="I75">
            <v>1000000</v>
          </cell>
          <cell r="J75">
            <v>1000000</v>
          </cell>
        </row>
        <row r="76">
          <cell r="B76">
            <v>6</v>
          </cell>
          <cell r="D76" t="str">
            <v>Air Compressor</v>
          </cell>
          <cell r="G76" t="str">
            <v>Unit</v>
          </cell>
          <cell r="H76">
            <v>1</v>
          </cell>
          <cell r="I76">
            <v>175000</v>
          </cell>
          <cell r="J76">
            <v>175000</v>
          </cell>
        </row>
        <row r="77">
          <cell r="B77">
            <v>7</v>
          </cell>
          <cell r="D77" t="str">
            <v>Concrete Mixer</v>
          </cell>
          <cell r="G77" t="str">
            <v>Unit</v>
          </cell>
          <cell r="H77">
            <v>1</v>
          </cell>
          <cell r="I77">
            <v>175000</v>
          </cell>
          <cell r="J77">
            <v>175000</v>
          </cell>
        </row>
        <row r="78">
          <cell r="B78">
            <v>8</v>
          </cell>
          <cell r="D78" t="str">
            <v>Mobile Crane</v>
          </cell>
          <cell r="G78" t="str">
            <v>Unit</v>
          </cell>
          <cell r="H78">
            <v>1</v>
          </cell>
          <cell r="I78">
            <v>1000000</v>
          </cell>
          <cell r="J78">
            <v>1000000</v>
          </cell>
        </row>
        <row r="79">
          <cell r="B79">
            <v>9</v>
          </cell>
          <cell r="D79" t="str">
            <v>Dump Trucks</v>
          </cell>
          <cell r="G79" t="str">
            <v>Unit</v>
          </cell>
          <cell r="H79">
            <v>4</v>
          </cell>
          <cell r="I79">
            <v>175000</v>
          </cell>
          <cell r="J79">
            <v>700000</v>
          </cell>
        </row>
        <row r="80">
          <cell r="B80">
            <v>10</v>
          </cell>
          <cell r="D80" t="str">
            <v>Excavator</v>
          </cell>
          <cell r="G80" t="str">
            <v>Unit</v>
          </cell>
          <cell r="H80">
            <v>1</v>
          </cell>
          <cell r="I80">
            <v>1000000</v>
          </cell>
          <cell r="J80">
            <v>1000000</v>
          </cell>
        </row>
        <row r="81">
          <cell r="B81">
            <v>11</v>
          </cell>
          <cell r="D81" t="str">
            <v>Trailler</v>
          </cell>
          <cell r="G81" t="str">
            <v>Unit</v>
          </cell>
          <cell r="H81">
            <v>1</v>
          </cell>
          <cell r="I81">
            <v>1000000</v>
          </cell>
          <cell r="J81">
            <v>1000000</v>
          </cell>
        </row>
        <row r="82">
          <cell r="B82">
            <v>12</v>
          </cell>
          <cell r="D82" t="str">
            <v>Generator Set</v>
          </cell>
          <cell r="G82" t="str">
            <v>Unit</v>
          </cell>
          <cell r="H82">
            <v>1</v>
          </cell>
          <cell r="I82">
            <v>200000</v>
          </cell>
          <cell r="J82">
            <v>200000</v>
          </cell>
        </row>
        <row r="83">
          <cell r="B83">
            <v>13</v>
          </cell>
          <cell r="D83" t="str">
            <v>Motor Grader</v>
          </cell>
          <cell r="G83" t="str">
            <v>Unit</v>
          </cell>
          <cell r="H83">
            <v>1</v>
          </cell>
          <cell r="I83">
            <v>1000000</v>
          </cell>
          <cell r="J83">
            <v>1000000</v>
          </cell>
        </row>
        <row r="84">
          <cell r="B84">
            <v>14</v>
          </cell>
          <cell r="D84" t="str">
            <v>Wheel Loader</v>
          </cell>
          <cell r="G84" t="str">
            <v>Unit</v>
          </cell>
          <cell r="H84">
            <v>1</v>
          </cell>
          <cell r="I84">
            <v>1000000</v>
          </cell>
          <cell r="J84">
            <v>1000000</v>
          </cell>
        </row>
        <row r="85">
          <cell r="B85">
            <v>15</v>
          </cell>
          <cell r="D85" t="str">
            <v xml:space="preserve">Tandem Roller </v>
          </cell>
          <cell r="G85" t="str">
            <v>Unit</v>
          </cell>
          <cell r="H85">
            <v>1</v>
          </cell>
          <cell r="I85">
            <v>1000000</v>
          </cell>
          <cell r="J85">
            <v>1000000</v>
          </cell>
        </row>
        <row r="86">
          <cell r="B86">
            <v>16</v>
          </cell>
          <cell r="D86" t="str">
            <v>Pneumatic Tyred Roller</v>
          </cell>
          <cell r="G86" t="str">
            <v>Unit</v>
          </cell>
          <cell r="H86">
            <v>1</v>
          </cell>
          <cell r="I86">
            <v>1000000</v>
          </cell>
          <cell r="J86">
            <v>1000000</v>
          </cell>
        </row>
        <row r="87">
          <cell r="B87">
            <v>17</v>
          </cell>
          <cell r="D87" t="str">
            <v>Vibratory Roller</v>
          </cell>
          <cell r="G87" t="str">
            <v>Unit</v>
          </cell>
          <cell r="H87">
            <v>1</v>
          </cell>
          <cell r="I87">
            <v>1000000</v>
          </cell>
          <cell r="J87">
            <v>1000000</v>
          </cell>
        </row>
        <row r="88">
          <cell r="B88">
            <v>18</v>
          </cell>
          <cell r="D88" t="str">
            <v>Concrete Vibrator</v>
          </cell>
          <cell r="G88" t="str">
            <v>Unit</v>
          </cell>
          <cell r="H88">
            <v>1</v>
          </cell>
          <cell r="I88">
            <v>100000</v>
          </cell>
          <cell r="J88">
            <v>100000</v>
          </cell>
        </row>
        <row r="89">
          <cell r="B89">
            <v>19</v>
          </cell>
          <cell r="D89" t="str">
            <v>Water Tanker</v>
          </cell>
          <cell r="G89" t="str">
            <v>Unit</v>
          </cell>
          <cell r="H89">
            <v>1</v>
          </cell>
          <cell r="I89">
            <v>175000</v>
          </cell>
          <cell r="J89">
            <v>175000</v>
          </cell>
        </row>
        <row r="90">
          <cell r="B90">
            <v>20</v>
          </cell>
          <cell r="D90" t="str">
            <v>Water Tank Truck</v>
          </cell>
          <cell r="G90" t="str">
            <v>Unit</v>
          </cell>
          <cell r="H90">
            <v>1</v>
          </cell>
          <cell r="I90">
            <v>175000</v>
          </cell>
          <cell r="J90">
            <v>175000</v>
          </cell>
        </row>
        <row r="91">
          <cell r="B91">
            <v>21</v>
          </cell>
          <cell r="D91" t="str">
            <v>Truck Distributor</v>
          </cell>
          <cell r="G91" t="str">
            <v>Unit</v>
          </cell>
          <cell r="H91">
            <v>1</v>
          </cell>
          <cell r="I91">
            <v>200000</v>
          </cell>
          <cell r="J91">
            <v>200000</v>
          </cell>
        </row>
        <row r="92">
          <cell r="B92">
            <v>22</v>
          </cell>
          <cell r="D92" t="str">
            <v>Survey Equipment</v>
          </cell>
          <cell r="G92" t="str">
            <v>Set</v>
          </cell>
          <cell r="H92">
            <v>1</v>
          </cell>
          <cell r="I92">
            <v>75000</v>
          </cell>
          <cell r="J92">
            <v>75000</v>
          </cell>
        </row>
        <row r="98">
          <cell r="D98" t="str">
            <v>Jumlah untuk Mata Pekerjaan Peralatan   2a - 1</v>
          </cell>
          <cell r="J98">
            <v>23650000</v>
          </cell>
        </row>
        <row r="100">
          <cell r="B100" t="str">
            <v>Catatan  :</v>
          </cell>
        </row>
        <row r="101">
          <cell r="B101" t="str">
            <v>-</v>
          </cell>
          <cell r="C101" t="str">
            <v>Bagi Kontraktor yang tidak memiliki AMP ( Asphalt Mixing Plant ) / sewa harga Mobilisasi</v>
          </cell>
        </row>
        <row r="102">
          <cell r="C102" t="str">
            <v>AMP tidak diisi (dikosongkan).</v>
          </cell>
        </row>
        <row r="104">
          <cell r="I104" t="str">
            <v>Samarinda,  29  April 2002</v>
          </cell>
        </row>
        <row r="105">
          <cell r="I105" t="str">
            <v>PT. WIDYA KARYA GATERA UTAMA</v>
          </cell>
        </row>
        <row r="110">
          <cell r="I110" t="str">
            <v>WENI ROSA INDAH</v>
          </cell>
        </row>
        <row r="111">
          <cell r="I111" t="str">
            <v>Direktris</v>
          </cell>
        </row>
        <row r="147">
          <cell r="B147" t="str">
            <v>Catatan    :</v>
          </cell>
        </row>
        <row r="148">
          <cell r="B148" t="str">
            <v>-</v>
          </cell>
          <cell r="C148" t="str">
            <v>Satuan dpt. berdasarkan atas jam operasi untuk tenaga kerja &amp; peralatan, volume dan/atau ukuran berat untuk bahan-bahan.</v>
          </cell>
        </row>
        <row r="149">
          <cell r="B149" t="str">
            <v>-</v>
          </cell>
          <cell r="C149" t="str">
            <v>Kuantitas satuan adalah kuantitas  setiap komponen untuk menyelesaikan satu satuan pekerjaan dari nomor mata pembayaran</v>
          </cell>
        </row>
        <row r="150">
          <cell r="B150" t="str">
            <v>-</v>
          </cell>
          <cell r="C150" t="str">
            <v>Biaya satuan untuk peralatan sudah termasuk bahan bakar, bahan habis dipakai dan operator.</v>
          </cell>
        </row>
        <row r="151">
          <cell r="B151" t="str">
            <v>-</v>
          </cell>
          <cell r="C151" t="str">
            <v>Biaya satuan sudah termasuk  pengeluaran untuk seluruh  pajak yang berkaitan (tetapi tidak termasuk PPN yang dibayarkan</v>
          </cell>
        </row>
        <row r="152">
          <cell r="C152" t="str">
            <v xml:space="preserve">dari kontrak) dan biaya-biaya lainnya. </v>
          </cell>
        </row>
        <row r="164">
          <cell r="B164" t="str">
            <v>ANALISA HARGA SATUAN MATA PEMBAYARAN</v>
          </cell>
        </row>
        <row r="166">
          <cell r="B166" t="str">
            <v>Bagian   Proyek</v>
          </cell>
          <cell r="F166" t="str">
            <v>:</v>
          </cell>
          <cell r="G166" t="str">
            <v>Peningkatan Jalan &amp; Penggantian Jembatan Propinsi  Kalimantan Timur</v>
          </cell>
        </row>
        <row r="167">
          <cell r="B167" t="str">
            <v>P a k e t</v>
          </cell>
          <cell r="F167" t="str">
            <v>:</v>
          </cell>
          <cell r="G167" t="str">
            <v>Jalan Sempaja - Sp.3. Sambera</v>
          </cell>
        </row>
        <row r="168">
          <cell r="B168" t="str">
            <v>Nama Penawar</v>
          </cell>
          <cell r="F168" t="str">
            <v>:</v>
          </cell>
          <cell r="G168" t="str">
            <v>PT. WIDYA KARYA GATERA UTAMA</v>
          </cell>
        </row>
        <row r="169">
          <cell r="B169" t="str">
            <v>No. Mata Pembayaran</v>
          </cell>
          <cell r="F169" t="str">
            <v>:</v>
          </cell>
          <cell r="G169" t="str">
            <v>2.2</v>
          </cell>
        </row>
        <row r="170">
          <cell r="B170" t="str">
            <v>Uraian Pekerjaan</v>
          </cell>
          <cell r="F170" t="str">
            <v>:</v>
          </cell>
          <cell r="G170" t="str">
            <v>Pasangan Batu Dengan Mortar</v>
          </cell>
        </row>
        <row r="171">
          <cell r="B171" t="str">
            <v>Kuantitas Pekerjaan</v>
          </cell>
          <cell r="F171" t="str">
            <v>:</v>
          </cell>
          <cell r="G171">
            <v>434.7</v>
          </cell>
          <cell r="H171" t="str">
            <v>M³</v>
          </cell>
        </row>
        <row r="173">
          <cell r="B173" t="str">
            <v>NO.</v>
          </cell>
          <cell r="C173" t="str">
            <v xml:space="preserve">URAIAN  </v>
          </cell>
          <cell r="G173" t="str">
            <v>SATUAN</v>
          </cell>
          <cell r="H173" t="str">
            <v>VOLUME</v>
          </cell>
          <cell r="I173" t="str">
            <v>HARGA   SAT.</v>
          </cell>
          <cell r="J173" t="str">
            <v>JML. HARGA</v>
          </cell>
        </row>
        <row r="174">
          <cell r="I174" t="str">
            <v>(Rp)</v>
          </cell>
          <cell r="J174" t="str">
            <v>(Rp/M³)</v>
          </cell>
        </row>
        <row r="176">
          <cell r="B176" t="str">
            <v>A</v>
          </cell>
          <cell r="D176" t="str">
            <v>TENAGA KERJA</v>
          </cell>
        </row>
        <row r="177">
          <cell r="B177">
            <v>1</v>
          </cell>
          <cell r="D177" t="str">
            <v>Mandor</v>
          </cell>
          <cell r="G177" t="str">
            <v>Jam</v>
          </cell>
          <cell r="H177">
            <v>1.4074</v>
          </cell>
          <cell r="I177">
            <v>7000</v>
          </cell>
          <cell r="J177">
            <v>9851.7999999999993</v>
          </cell>
        </row>
        <row r="178">
          <cell r="B178">
            <v>2</v>
          </cell>
          <cell r="D178" t="str">
            <v>Pekerja</v>
          </cell>
          <cell r="G178" t="str">
            <v>Jam</v>
          </cell>
          <cell r="H178">
            <v>9.8519000000000005</v>
          </cell>
          <cell r="I178">
            <v>3500</v>
          </cell>
          <cell r="J178">
            <v>34481.65</v>
          </cell>
        </row>
        <row r="179">
          <cell r="B179">
            <v>3</v>
          </cell>
          <cell r="D179" t="str">
            <v>Tukang</v>
          </cell>
          <cell r="G179" t="str">
            <v>Jam</v>
          </cell>
          <cell r="H179">
            <v>4.2222</v>
          </cell>
          <cell r="I179">
            <v>5000</v>
          </cell>
          <cell r="J179">
            <v>21111</v>
          </cell>
        </row>
        <row r="181">
          <cell r="G181" t="str">
            <v>JUMLAH   HARGA  TENAGA</v>
          </cell>
          <cell r="J181">
            <v>65444.45</v>
          </cell>
        </row>
        <row r="183">
          <cell r="B183" t="str">
            <v>B</v>
          </cell>
          <cell r="D183" t="str">
            <v>BAHAN</v>
          </cell>
        </row>
        <row r="184">
          <cell r="B184">
            <v>1</v>
          </cell>
          <cell r="D184" t="str">
            <v>Batu Kali</v>
          </cell>
          <cell r="G184" t="str">
            <v>M³</v>
          </cell>
          <cell r="H184">
            <v>1.1000000000000001</v>
          </cell>
          <cell r="I184">
            <v>160000</v>
          </cell>
          <cell r="J184">
            <v>176000</v>
          </cell>
        </row>
        <row r="185">
          <cell r="B185">
            <v>2</v>
          </cell>
          <cell r="D185" t="str">
            <v>Pasir Pasangan</v>
          </cell>
          <cell r="G185" t="str">
            <v>M³</v>
          </cell>
          <cell r="H185">
            <v>0.45269999999999999</v>
          </cell>
          <cell r="I185">
            <v>110000</v>
          </cell>
          <cell r="J185">
            <v>49797</v>
          </cell>
        </row>
        <row r="186">
          <cell r="B186">
            <v>3</v>
          </cell>
          <cell r="D186" t="str">
            <v>Semen</v>
          </cell>
          <cell r="G186" t="str">
            <v>Kg</v>
          </cell>
          <cell r="H186">
            <v>202</v>
          </cell>
          <cell r="I186">
            <v>570</v>
          </cell>
          <cell r="J186">
            <v>115140</v>
          </cell>
        </row>
        <row r="188">
          <cell r="G188" t="str">
            <v>JUMLAH   HARGA  BAHAN</v>
          </cell>
          <cell r="J188">
            <v>340937</v>
          </cell>
        </row>
        <row r="190">
          <cell r="B190" t="str">
            <v>C</v>
          </cell>
          <cell r="D190" t="str">
            <v>PERALATAN</v>
          </cell>
        </row>
        <row r="191">
          <cell r="B191">
            <v>1</v>
          </cell>
          <cell r="D191" t="str">
            <v>Concrete Mixer</v>
          </cell>
          <cell r="G191" t="str">
            <v>Jam</v>
          </cell>
          <cell r="H191">
            <v>1.4074</v>
          </cell>
          <cell r="I191">
            <v>33433.068006293295</v>
          </cell>
          <cell r="J191">
            <v>47053.699912057185</v>
          </cell>
        </row>
        <row r="192">
          <cell r="B192">
            <v>2</v>
          </cell>
          <cell r="D192" t="str">
            <v>Water Tank Truck</v>
          </cell>
          <cell r="G192" t="str">
            <v>Jam</v>
          </cell>
          <cell r="H192">
            <v>2.1899999999999999E-2</v>
          </cell>
          <cell r="I192">
            <v>121332.6604223754</v>
          </cell>
          <cell r="J192">
            <v>2657.1852632500213</v>
          </cell>
        </row>
        <row r="193">
          <cell r="B193">
            <v>3</v>
          </cell>
          <cell r="D193" t="str">
            <v>Alat Bantu</v>
          </cell>
          <cell r="G193" t="str">
            <v>Ls</v>
          </cell>
          <cell r="H193">
            <v>1</v>
          </cell>
          <cell r="I193">
            <v>272</v>
          </cell>
          <cell r="J193">
            <v>272</v>
          </cell>
        </row>
        <row r="195">
          <cell r="G195" t="str">
            <v>JUMLAH   HARGA  PERALATAN</v>
          </cell>
          <cell r="J195">
            <v>49982.885175307209</v>
          </cell>
        </row>
        <row r="196">
          <cell r="B196" t="str">
            <v>D</v>
          </cell>
          <cell r="D196" t="str">
            <v>JUMLAH  ( A + B + C )</v>
          </cell>
          <cell r="J196">
            <v>456364.33517530723</v>
          </cell>
        </row>
        <row r="197">
          <cell r="B197" t="str">
            <v>E</v>
          </cell>
          <cell r="D197" t="str">
            <v>BIAYA UMUM DAN KEUNTUNGAN  =  10 %  x   D</v>
          </cell>
          <cell r="J197">
            <v>45636.433517530728</v>
          </cell>
        </row>
        <row r="198">
          <cell r="B198" t="str">
            <v>F</v>
          </cell>
          <cell r="D198" t="str">
            <v>HARGA SATUAN =  D + E</v>
          </cell>
          <cell r="J198">
            <v>502000.76869283797</v>
          </cell>
        </row>
        <row r="199">
          <cell r="B199" t="str">
            <v>G</v>
          </cell>
          <cell r="D199" t="str">
            <v>PEMBULATAN</v>
          </cell>
          <cell r="J199">
            <v>502000</v>
          </cell>
        </row>
        <row r="201">
          <cell r="B201" t="str">
            <v>Catatan    :</v>
          </cell>
        </row>
        <row r="202">
          <cell r="B202" t="str">
            <v>-</v>
          </cell>
          <cell r="C202" t="str">
            <v>Satuan dpt. berdasarkan atas jam operasi untuk tenaga kerja &amp; peralatan, volume dan/atau ukuran berat untuk bahan-bahan.</v>
          </cell>
        </row>
        <row r="203">
          <cell r="B203" t="str">
            <v>-</v>
          </cell>
          <cell r="C203" t="str">
            <v>Kuantitas satuan adalah kuantitas  setiap komponen untuk menyelesaikan satu satuan pekerjaan dari nomor mata pembayaran</v>
          </cell>
        </row>
        <row r="204">
          <cell r="B204" t="str">
            <v>-</v>
          </cell>
          <cell r="C204" t="str">
            <v>Biaya satuan untuk peralatan sudah termasuk bahan bakar, bahan habis dipakai dan operator.</v>
          </cell>
        </row>
        <row r="205">
          <cell r="B205" t="str">
            <v>-</v>
          </cell>
          <cell r="C205" t="str">
            <v>Biaya satuan sudah termasuk  pengeluaran untuk seluruh  pajak yang berkaitan (tetapi tidak termasuk PPN yang dibayarkan</v>
          </cell>
        </row>
        <row r="206">
          <cell r="C206" t="str">
            <v xml:space="preserve">dari kontrak) dan biaya-biaya lainnya. </v>
          </cell>
        </row>
        <row r="209">
          <cell r="I209" t="str">
            <v>Samarinda,  29  April 2002</v>
          </cell>
        </row>
        <row r="210">
          <cell r="I210" t="str">
            <v>PT. WIDYA KARYA GATERA UTAMA</v>
          </cell>
        </row>
        <row r="215">
          <cell r="I215" t="str">
            <v>WENI ROSA INDAH</v>
          </cell>
        </row>
        <row r="216">
          <cell r="I216" t="str">
            <v>Direktris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Rekapitulasi"/>
      <sheetName val="Pendukung"/>
      <sheetName val="Peralatan"/>
      <sheetName val="Metode"/>
      <sheetName val="pldt"/>
      <sheetName val="Lamp-BA2"/>
      <sheetName val="RUAS"/>
      <sheetName val="DATA"/>
      <sheetName val="FORM SDI"/>
      <sheetName val="KM (1)"/>
      <sheetName val="KM (2)"/>
      <sheetName val="KM (3)"/>
      <sheetName val="KM (4)"/>
      <sheetName val="KM (5)"/>
      <sheetName val="KM (6)"/>
      <sheetName val="KM (7)"/>
      <sheetName val="KM (8)"/>
      <sheetName val="KM (9)"/>
      <sheetName val="KM (10)"/>
      <sheetName val="KM (11)"/>
      <sheetName val="KM (12)"/>
      <sheetName val="KM (13)"/>
      <sheetName val="KM (14)"/>
      <sheetName val="KM (15)"/>
      <sheetName val="KM (16)"/>
      <sheetName val="KM (17)"/>
      <sheetName val="KM (18)"/>
      <sheetName val="KM (19)"/>
      <sheetName val="KM (20)"/>
      <sheetName val="KM (21)"/>
      <sheetName val="HSD"/>
      <sheetName val="RAB-SPL2"/>
      <sheetName val="boq"/>
      <sheetName val="Harga Bahan"/>
      <sheetName val="Harga Upah"/>
      <sheetName val="RAB ST-ARS-ME"/>
      <sheetName val="BASIC"/>
      <sheetName val="Div2"/>
      <sheetName val="SDM"/>
      <sheetName val="RAB"/>
      <sheetName val="map"/>
      <sheetName val="RKP"/>
      <sheetName val="Har Sat"/>
      <sheetName val="UMUM-PU"/>
      <sheetName val="Analisa"/>
      <sheetName val="Lamp 2,3a,3b ANAL"/>
      <sheetName val="DASH"/>
      <sheetName val="Analisa Upah Bahan"/>
      <sheetName val="Harga Satuan 2011"/>
      <sheetName val="ESCON"/>
      <sheetName val="Mobilisasi"/>
      <sheetName val="Rekap MC"/>
      <sheetName val="H.Satuan"/>
      <sheetName val="Upah"/>
      <sheetName val="4-Basic Price"/>
      <sheetName val="Bangunan Utama"/>
      <sheetName val="upah-baru"/>
      <sheetName val="umu"/>
      <sheetName val="alat"/>
      <sheetName val="divI"/>
      <sheetName val="FORM_SDI"/>
      <sheetName val="KM_(1)"/>
      <sheetName val="KM_(2)"/>
      <sheetName val="KM_(3)"/>
      <sheetName val="KM_(4)"/>
      <sheetName val="KM_(5)"/>
      <sheetName val="KM_(6)"/>
      <sheetName val="KM_(7)"/>
      <sheetName val="KM_(8)"/>
      <sheetName val="KM_(9)"/>
      <sheetName val="KM_(10)"/>
      <sheetName val="KM_(11)"/>
      <sheetName val="KM_(12)"/>
      <sheetName val="KM_(13)"/>
      <sheetName val="KM_(14)"/>
      <sheetName val="KM_(15)"/>
      <sheetName val="KM_(16)"/>
      <sheetName val="KM_(17)"/>
      <sheetName val="KM_(18)"/>
      <sheetName val="KM_(19)"/>
      <sheetName val="KM_(20)"/>
      <sheetName val="KM_(21)"/>
      <sheetName val="Schedule Revisi(4)"/>
      <sheetName val="DivVII"/>
      <sheetName val="bq"/>
      <sheetName val="Basic_Price"/>
      <sheetName val="DHSD"/>
      <sheetName val="total"/>
      <sheetName val="DivIV"/>
      <sheetName val="DivV"/>
      <sheetName val="DivVIII"/>
      <sheetName val="DivIII"/>
      <sheetName val="divII"/>
      <sheetName val="mobilisation"/>
      <sheetName val="bahan"/>
      <sheetName val="Engine"/>
      <sheetName val="div_8"/>
      <sheetName val="HARGADASAR"/>
      <sheetName val="rekI"/>
      <sheetName val="quarry"/>
      <sheetName val="umum"/>
      <sheetName val="Informasi"/>
      <sheetName val="Daftar_Harga_Upah_dan_Bahan"/>
      <sheetName val="Sheet1"/>
      <sheetName val="Peralatan_(2)"/>
      <sheetName val="Biaya-Lat"/>
      <sheetName val="UPH,BHN,ALT"/>
      <sheetName val="sai"/>
      <sheetName val="DivVI"/>
      <sheetName val="rincian_A"/>
      <sheetName val="S_Curve"/>
      <sheetName val="arp-3a"/>
      <sheetName val="an-alat"/>
      <sheetName val="Analis_harga"/>
      <sheetName val="BREAKDOWN"/>
      <sheetName val="div10"/>
      <sheetName val="Lamp_Cash"/>
      <sheetName val="Upah_bhn"/>
      <sheetName val="RPP01-1"/>
      <sheetName val="Kuantitas &amp; Harga"/>
      <sheetName val="Galian 1"/>
      <sheetName val="FORM_SDI1"/>
      <sheetName val="KM_(1)1"/>
      <sheetName val="KM_(2)1"/>
      <sheetName val="KM_(3)1"/>
      <sheetName val="KM_(4)1"/>
      <sheetName val="KM_(5)1"/>
      <sheetName val="KM_(6)1"/>
      <sheetName val="KM_(7)1"/>
      <sheetName val="KM_(8)1"/>
      <sheetName val="KM_(9)1"/>
      <sheetName val="KM_(10)1"/>
      <sheetName val="KM_(11)1"/>
      <sheetName val="KM_(12)1"/>
      <sheetName val="KM_(13)1"/>
      <sheetName val="KM_(14)1"/>
      <sheetName val="KM_(15)1"/>
      <sheetName val="KM_(16)1"/>
      <sheetName val="KM_(17)1"/>
      <sheetName val="KM_(18)1"/>
      <sheetName val="KM_(19)1"/>
      <sheetName val="KM_(20)1"/>
      <sheetName val="KM_(21)1"/>
      <sheetName val="H_Satuan"/>
      <sheetName val="JUDUL"/>
      <sheetName val="5-ALAT(1)"/>
      <sheetName val="5-Peralatan"/>
      <sheetName val="Direct"/>
      <sheetName val="Bul"/>
      <sheetName val="AHS"/>
      <sheetName val="Harga Satuan"/>
      <sheetName val="Sheet9"/>
      <sheetName val="an.pemel.rutin"/>
      <sheetName val="an.mobilisasi"/>
      <sheetName val="an.dmpu"/>
      <sheetName val="daftar.kuantita"/>
      <sheetName val="metode.dmpu"/>
      <sheetName val="HDM"/>
      <sheetName val="MTD"/>
      <sheetName val="HDA"/>
      <sheetName val="HDU"/>
      <sheetName val="UP MINOR"/>
      <sheetName val="FORM_SDI2"/>
      <sheetName val="KM_(1)2"/>
      <sheetName val="KM_(2)2"/>
      <sheetName val="KM_(3)2"/>
      <sheetName val="KM_(4)2"/>
      <sheetName val="KM_(5)2"/>
      <sheetName val="KM_(6)2"/>
      <sheetName val="KM_(7)2"/>
      <sheetName val="KM_(8)2"/>
      <sheetName val="KM_(9)2"/>
      <sheetName val="KM_(10)2"/>
      <sheetName val="KM_(11)2"/>
      <sheetName val="KM_(12)2"/>
      <sheetName val="KM_(13)2"/>
      <sheetName val="KM_(14)2"/>
      <sheetName val="KM_(15)2"/>
      <sheetName val="KM_(16)2"/>
      <sheetName val="KM_(17)2"/>
      <sheetName val="KM_(18)2"/>
      <sheetName val="KM_(19)2"/>
      <sheetName val="KM_(20)2"/>
      <sheetName val="KM_(21)2"/>
      <sheetName val="H_Satuan1"/>
      <sheetName val="NP"/>
      <sheetName val="Profil"/>
      <sheetName val="ISIAN"/>
      <sheetName val="D3"/>
      <sheetName val="D4"/>
      <sheetName val="D5"/>
      <sheetName val="D6"/>
      <sheetName val="D7"/>
      <sheetName val="D8"/>
      <sheetName val="Perm. Test"/>
      <sheetName val="DiV6"/>
      <sheetName val="DiV4"/>
      <sheetName val="Bill"/>
      <sheetName val="DiV3"/>
      <sheetName val="DiV8"/>
      <sheetName val="DiV7"/>
      <sheetName val="Rekap"/>
      <sheetName val="BOQ lama"/>
      <sheetName val="ALAT1"/>
      <sheetName val="ALAT2"/>
      <sheetName val="D7(1)"/>
      <sheetName val="Pekerjaan Utama"/>
      <sheetName val="Shedule"/>
      <sheetName val="Koef"/>
      <sheetName val="Alat (2)"/>
      <sheetName val="7a"/>
      <sheetName val="ANAL"/>
    </sheetNames>
    <sheetDataSet>
      <sheetData sheetId="0">
        <row r="33">
          <cell r="CH33">
            <v>0.12627569595561616</v>
          </cell>
        </row>
      </sheetData>
      <sheetData sheetId="1">
        <row r="33">
          <cell r="CH33">
            <v>0.12627569595561616</v>
          </cell>
        </row>
        <row r="34">
          <cell r="CG34">
            <v>0</v>
          </cell>
          <cell r="CH34">
            <v>0.12627569595561616</v>
          </cell>
          <cell r="CI34">
            <v>0.50695972133159639</v>
          </cell>
          <cell r="CJ34">
            <v>4.6535897848636978</v>
          </cell>
          <cell r="CK34">
            <v>9.4247663236696724</v>
          </cell>
          <cell r="CL34">
            <v>19.274684069483897</v>
          </cell>
          <cell r="CM34">
            <v>44.837371818692901</v>
          </cell>
          <cell r="CN34">
            <v>63.061174225974092</v>
          </cell>
          <cell r="CO34">
            <v>80.660430157981409</v>
          </cell>
          <cell r="CP34">
            <v>98.259686089988719</v>
          </cell>
          <cell r="CQ34">
            <v>99.999999999999986</v>
          </cell>
        </row>
      </sheetData>
      <sheetData sheetId="2">
        <row r="33">
          <cell r="CH33">
            <v>0.12627569595561616</v>
          </cell>
        </row>
      </sheetData>
      <sheetData sheetId="3">
        <row r="33">
          <cell r="CH33">
            <v>0.12627569595561616</v>
          </cell>
        </row>
      </sheetData>
      <sheetData sheetId="4">
        <row r="33">
          <cell r="CH33">
            <v>0.12627569595561616</v>
          </cell>
        </row>
      </sheetData>
      <sheetData sheetId="5" refreshError="1"/>
      <sheetData sheetId="6" refreshError="1"/>
      <sheetData sheetId="7">
        <row r="33">
          <cell r="CH33">
            <v>0.12627569595561616</v>
          </cell>
        </row>
      </sheetData>
      <sheetData sheetId="8">
        <row r="33">
          <cell r="CH33">
            <v>0.12627569595561616</v>
          </cell>
        </row>
      </sheetData>
      <sheetData sheetId="9">
        <row r="33">
          <cell r="CH33">
            <v>0.12627569595561616</v>
          </cell>
        </row>
      </sheetData>
      <sheetData sheetId="10">
        <row r="33">
          <cell r="CH33">
            <v>0.12627569595561616</v>
          </cell>
        </row>
      </sheetData>
      <sheetData sheetId="11">
        <row r="33">
          <cell r="CH33">
            <v>0.12627569595561616</v>
          </cell>
        </row>
      </sheetData>
      <sheetData sheetId="12">
        <row r="33">
          <cell r="CH33">
            <v>0.12627569595561616</v>
          </cell>
        </row>
      </sheetData>
      <sheetData sheetId="13">
        <row r="33">
          <cell r="CH33">
            <v>0.12627569595561616</v>
          </cell>
        </row>
      </sheetData>
      <sheetData sheetId="14">
        <row r="33">
          <cell r="CH33">
            <v>0.12627569595561616</v>
          </cell>
        </row>
      </sheetData>
      <sheetData sheetId="15">
        <row r="33">
          <cell r="CH33">
            <v>0.12627569595561616</v>
          </cell>
        </row>
      </sheetData>
      <sheetData sheetId="16">
        <row r="33">
          <cell r="CH33">
            <v>0.12627569595561616</v>
          </cell>
        </row>
      </sheetData>
      <sheetData sheetId="17">
        <row r="33">
          <cell r="CH33">
            <v>0.12627569595561616</v>
          </cell>
        </row>
      </sheetData>
      <sheetData sheetId="18">
        <row r="33">
          <cell r="CH33">
            <v>0.12627569595561616</v>
          </cell>
        </row>
      </sheetData>
      <sheetData sheetId="19">
        <row r="33">
          <cell r="CH33">
            <v>0.12627569595561616</v>
          </cell>
        </row>
      </sheetData>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ow r="33">
          <cell r="CH33">
            <v>0.12627569595561616</v>
          </cell>
        </row>
      </sheetData>
      <sheetData sheetId="63"/>
      <sheetData sheetId="64">
        <row r="33">
          <cell r="CH33">
            <v>0.12627569595561616</v>
          </cell>
        </row>
      </sheetData>
      <sheetData sheetId="65"/>
      <sheetData sheetId="66"/>
      <sheetData sheetId="67"/>
      <sheetData sheetId="68"/>
      <sheetData sheetId="69">
        <row r="33">
          <cell r="CH33">
            <v>0.12627569595561616</v>
          </cell>
        </row>
      </sheetData>
      <sheetData sheetId="70">
        <row r="33">
          <cell r="CH33">
            <v>0.12627569595561616</v>
          </cell>
        </row>
      </sheetData>
      <sheetData sheetId="71">
        <row r="33">
          <cell r="CH33">
            <v>0.12627569595561616</v>
          </cell>
        </row>
      </sheetData>
      <sheetData sheetId="72"/>
      <sheetData sheetId="73"/>
      <sheetData sheetId="74">
        <row r="33">
          <cell r="CH33">
            <v>0.12627569595561616</v>
          </cell>
        </row>
      </sheetData>
      <sheetData sheetId="75">
        <row r="33">
          <cell r="CH33">
            <v>0.12627569595561616</v>
          </cell>
        </row>
      </sheetData>
      <sheetData sheetId="76"/>
      <sheetData sheetId="77">
        <row r="33">
          <cell r="CH33">
            <v>0.12627569595561616</v>
          </cell>
        </row>
      </sheetData>
      <sheetData sheetId="78">
        <row r="33">
          <cell r="CH33">
            <v>0.12627569595561616</v>
          </cell>
        </row>
      </sheetData>
      <sheetData sheetId="79">
        <row r="33">
          <cell r="CH33">
            <v>0.12627569595561616</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3">
          <cell r="CH33">
            <v>0.12627569595561616</v>
          </cell>
        </row>
      </sheetData>
      <sheetData sheetId="122">
        <row r="33">
          <cell r="CH33">
            <v>0.12627569595561616</v>
          </cell>
        </row>
      </sheetData>
      <sheetData sheetId="123">
        <row r="33">
          <cell r="CH33">
            <v>0.12627569595561616</v>
          </cell>
        </row>
      </sheetData>
      <sheetData sheetId="124">
        <row r="33">
          <cell r="CH33">
            <v>0.12627569595561616</v>
          </cell>
        </row>
      </sheetData>
      <sheetData sheetId="125">
        <row r="33">
          <cell r="CH33">
            <v>0.12627569595561616</v>
          </cell>
        </row>
      </sheetData>
      <sheetData sheetId="126">
        <row r="33">
          <cell r="CH33">
            <v>0.12627569595561616</v>
          </cell>
        </row>
      </sheetData>
      <sheetData sheetId="127">
        <row r="33">
          <cell r="CH33">
            <v>0.12627569595561616</v>
          </cell>
        </row>
      </sheetData>
      <sheetData sheetId="128">
        <row r="33">
          <cell r="CH33">
            <v>0.12627569595561616</v>
          </cell>
        </row>
      </sheetData>
      <sheetData sheetId="129">
        <row r="33">
          <cell r="CH33">
            <v>0.12627569595561616</v>
          </cell>
        </row>
      </sheetData>
      <sheetData sheetId="130">
        <row r="33">
          <cell r="CH33">
            <v>0.12627569595561616</v>
          </cell>
        </row>
      </sheetData>
      <sheetData sheetId="131">
        <row r="33">
          <cell r="CH33">
            <v>0.12627569595561616</v>
          </cell>
        </row>
      </sheetData>
      <sheetData sheetId="132">
        <row r="33">
          <cell r="CH33">
            <v>0.12627569595561616</v>
          </cell>
        </row>
      </sheetData>
      <sheetData sheetId="133">
        <row r="33">
          <cell r="CH33">
            <v>0.12627569595561616</v>
          </cell>
        </row>
      </sheetData>
      <sheetData sheetId="134">
        <row r="33">
          <cell r="CH33">
            <v>0.12627569595561616</v>
          </cell>
        </row>
      </sheetData>
      <sheetData sheetId="135">
        <row r="33">
          <cell r="CH33">
            <v>0.12627569595561616</v>
          </cell>
        </row>
      </sheetData>
      <sheetData sheetId="136"/>
      <sheetData sheetId="137">
        <row r="33">
          <cell r="CH33">
            <v>0.12627569595561616</v>
          </cell>
        </row>
      </sheetData>
      <sheetData sheetId="138">
        <row r="33">
          <cell r="CH33">
            <v>0.12627569595561616</v>
          </cell>
        </row>
      </sheetData>
      <sheetData sheetId="139">
        <row r="33">
          <cell r="CH33">
            <v>0.12627569595561616</v>
          </cell>
        </row>
      </sheetData>
      <sheetData sheetId="140">
        <row r="33">
          <cell r="CH33">
            <v>0.12627569595561616</v>
          </cell>
        </row>
      </sheetData>
      <sheetData sheetId="141" refreshError="1"/>
      <sheetData sheetId="142" refreshError="1"/>
      <sheetData sheetId="143">
        <row r="33">
          <cell r="CH33">
            <v>0.12627569595561616</v>
          </cell>
        </row>
      </sheetData>
      <sheetData sheetId="144">
        <row r="33">
          <cell r="CH33">
            <v>0.12627569595561616</v>
          </cell>
        </row>
      </sheetData>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ow r="33">
          <cell r="CH33">
            <v>0.12627569595561616</v>
          </cell>
        </row>
      </sheetData>
      <sheetData sheetId="197"/>
      <sheetData sheetId="198"/>
      <sheetData sheetId="199"/>
      <sheetData sheetId="200"/>
      <sheetData sheetId="201">
        <row r="33">
          <cell r="CH33">
            <v>0.12627569595561616</v>
          </cell>
        </row>
      </sheetData>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P&amp;P "/>
      <sheetName val="P&amp;P "/>
      <sheetName val="Analisa"/>
      <sheetName val="Harga"/>
      <sheetName val="Sche 1"/>
    </sheetNames>
    <sheetDataSet>
      <sheetData sheetId="0"/>
      <sheetData sheetId="1" refreshError="1"/>
      <sheetData sheetId="2">
        <row r="15">
          <cell r="H15">
            <v>13700</v>
          </cell>
        </row>
        <row r="19">
          <cell r="H19">
            <v>6567.5</v>
          </cell>
        </row>
        <row r="23">
          <cell r="H23">
            <v>99425</v>
          </cell>
        </row>
        <row r="36">
          <cell r="H36">
            <v>336947.5</v>
          </cell>
        </row>
        <row r="45">
          <cell r="H45">
            <v>158767.5</v>
          </cell>
        </row>
        <row r="56">
          <cell r="H56">
            <v>73532.7</v>
          </cell>
        </row>
        <row r="66">
          <cell r="H66">
            <v>69480.3</v>
          </cell>
        </row>
        <row r="78">
          <cell r="H78">
            <v>20205.8</v>
          </cell>
        </row>
        <row r="86">
          <cell r="H86">
            <v>18402.2</v>
          </cell>
        </row>
        <row r="94">
          <cell r="H94">
            <v>6856.92</v>
          </cell>
        </row>
        <row r="105">
          <cell r="H105">
            <v>94896.163636363635</v>
          </cell>
        </row>
        <row r="115">
          <cell r="H115">
            <v>85896.800000000017</v>
          </cell>
        </row>
        <row r="126">
          <cell r="H126">
            <v>84366</v>
          </cell>
        </row>
        <row r="136">
          <cell r="H136">
            <v>82907.300000000017</v>
          </cell>
        </row>
        <row r="149">
          <cell r="H149">
            <v>345525</v>
          </cell>
        </row>
        <row r="158">
          <cell r="H158">
            <v>330965</v>
          </cell>
        </row>
        <row r="167">
          <cell r="H167">
            <v>351540</v>
          </cell>
        </row>
        <row r="176">
          <cell r="H176">
            <v>66082.5</v>
          </cell>
        </row>
        <row r="186">
          <cell r="H186">
            <v>79835</v>
          </cell>
        </row>
        <row r="196">
          <cell r="H196">
            <v>83285</v>
          </cell>
        </row>
        <row r="206">
          <cell r="H206">
            <v>80435</v>
          </cell>
        </row>
        <row r="216">
          <cell r="H216">
            <v>9863.25</v>
          </cell>
        </row>
        <row r="224">
          <cell r="H224">
            <v>2295570</v>
          </cell>
        </row>
        <row r="229">
          <cell r="H229">
            <v>2394517.5</v>
          </cell>
        </row>
        <row r="234">
          <cell r="H234">
            <v>2519202.5</v>
          </cell>
        </row>
        <row r="241">
          <cell r="H241">
            <v>3115463.75</v>
          </cell>
        </row>
        <row r="246">
          <cell r="H246">
            <v>3115463.75</v>
          </cell>
        </row>
        <row r="251">
          <cell r="H251">
            <v>3115463.75</v>
          </cell>
        </row>
        <row r="256">
          <cell r="H256">
            <v>2240847.5</v>
          </cell>
        </row>
        <row r="264">
          <cell r="H264">
            <v>2497750</v>
          </cell>
        </row>
        <row r="271">
          <cell r="H271">
            <v>241925</v>
          </cell>
        </row>
        <row r="278">
          <cell r="H278">
            <v>261050</v>
          </cell>
        </row>
        <row r="285">
          <cell r="H285">
            <v>226000</v>
          </cell>
        </row>
        <row r="296">
          <cell r="H296">
            <v>259750</v>
          </cell>
        </row>
        <row r="305">
          <cell r="H305">
            <v>250307.5</v>
          </cell>
        </row>
        <row r="314">
          <cell r="H314">
            <v>124770</v>
          </cell>
        </row>
        <row r="321">
          <cell r="H321">
            <v>171570</v>
          </cell>
        </row>
        <row r="328">
          <cell r="H328">
            <v>131370</v>
          </cell>
        </row>
        <row r="335">
          <cell r="H335">
            <v>198565</v>
          </cell>
        </row>
        <row r="347">
          <cell r="H347">
            <v>203220</v>
          </cell>
        </row>
        <row r="359">
          <cell r="H359">
            <v>108200</v>
          </cell>
        </row>
        <row r="369">
          <cell r="H369">
            <v>111225</v>
          </cell>
        </row>
        <row r="379">
          <cell r="H379">
            <v>268818.75</v>
          </cell>
        </row>
        <row r="386">
          <cell r="H386">
            <v>100269.55189999999</v>
          </cell>
        </row>
        <row r="396">
          <cell r="H396">
            <v>2319750</v>
          </cell>
        </row>
        <row r="407">
          <cell r="H407">
            <v>26762.5</v>
          </cell>
        </row>
        <row r="415">
          <cell r="H415">
            <v>120762.5</v>
          </cell>
        </row>
        <row r="423">
          <cell r="H423">
            <v>51402.5</v>
          </cell>
        </row>
        <row r="431">
          <cell r="H431">
            <v>62677.5</v>
          </cell>
        </row>
        <row r="456">
          <cell r="H456">
            <v>70835.5</v>
          </cell>
        </row>
        <row r="471">
          <cell r="H471">
            <v>69247.5</v>
          </cell>
        </row>
        <row r="474">
          <cell r="H474">
            <v>6225</v>
          </cell>
        </row>
        <row r="482">
          <cell r="H482">
            <v>10862.5</v>
          </cell>
        </row>
        <row r="490">
          <cell r="H490">
            <v>22395</v>
          </cell>
        </row>
        <row r="498">
          <cell r="H498">
            <v>54695</v>
          </cell>
        </row>
        <row r="523">
          <cell r="H523">
            <v>37987.5</v>
          </cell>
        </row>
        <row r="531">
          <cell r="H531">
            <v>8418.25</v>
          </cell>
        </row>
        <row r="541">
          <cell r="H541">
            <v>5487.5</v>
          </cell>
        </row>
        <row r="562">
          <cell r="H562">
            <v>153412.5</v>
          </cell>
        </row>
        <row r="566">
          <cell r="H566">
            <v>128412.5</v>
          </cell>
        </row>
        <row r="570">
          <cell r="H570">
            <v>22412.5</v>
          </cell>
        </row>
        <row r="574">
          <cell r="H574">
            <v>35085</v>
          </cell>
        </row>
        <row r="581">
          <cell r="H581">
            <v>23313.75</v>
          </cell>
        </row>
        <row r="586">
          <cell r="H586">
            <v>27356.25</v>
          </cell>
        </row>
        <row r="592">
          <cell r="H592">
            <v>8042.5</v>
          </cell>
        </row>
        <row r="597">
          <cell r="H597">
            <v>6542.5</v>
          </cell>
        </row>
        <row r="602">
          <cell r="H602">
            <v>11251</v>
          </cell>
        </row>
        <row r="610">
          <cell r="H610">
            <v>41057.58</v>
          </cell>
        </row>
        <row r="619">
          <cell r="H619">
            <v>186779.5</v>
          </cell>
        </row>
        <row r="636">
          <cell r="H636">
            <v>1868179.3930000002</v>
          </cell>
        </row>
        <row r="649">
          <cell r="H649">
            <v>186960</v>
          </cell>
        </row>
        <row r="667">
          <cell r="H667">
            <v>502380</v>
          </cell>
        </row>
        <row r="677">
          <cell r="H677">
            <v>16912.5</v>
          </cell>
        </row>
        <row r="684">
          <cell r="H684">
            <v>19412.5</v>
          </cell>
        </row>
        <row r="692">
          <cell r="H692">
            <v>599082</v>
          </cell>
        </row>
        <row r="703">
          <cell r="H703">
            <v>424410</v>
          </cell>
        </row>
      </sheetData>
      <sheetData sheetId="3">
        <row r="16">
          <cell r="H16">
            <v>35000</v>
          </cell>
        </row>
        <row r="17">
          <cell r="H17">
            <v>35000</v>
          </cell>
        </row>
        <row r="19">
          <cell r="H19">
            <v>35000</v>
          </cell>
        </row>
        <row r="22">
          <cell r="H22">
            <v>35000</v>
          </cell>
        </row>
        <row r="23">
          <cell r="H23">
            <v>40000</v>
          </cell>
        </row>
        <row r="24">
          <cell r="H24">
            <v>40000</v>
          </cell>
        </row>
        <row r="25">
          <cell r="H25">
            <v>40000</v>
          </cell>
        </row>
        <row r="26">
          <cell r="H26">
            <v>40000</v>
          </cell>
        </row>
        <row r="27">
          <cell r="H27">
            <v>40000</v>
          </cell>
        </row>
        <row r="28">
          <cell r="H28">
            <v>40000</v>
          </cell>
        </row>
        <row r="29">
          <cell r="H29">
            <v>40000</v>
          </cell>
        </row>
        <row r="31">
          <cell r="H31">
            <v>37000</v>
          </cell>
        </row>
        <row r="38">
          <cell r="H38">
            <v>90000</v>
          </cell>
        </row>
        <row r="41">
          <cell r="H41">
            <v>82500</v>
          </cell>
        </row>
        <row r="42">
          <cell r="H42">
            <v>95000</v>
          </cell>
        </row>
        <row r="44">
          <cell r="H44">
            <v>85000</v>
          </cell>
        </row>
        <row r="48">
          <cell r="H48">
            <v>3500</v>
          </cell>
        </row>
        <row r="49">
          <cell r="H49">
            <v>4500</v>
          </cell>
        </row>
        <row r="50">
          <cell r="H50">
            <v>1250</v>
          </cell>
        </row>
        <row r="53">
          <cell r="H53">
            <v>1500</v>
          </cell>
        </row>
        <row r="54">
          <cell r="H54">
            <v>3500</v>
          </cell>
        </row>
        <row r="56">
          <cell r="H56">
            <v>960</v>
          </cell>
        </row>
        <row r="58">
          <cell r="H58">
            <v>35000</v>
          </cell>
        </row>
        <row r="60">
          <cell r="H60">
            <v>33000</v>
          </cell>
        </row>
        <row r="61">
          <cell r="H61">
            <v>2000000</v>
          </cell>
        </row>
        <row r="63">
          <cell r="H63">
            <v>950000</v>
          </cell>
        </row>
        <row r="64">
          <cell r="H64">
            <v>9500</v>
          </cell>
        </row>
        <row r="65">
          <cell r="H65">
            <v>4500</v>
          </cell>
        </row>
        <row r="67">
          <cell r="H67">
            <v>350.00000000000006</v>
          </cell>
        </row>
        <row r="68">
          <cell r="H68">
            <v>750.00000000000011</v>
          </cell>
        </row>
        <row r="69">
          <cell r="H69">
            <v>1520.0000000000002</v>
          </cell>
        </row>
        <row r="70">
          <cell r="H70">
            <v>2375</v>
          </cell>
        </row>
        <row r="71">
          <cell r="H71">
            <v>3636.3636363636365</v>
          </cell>
        </row>
        <row r="72">
          <cell r="H72">
            <v>8800.0000000000018</v>
          </cell>
        </row>
        <row r="73">
          <cell r="H73">
            <v>26910</v>
          </cell>
        </row>
        <row r="74">
          <cell r="H74">
            <v>1500.0000000000002</v>
          </cell>
        </row>
        <row r="75">
          <cell r="H75">
            <v>1560.0000000000002</v>
          </cell>
        </row>
        <row r="76">
          <cell r="H76">
            <v>3636.3636363636365</v>
          </cell>
        </row>
        <row r="77">
          <cell r="H77">
            <v>8750</v>
          </cell>
        </row>
        <row r="78">
          <cell r="H78">
            <v>14000</v>
          </cell>
        </row>
        <row r="79">
          <cell r="H79">
            <v>450000</v>
          </cell>
        </row>
        <row r="80">
          <cell r="H80">
            <v>7500</v>
          </cell>
        </row>
        <row r="81">
          <cell r="H81">
            <v>12000</v>
          </cell>
        </row>
        <row r="82">
          <cell r="H82">
            <v>48300</v>
          </cell>
        </row>
        <row r="83">
          <cell r="H83">
            <v>67250</v>
          </cell>
        </row>
        <row r="84">
          <cell r="H84">
            <v>95000</v>
          </cell>
        </row>
        <row r="85">
          <cell r="H85">
            <v>70725</v>
          </cell>
        </row>
        <row r="87">
          <cell r="H87">
            <v>52500</v>
          </cell>
        </row>
        <row r="88">
          <cell r="H88">
            <v>62000</v>
          </cell>
        </row>
        <row r="89">
          <cell r="H89">
            <v>8500</v>
          </cell>
        </row>
        <row r="90">
          <cell r="H90">
            <v>209800</v>
          </cell>
        </row>
        <row r="92">
          <cell r="H92">
            <v>35000</v>
          </cell>
        </row>
        <row r="93">
          <cell r="H93">
            <v>9500</v>
          </cell>
        </row>
        <row r="94">
          <cell r="H94">
            <v>13500</v>
          </cell>
        </row>
        <row r="95">
          <cell r="H95">
            <v>8500</v>
          </cell>
        </row>
        <row r="97">
          <cell r="H97">
            <v>7600</v>
          </cell>
        </row>
        <row r="99">
          <cell r="H99">
            <v>32500</v>
          </cell>
        </row>
        <row r="105">
          <cell r="H105">
            <v>25000</v>
          </cell>
        </row>
        <row r="106">
          <cell r="H106">
            <v>21000</v>
          </cell>
        </row>
        <row r="108">
          <cell r="H108">
            <v>9000</v>
          </cell>
        </row>
        <row r="109">
          <cell r="H109">
            <v>135000</v>
          </cell>
        </row>
        <row r="110">
          <cell r="H110">
            <v>110000</v>
          </cell>
        </row>
        <row r="111">
          <cell r="H111">
            <v>77300</v>
          </cell>
        </row>
        <row r="112">
          <cell r="H112">
            <v>4000</v>
          </cell>
        </row>
        <row r="113">
          <cell r="H113">
            <v>17500</v>
          </cell>
        </row>
        <row r="114">
          <cell r="H114">
            <v>4500</v>
          </cell>
        </row>
        <row r="115">
          <cell r="H115">
            <v>3500</v>
          </cell>
        </row>
        <row r="116">
          <cell r="H116">
            <v>35000</v>
          </cell>
        </row>
        <row r="117">
          <cell r="H117">
            <v>28000</v>
          </cell>
        </row>
        <row r="119">
          <cell r="H119">
            <v>7000</v>
          </cell>
        </row>
        <row r="123">
          <cell r="H123">
            <v>12500</v>
          </cell>
        </row>
        <row r="124">
          <cell r="H124">
            <v>15000</v>
          </cell>
        </row>
        <row r="125">
          <cell r="H125">
            <v>15000</v>
          </cell>
        </row>
        <row r="126">
          <cell r="H126">
            <v>25000</v>
          </cell>
        </row>
        <row r="127">
          <cell r="H127">
            <v>24000</v>
          </cell>
        </row>
        <row r="128">
          <cell r="H128">
            <v>7750</v>
          </cell>
        </row>
        <row r="130">
          <cell r="H130">
            <v>25500</v>
          </cell>
        </row>
        <row r="131">
          <cell r="H131">
            <v>35000</v>
          </cell>
        </row>
        <row r="133">
          <cell r="H133">
            <v>3500</v>
          </cell>
        </row>
        <row r="134">
          <cell r="H134">
            <v>49000</v>
          </cell>
        </row>
        <row r="136">
          <cell r="H136">
            <v>95000</v>
          </cell>
        </row>
        <row r="137">
          <cell r="H137">
            <v>140000</v>
          </cell>
        </row>
        <row r="139">
          <cell r="H139">
            <v>97000</v>
          </cell>
        </row>
        <row r="141">
          <cell r="H141">
            <v>125000</v>
          </cell>
        </row>
        <row r="142">
          <cell r="H142">
            <v>155000</v>
          </cell>
        </row>
        <row r="143">
          <cell r="H143">
            <v>4500</v>
          </cell>
        </row>
        <row r="144">
          <cell r="H144">
            <v>245000</v>
          </cell>
        </row>
        <row r="146">
          <cell r="H146">
            <v>175000</v>
          </cell>
        </row>
        <row r="147">
          <cell r="H147">
            <v>265000</v>
          </cell>
        </row>
        <row r="148">
          <cell r="H148">
            <v>356000</v>
          </cell>
        </row>
        <row r="153">
          <cell r="H153">
            <v>450000</v>
          </cell>
        </row>
        <row r="155">
          <cell r="H155">
            <v>150000</v>
          </cell>
        </row>
        <row r="156">
          <cell r="H156">
            <v>125000</v>
          </cell>
        </row>
        <row r="157">
          <cell r="H157">
            <v>16500</v>
          </cell>
        </row>
        <row r="158">
          <cell r="H158">
            <v>25000</v>
          </cell>
        </row>
        <row r="159">
          <cell r="H159">
            <v>250000</v>
          </cell>
        </row>
      </sheetData>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I-KAMAR"/>
      <sheetName val="I_KAMAR"/>
      <sheetName val="boq"/>
      <sheetName val="DKH"/>
      <sheetName val="STR"/>
      <sheetName val="luar"/>
      <sheetName val="RINC hotel"/>
      <sheetName val="RINC FIN T4 "/>
      <sheetName val="RINC FIN T4  _3_"/>
      <sheetName val="RINC FIN T4  _2_"/>
      <sheetName val="AFORM-BQR"/>
      <sheetName val="Currency Rate"/>
      <sheetName val="BOW"/>
      <sheetName val="GTS_I_PS"/>
      <sheetName val="BQ_AC-_SEMANAN"/>
      <sheetName val="Currency_Rate"/>
      <sheetName val="capacity"/>
      <sheetName val="Man power"/>
      <sheetName val="Cash Flow bulanan"/>
      <sheetName val="AC"/>
      <sheetName val="Menu"/>
      <sheetName val="Daf Harga"/>
      <sheetName val="Bill"/>
      <sheetName val="Rekap Bill"/>
      <sheetName val="An_ Harga"/>
      <sheetName val="dasboard"/>
      <sheetName val="AHS_Kusen"/>
      <sheetName val="harsat&amp;upah"/>
      <sheetName val="p_luar"/>
      <sheetName val="fin SB"/>
      <sheetName val="FIN PARKIR"/>
      <sheetName val="daffin"/>
      <sheetName val="Bill.1.VAC-Supply-A"/>
      <sheetName val="AHAS1"/>
      <sheetName val="Z"/>
      <sheetName val="Cash2"/>
      <sheetName val="TENAGA"/>
      <sheetName val="LISTRIK"/>
      <sheetName val="F ALARM"/>
      <sheetName val="Rekapitulasi"/>
      <sheetName val="HARSAT"/>
      <sheetName val="Markup"/>
      <sheetName val="GTS_I_PS1"/>
      <sheetName val="BQ_AC-_SEMANAN1"/>
      <sheetName val="Currency_Rate1"/>
      <sheetName val="LOADDAT"/>
      <sheetName val="Rekap RAB_kl"/>
      <sheetName val="RAB_KL"/>
      <sheetName val="Rekap RAB_Amd"/>
      <sheetName val="RAB_Amd"/>
      <sheetName val="REKAP_Dftr_Kuan_Hrg_Amd"/>
      <sheetName val="Dftr_Kuan_Hrg Amd"/>
      <sheetName val="Plat"/>
      <sheetName val="Rekap Addendum"/>
      <sheetName val="Rek_SA"/>
      <sheetName val="ES_T_B_C"/>
      <sheetName val="BANGUNAN PENUNJANG"/>
      <sheetName val="L-Mechanical"/>
      <sheetName val="GTS_I_PS2"/>
      <sheetName val="BQ_AC-_SEMANAN2"/>
      <sheetName val="Currency_Rate2"/>
      <sheetName val="Man_power"/>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Analisa"/>
      <sheetName val="schbhn"/>
      <sheetName val="schalt"/>
      <sheetName val="schtng"/>
      <sheetName val="BID"/>
      <sheetName val="PROTECTION "/>
      <sheetName val="A"/>
      <sheetName val="bahan-mos"/>
      <sheetName val="Ch"/>
      <sheetName val="SDY"/>
      <sheetName val="Perhitungan RAB"/>
      <sheetName val="Rencana Anggaran Biaya"/>
      <sheetName val="Harga Satuan"/>
      <sheetName val="INDEKS"/>
      <sheetName val="JABATAN"/>
      <sheetName val="DATA"/>
      <sheetName val="TOTAL"/>
      <sheetName val="Harsat Bahan"/>
      <sheetName val="Harsat Upah"/>
      <sheetName val="r.tank"/>
      <sheetName val="prelim"/>
      <sheetName val="BQ ARS"/>
      <sheetName val="SAT-BHN"/>
      <sheetName val="Perm. Test"/>
      <sheetName val="H.Satuan"/>
      <sheetName val="struktur tdk dipakai"/>
      <sheetName val="luar Apart"/>
      <sheetName val="Anal"/>
      <sheetName val="RAB-NEGO"/>
      <sheetName val="Bill rekap"/>
      <sheetName val="Urai _Resap pengikat"/>
      <sheetName val="STAF"/>
      <sheetName val="COVER"/>
      <sheetName val="jadw"/>
      <sheetName val="tifico"/>
      <sheetName val="Kolom UT"/>
      <sheetName val="Public Area"/>
      <sheetName val="BM"/>
      <sheetName val="Material"/>
      <sheetName val="Perhit.Alat"/>
      <sheetName val="대비표"/>
      <sheetName val="SAP"/>
      <sheetName val="Hitung"/>
      <sheetName val="HSD"/>
      <sheetName val="FAKTOR"/>
      <sheetName val="daf isi (xref)"/>
      <sheetName val="Bahan"/>
      <sheetName val="SITE-E"/>
      <sheetName val="Sheet9"/>
      <sheetName val="Daf 1"/>
      <sheetName val="VAC-1"/>
      <sheetName val="TE TS FA LAN MATV"/>
      <sheetName val="Estimate"/>
      <sheetName val="Grand summary"/>
      <sheetName val="安装"/>
      <sheetName val="L-TIGA"/>
      <sheetName val="Man Power &amp; Comp"/>
      <sheetName val="磨煤加压"/>
      <sheetName val="RAB-ME"/>
      <sheetName val="hrg dasar"/>
      <sheetName val="Ahs.2"/>
      <sheetName val="Ahs.1"/>
      <sheetName val="daf_3_OK_"/>
      <sheetName val="daf_7_OK_"/>
      <sheetName val="HRG BHN"/>
      <sheetName val="ana_san"/>
      <sheetName val="Analisa Str"/>
      <sheetName val="Sheet1"/>
      <sheetName val="Electrikal"/>
      <sheetName val="Elektronik"/>
      <sheetName val="Plumbing"/>
      <sheetName val="Fire Fighting"/>
      <sheetName val="Item Kompensasi"/>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daf-3(OK)"/>
      <sheetName val="BQ-E20-02(Rp)"/>
      <sheetName val="daf-7(OK)"/>
      <sheetName val="DAF-2"/>
      <sheetName val="bahan "/>
      <sheetName val="ANALISA SNI'13 "/>
      <sheetName val="STRUCTURE"/>
      <sheetName val="Kolom"/>
      <sheetName val="Bill of Quantity"/>
      <sheetName val="PileCap"/>
      <sheetName val="TB"/>
      <sheetName val="PNT"/>
      <sheetName val="Bill of Qty"/>
      <sheetName val="SUMMARY"/>
      <sheetName val="SPOOL"/>
      <sheetName val="DG"/>
      <sheetName val="COVERUSRP"/>
      <sheetName val="SITE"/>
      <sheetName val="ESCOND"/>
      <sheetName val="BQUSRP"/>
      <sheetName val="kin_OLP_xxx"/>
      <sheetName val="ANALISA PEK.UMUM"/>
      <sheetName val="ANALISA KONST BTN"/>
      <sheetName val="An Arsitektur"/>
      <sheetName val="Data basic price jgan diprint"/>
      <sheetName val="CAT_HAR"/>
      <sheetName val="time schedule"/>
      <sheetName val="periode progress"/>
      <sheetName val="progres"/>
      <sheetName val="rekap progres)"/>
      <sheetName val="Galian 1"/>
      <sheetName val="Jurnal"/>
      <sheetName val="川崎HRSG"/>
      <sheetName val="GTS_I_PS3"/>
      <sheetName val="BQ_AC-_SEMANAN3"/>
      <sheetName val="Cash_Flow_bulanan"/>
      <sheetName val="fin_SB"/>
      <sheetName val="FIN_PARKIR"/>
      <sheetName val="RINC_FIN_T4_"/>
      <sheetName val="RINC_FIN_T4___3_"/>
      <sheetName val="RINC_FIN_T4___2_"/>
      <sheetName val="Currency_Rate3"/>
      <sheetName val="Daf_Harga"/>
      <sheetName val="Rekap_Bill"/>
      <sheetName val="An__Harga"/>
      <sheetName val="Basic_Price"/>
      <sheetName val="Agregat_Halus___Kasar"/>
      <sheetName val="div_8"/>
      <sheetName val="div_2"/>
      <sheetName val="div_3"/>
      <sheetName val="div_4"/>
      <sheetName val="div_5"/>
      <sheetName val="div_6"/>
      <sheetName val="div_7"/>
      <sheetName val="div_9"/>
      <sheetName val="Rekap_Biaya"/>
      <sheetName val="Bill_1_VAC-Supply-A"/>
      <sheetName val="Man_power1"/>
      <sheetName val="Rekap_Addendum"/>
      <sheetName val="BANGUNAN_PENUNJANG"/>
      <sheetName val="Harsat_Bahan"/>
      <sheetName val="Harsat_Upah"/>
      <sheetName val="r_tank"/>
      <sheetName val="BQ_ARS"/>
      <sheetName val="F_ALARM"/>
      <sheetName val="Rekap_RAB_kl"/>
      <sheetName val="Rekap_RAB_Amd"/>
      <sheetName val="Dftr_Kuan_Hrg_Amd"/>
      <sheetName val="concept cost code"/>
      <sheetName val="summary cost code"/>
      <sheetName val="SPK"/>
      <sheetName val="kas proyek"/>
      <sheetName val="lain lain"/>
      <sheetName val="DAF_1"/>
      <sheetName val="r_fin"/>
      <sheetName val="Luas Gross"/>
      <sheetName val="bas A"/>
      <sheetName val="bas B"/>
      <sheetName val="RINC FIN A_hotel_"/>
      <sheetName val="RINC FIN A_hotel_ _2_"/>
      <sheetName val="rekap1"/>
      <sheetName val="L_TIGA"/>
      <sheetName val="SAT_BHN"/>
      <sheetName val="ANA"/>
      <sheetName val="PRICES"/>
      <sheetName val="INDEX"/>
      <sheetName val="Traf&amp;Genst"/>
      <sheetName val="REF.ONLY"/>
      <sheetName val="REQDELTA"/>
      <sheetName val="TU"/>
      <sheetName val="analisa PUBM"/>
      <sheetName val="Input"/>
      <sheetName val="MUA"/>
      <sheetName val="Kanan"/>
      <sheetName val="NET?"/>
      <sheetName val="BQ?"/>
      <sheetName val="3-DIV5"/>
      <sheetName val="Analisa Harga"/>
      <sheetName val="Upah"/>
      <sheetName val="RAB AR&amp;STR"/>
      <sheetName val="HS"/>
      <sheetName val="DKH-1"/>
      <sheetName val="RKP"/>
      <sheetName val="61004"/>
      <sheetName val="61005"/>
      <sheetName val="61006"/>
      <sheetName val="61007"/>
      <sheetName val="61008"/>
      <sheetName val="HM.MEK."/>
      <sheetName val="Factor"/>
      <sheetName val="bobot"/>
      <sheetName val="REKAP"/>
      <sheetName val="alat"/>
      <sheetName val="Basic"/>
      <sheetName val="EVAL"/>
      <sheetName val="Agg Halus &amp; Kasar"/>
      <sheetName val="rcnpdp"/>
      <sheetName val="NP"/>
      <sheetName val="TJ1Q47"/>
      <sheetName val="harga"/>
      <sheetName val="MP-PLAN"/>
      <sheetName val="EE-PROP"/>
      <sheetName val="H.Material, Upah &amp; Alat"/>
      <sheetName val="Analisa H.Sat.Pek."/>
      <sheetName val="4-Basic Price"/>
      <sheetName val="10"/>
      <sheetName val="5"/>
      <sheetName val="1"/>
      <sheetName val="MP_PLAN"/>
      <sheetName val="LG"/>
      <sheetName val="DESCRIPTION"/>
      <sheetName val="BM DATA SHEET"/>
      <sheetName val="bq analisa"/>
      <sheetName val="ANL_TEK.6"/>
      <sheetName val="villa"/>
      <sheetName val="schedule"/>
      <sheetName val="Penawaran"/>
      <sheetName val="Waktu"/>
      <sheetName val="Anls"/>
      <sheetName val="ANALISA1"/>
      <sheetName val="Progress"/>
      <sheetName val="BasicPrice"/>
      <sheetName val="AnConW"/>
      <sheetName val="AnEarthW"/>
      <sheetName val="AnStoneW"/>
      <sheetName val="Input Data"/>
      <sheetName val="UPAH BAHAN"/>
      <sheetName val="Agregat Halus &amp; Kasar"/>
      <sheetName val="351BQMCN"/>
      <sheetName val="Analysis"/>
      <sheetName val="Kuantitas &amp; Harga"/>
      <sheetName val="skejul"/>
      <sheetName val="per span 35"/>
      <sheetName val="CBD"/>
      <sheetName val="An HarSatPek"/>
      <sheetName val="Sat Bah &amp; Up"/>
      <sheetName val="Struk"/>
      <sheetName val="galian saluran"/>
      <sheetName val="CH-RANC"/>
      <sheetName val="Week9-Feb    "/>
      <sheetName val="D7(1)"/>
      <sheetName val="PSB"/>
      <sheetName val="Analisa-Harga"/>
      <sheetName val="KS-P"/>
      <sheetName val="Upah&amp;Bahan"/>
      <sheetName val="Analisa1-10"/>
      <sheetName val="Vibro_Roller"/>
      <sheetName val="KPVC-BD "/>
      <sheetName val="Up"/>
      <sheetName val="SAT"/>
      <sheetName val="Analisa Alat Berat"/>
      <sheetName val="HSP"/>
      <sheetName val="rap rinci"/>
      <sheetName val="Div2"/>
      <sheetName val="Hsatuan-OK"/>
      <sheetName val="Har Sat"/>
      <sheetName val="RINC_hotel"/>
      <sheetName val="PROTECTION_"/>
      <sheetName val="Perhitungan_RAB"/>
      <sheetName val="Rencana_Anggaran_Biaya"/>
      <sheetName val="Harga_Satuan"/>
      <sheetName val="Kolom_UT"/>
      <sheetName val="Perhit_Alat"/>
      <sheetName val="Urai__Resap_pengikat"/>
      <sheetName val="Grand_summary"/>
      <sheetName val="Public_Area"/>
      <sheetName val="H_Satuan"/>
      <sheetName val="Har_Sat"/>
      <sheetName val="struktur_tdk_dipakai"/>
      <sheetName val="luar_Apart"/>
      <sheetName val="Bill_rekap"/>
      <sheetName val="Perm__Test"/>
      <sheetName val="Man_Power_&amp;_Comp"/>
      <sheetName val="TE_TS_FA_LAN_MATV"/>
      <sheetName val="Data_basic_price_jgan_diprint"/>
      <sheetName val="Kuantitas_&amp;_Harga"/>
      <sheetName val="DIV.1"/>
      <sheetName val="PRD 01-6(I-II)"/>
      <sheetName val="PRD 01-7 alat"/>
      <sheetName val="EVAL-ANAL"/>
      <sheetName val="MAP"/>
      <sheetName val="div-6"/>
      <sheetName val="div-2"/>
      <sheetName val="Ana. PU"/>
      <sheetName val="5-ALAT(1)"/>
      <sheetName val="Rincian"/>
      <sheetName val="HARGA AT"/>
      <sheetName val="har-sat"/>
      <sheetName val="G"/>
      <sheetName val="Curup"/>
      <sheetName val="Prabu"/>
      <sheetName val="FR"/>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ipe"/>
      <sheetName val="valve"/>
      <sheetName val="Steel-Twr"/>
      <sheetName val="5.1.ELEKTRIKAL-ELEKTRONIK"/>
      <sheetName val="SORT"/>
      <sheetName val="ANALISA HARGA   "/>
      <sheetName val="집계표(OPTION)"/>
      <sheetName val="DPKlah"/>
      <sheetName val="BUSWAY"/>
      <sheetName val="Harsat.Alat"/>
      <sheetName val="MAPP"/>
      <sheetName val="Mob"/>
      <sheetName val="D7"/>
      <sheetName val="Dasar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Q poli"/>
      <sheetName val="DAFTAR HARGA"/>
      <sheetName val="RAB. OE"/>
      <sheetName val="EE"/>
      <sheetName val="ANALISA"/>
      <sheetName val="REKAP EE"/>
      <sheetName val="ANALISA UGD"/>
      <sheetName val="DAFTAR HARGA (bq )"/>
      <sheetName val="REKAP EE (BQ)"/>
      <sheetName val="DAFTAR HARGA (BQ)"/>
      <sheetName val="ANALISAUGD (BQ)"/>
      <sheetName val="BQ IGD"/>
    </sheetNames>
    <sheetDataSet>
      <sheetData sheetId="0" refreshError="1"/>
      <sheetData sheetId="1" refreshError="1">
        <row r="16">
          <cell r="H16">
            <v>38500</v>
          </cell>
        </row>
        <row r="56">
          <cell r="H56">
            <v>7500</v>
          </cell>
        </row>
        <row r="58">
          <cell r="H58">
            <v>77000</v>
          </cell>
        </row>
        <row r="102">
          <cell r="H102">
            <v>8500</v>
          </cell>
        </row>
        <row r="103">
          <cell r="H103">
            <v>4000</v>
          </cell>
        </row>
        <row r="104">
          <cell r="H104">
            <v>15000</v>
          </cell>
        </row>
        <row r="123">
          <cell r="H123">
            <v>450000</v>
          </cell>
        </row>
        <row r="127">
          <cell r="H127">
            <v>54600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Q"/>
      <sheetName val="BQ"/>
      <sheetName val="Analisa Mob-Demob"/>
      <sheetName val="Analisa"/>
      <sheetName val="Harga Satuan"/>
      <sheetName val="Equipment"/>
      <sheetName val="Schedule"/>
      <sheetName val="Pemecah Batu"/>
      <sheetName val="Kapasitas AMP"/>
      <sheetName val="Pembayaran Utama"/>
      <sheetName val="Disubkontrakan"/>
      <sheetName val="Lamp 10"/>
      <sheetName val="Sheet1"/>
      <sheetName val="Sheet2"/>
      <sheetName val="Sheet3"/>
      <sheetName val="Rekap_BQ"/>
      <sheetName val="Analisa_Mob-Demob"/>
      <sheetName val="Harga_Satuan"/>
      <sheetName val="Pemecah_Batu"/>
      <sheetName val="Kapasitas_AMP"/>
      <sheetName val="Pembayaran_Utama"/>
      <sheetName val="Lamp_10"/>
      <sheetName val="Rekap_BQ1"/>
      <sheetName val="Analisa_Mob-Demob1"/>
      <sheetName val="Harga_Satuan1"/>
      <sheetName val="Pemecah_Batu1"/>
      <sheetName val="Kapasitas_AMP1"/>
      <sheetName val="Pembayaran_Utama1"/>
      <sheetName val="Lamp_101"/>
      <sheetName val="Rekap_BQ2"/>
      <sheetName val="Analisa_Mob-Demob2"/>
      <sheetName val="Harga_Satuan2"/>
      <sheetName val="Pemecah_Batu2"/>
      <sheetName val="Kapasitas_AMP2"/>
      <sheetName val="Pembayaran_Utama2"/>
      <sheetName val="Lamp_102"/>
      <sheetName val="Rekap_BQ3"/>
      <sheetName val="Analisa_Mob-Demob3"/>
      <sheetName val="Harga_Satuan3"/>
      <sheetName val="Pemecah_Batu3"/>
      <sheetName val="Kapasitas_AMP3"/>
      <sheetName val="Pembayaran_Utama3"/>
      <sheetName val="Lamp_103"/>
      <sheetName val="Rekap_BQ4"/>
      <sheetName val="Analisa_Mob-Demob4"/>
      <sheetName val="Harga_Satuan4"/>
      <sheetName val="Pemecah_Batu4"/>
      <sheetName val="Kapasitas_AMP4"/>
      <sheetName val="Pembayaran_Utama4"/>
      <sheetName val="Lamp_104"/>
      <sheetName val="Rekap_BQ5"/>
      <sheetName val="Analisa_Mob-Demob5"/>
      <sheetName val="Harga_Satuan5"/>
      <sheetName val="Pemecah_Batu5"/>
      <sheetName val="Kapasitas_AMP5"/>
      <sheetName val="Pembayaran_Utama5"/>
      <sheetName val="Lamp_105"/>
      <sheetName val="Rekap_BQ6"/>
      <sheetName val="Analisa_Mob-Demob6"/>
      <sheetName val="Harga_Satuan6"/>
      <sheetName val="Pemecah_Batu6"/>
      <sheetName val="Kapasitas_AMP6"/>
      <sheetName val="Pembayaran_Utama6"/>
      <sheetName val="Lamp_106"/>
      <sheetName val="Rekap_BQ7"/>
      <sheetName val="Analisa_Mob-Demob7"/>
      <sheetName val="Harga_Satuan7"/>
      <sheetName val="Pemecah_Batu7"/>
      <sheetName val="Kapasitas_AMP7"/>
      <sheetName val="Pembayaran_Utama7"/>
      <sheetName val="Lamp_107"/>
      <sheetName val="Rekap_BQ8"/>
      <sheetName val="Analisa_Mob-Demob8"/>
      <sheetName val="Harga_Satuan8"/>
      <sheetName val="Pemecah_Batu8"/>
      <sheetName val="Kapasitas_AMP8"/>
      <sheetName val="Pembayaran_Utama8"/>
      <sheetName val="Lamp_108"/>
      <sheetName val="Rekap_BQ9"/>
      <sheetName val="Analisa_Mob-Demob9"/>
      <sheetName val="Harga_Satuan9"/>
      <sheetName val="Pemecah_Batu9"/>
      <sheetName val="Kapasitas_AMP9"/>
      <sheetName val="Pembayaran_Utama9"/>
      <sheetName val="Lamp_109"/>
      <sheetName val="bahan"/>
      <sheetName val="Perm. Test"/>
      <sheetName val="Upah"/>
      <sheetName val="Har Sat"/>
      <sheetName val="Input"/>
      <sheetName val="REKAP"/>
      <sheetName val="B"/>
      <sheetName val="Galian 1"/>
      <sheetName val="DAFTAR HARGA"/>
    </sheetNames>
    <sheetDataSet>
      <sheetData sheetId="0" refreshError="1"/>
      <sheetData sheetId="1" refreshError="1"/>
      <sheetData sheetId="2" refreshError="1"/>
      <sheetData sheetId="3" refreshError="1"/>
      <sheetData sheetId="4" refreshError="1">
        <row r="9">
          <cell r="G9">
            <v>6250</v>
          </cell>
        </row>
        <row r="10">
          <cell r="G10">
            <v>5000</v>
          </cell>
        </row>
        <row r="16">
          <cell r="G16">
            <v>2100</v>
          </cell>
        </row>
        <row r="17">
          <cell r="G17">
            <v>1950</v>
          </cell>
        </row>
        <row r="20">
          <cell r="G20">
            <v>40000</v>
          </cell>
        </row>
        <row r="24">
          <cell r="G24">
            <v>7500</v>
          </cell>
        </row>
        <row r="25">
          <cell r="G25">
            <v>11000</v>
          </cell>
        </row>
        <row r="27">
          <cell r="G27">
            <v>5750</v>
          </cell>
        </row>
        <row r="28">
          <cell r="G28">
            <v>5300</v>
          </cell>
        </row>
        <row r="30">
          <cell r="G30">
            <v>300</v>
          </cell>
        </row>
        <row r="38">
          <cell r="G38">
            <v>90000</v>
          </cell>
        </row>
        <row r="39">
          <cell r="G39">
            <v>39750</v>
          </cell>
        </row>
        <row r="41">
          <cell r="G41">
            <v>72000</v>
          </cell>
        </row>
        <row r="42">
          <cell r="G42">
            <v>72000</v>
          </cell>
        </row>
        <row r="45">
          <cell r="G45">
            <v>43334.859437751002</v>
          </cell>
        </row>
        <row r="46">
          <cell r="G46">
            <v>39500</v>
          </cell>
        </row>
        <row r="47">
          <cell r="G47">
            <v>3500</v>
          </cell>
        </row>
        <row r="48">
          <cell r="G48">
            <v>7500</v>
          </cell>
        </row>
        <row r="58">
          <cell r="G58">
            <v>44125</v>
          </cell>
        </row>
        <row r="59">
          <cell r="G59">
            <v>24600</v>
          </cell>
        </row>
        <row r="60">
          <cell r="G60">
            <v>85750</v>
          </cell>
        </row>
        <row r="61">
          <cell r="G61">
            <v>60500</v>
          </cell>
        </row>
        <row r="65">
          <cell r="G65">
            <v>10293.75</v>
          </cell>
        </row>
        <row r="68">
          <cell r="G68">
            <v>51750</v>
          </cell>
        </row>
        <row r="69">
          <cell r="G69">
            <v>91500</v>
          </cell>
        </row>
        <row r="70">
          <cell r="G70">
            <v>28000</v>
          </cell>
        </row>
        <row r="71">
          <cell r="G71">
            <v>47600</v>
          </cell>
        </row>
        <row r="72">
          <cell r="G72">
            <v>22675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A"/>
      <sheetName val="RAB. OE"/>
      <sheetName val="Sheet1"/>
      <sheetName val="Rab."/>
      <sheetName val="REKAP"/>
      <sheetName val="ANALISA"/>
    </sheetNames>
    <sheetDataSet>
      <sheetData sheetId="0" refreshError="1">
        <row r="13">
          <cell r="H13">
            <v>30800</v>
          </cell>
        </row>
        <row r="14">
          <cell r="H14">
            <v>33000</v>
          </cell>
        </row>
        <row r="15">
          <cell r="H15">
            <v>28600</v>
          </cell>
        </row>
        <row r="16">
          <cell r="H16">
            <v>35200</v>
          </cell>
        </row>
        <row r="20">
          <cell r="H20">
            <v>35750</v>
          </cell>
        </row>
        <row r="21">
          <cell r="H21">
            <v>35750</v>
          </cell>
        </row>
        <row r="22">
          <cell r="H22">
            <v>300</v>
          </cell>
        </row>
        <row r="23">
          <cell r="H23">
            <v>3850</v>
          </cell>
        </row>
        <row r="24">
          <cell r="H24">
            <v>640</v>
          </cell>
        </row>
        <row r="25">
          <cell r="H25">
            <v>11000</v>
          </cell>
        </row>
        <row r="26">
          <cell r="H26">
            <v>1067000</v>
          </cell>
        </row>
        <row r="27">
          <cell r="H27">
            <v>792000</v>
          </cell>
        </row>
        <row r="28">
          <cell r="H28">
            <v>26550</v>
          </cell>
        </row>
        <row r="34">
          <cell r="H34">
            <v>6300</v>
          </cell>
        </row>
        <row r="37">
          <cell r="H37">
            <v>7650</v>
          </cell>
        </row>
        <row r="40">
          <cell r="H40">
            <v>90000</v>
          </cell>
        </row>
        <row r="41">
          <cell r="H41">
            <v>11250</v>
          </cell>
        </row>
        <row r="44">
          <cell r="H44">
            <v>22500</v>
          </cell>
        </row>
        <row r="45">
          <cell r="H45">
            <v>9000</v>
          </cell>
        </row>
        <row r="46">
          <cell r="H46">
            <v>11250</v>
          </cell>
        </row>
        <row r="47">
          <cell r="H47">
            <v>36000</v>
          </cell>
        </row>
        <row r="58">
          <cell r="H58">
            <v>2290.0045454545457</v>
          </cell>
        </row>
        <row r="60">
          <cell r="H60">
            <v>1350</v>
          </cell>
        </row>
        <row r="62">
          <cell r="H62">
            <v>2250</v>
          </cell>
        </row>
        <row r="65">
          <cell r="H65">
            <v>6750</v>
          </cell>
        </row>
        <row r="66">
          <cell r="H66">
            <v>13500</v>
          </cell>
        </row>
        <row r="67">
          <cell r="H67">
            <v>9000</v>
          </cell>
        </row>
        <row r="68">
          <cell r="H68">
            <v>16200</v>
          </cell>
        </row>
        <row r="69">
          <cell r="H69">
            <v>7650</v>
          </cell>
        </row>
        <row r="70">
          <cell r="H70">
            <v>2625</v>
          </cell>
        </row>
        <row r="72">
          <cell r="H72">
            <v>18000</v>
          </cell>
        </row>
        <row r="76">
          <cell r="H76">
            <v>135000</v>
          </cell>
        </row>
        <row r="78">
          <cell r="H78">
            <v>6750</v>
          </cell>
        </row>
        <row r="79">
          <cell r="H79">
            <v>180000</v>
          </cell>
        </row>
        <row r="81">
          <cell r="H81">
            <v>45000</v>
          </cell>
        </row>
        <row r="82">
          <cell r="H82">
            <v>50940</v>
          </cell>
        </row>
        <row r="83">
          <cell r="H83">
            <v>58680</v>
          </cell>
        </row>
        <row r="84">
          <cell r="H84">
            <v>37800</v>
          </cell>
        </row>
        <row r="85">
          <cell r="H85">
            <v>41400</v>
          </cell>
        </row>
      </sheetData>
      <sheetData sheetId="1" refreshError="1"/>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E"/>
      <sheetName val="RAB. OE"/>
      <sheetName val="ANALISA"/>
      <sheetName val="BB ok"/>
      <sheetName val="BB"/>
      <sheetName val="DAFTAR HARGA"/>
    </sheetNames>
    <sheetDataSet>
      <sheetData sheetId="0"/>
      <sheetData sheetId="1"/>
      <sheetData sheetId="2"/>
      <sheetData sheetId="3"/>
      <sheetData sheetId="4"/>
      <sheetData sheetId="5">
        <row r="27">
          <cell r="J27">
            <v>37000</v>
          </cell>
        </row>
        <row r="30">
          <cell r="J30">
            <v>105000</v>
          </cell>
        </row>
        <row r="33">
          <cell r="J33">
            <v>75000</v>
          </cell>
        </row>
        <row r="34">
          <cell r="J34">
            <v>62500</v>
          </cell>
        </row>
        <row r="48">
          <cell r="J48">
            <v>97000</v>
          </cell>
        </row>
        <row r="54">
          <cell r="J54">
            <v>85000</v>
          </cell>
        </row>
        <row r="56">
          <cell r="J56">
            <v>800000</v>
          </cell>
        </row>
        <row r="57">
          <cell r="J57">
            <v>2000000</v>
          </cell>
        </row>
        <row r="74">
          <cell r="J74">
            <v>9500</v>
          </cell>
        </row>
        <row r="75">
          <cell r="J75">
            <v>20000</v>
          </cell>
        </row>
        <row r="139">
          <cell r="J139">
            <v>6500</v>
          </cell>
        </row>
        <row r="149">
          <cell r="J149">
            <v>450000</v>
          </cell>
        </row>
        <row r="165">
          <cell r="J165">
            <v>22500</v>
          </cell>
        </row>
        <row r="166">
          <cell r="J166">
            <v>65000</v>
          </cell>
        </row>
        <row r="168">
          <cell r="J168">
            <v>22500</v>
          </cell>
        </row>
        <row r="170">
          <cell r="J170">
            <v>46500</v>
          </cell>
        </row>
        <row r="171">
          <cell r="J171">
            <v>65000</v>
          </cell>
        </row>
        <row r="172">
          <cell r="J172">
            <v>85000</v>
          </cell>
        </row>
        <row r="173">
          <cell r="J173">
            <v>105000</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TOTAL"/>
      <sheetName val="RUANG PERAWATAN"/>
      <sheetName val="RUANG GIZI"/>
      <sheetName val="RUANG LOUNDRY"/>
      <sheetName val="Analisa"/>
      <sheetName val="Harga"/>
    </sheetNames>
    <sheetDataSet>
      <sheetData sheetId="0"/>
      <sheetData sheetId="1"/>
      <sheetData sheetId="2"/>
      <sheetData sheetId="3"/>
      <sheetData sheetId="4">
        <row r="54">
          <cell r="J54">
            <v>66287.75</v>
          </cell>
        </row>
        <row r="79">
          <cell r="J79">
            <v>18111.900000000001</v>
          </cell>
        </row>
        <row r="87">
          <cell r="J87">
            <v>16583.099999999999</v>
          </cell>
        </row>
        <row r="95">
          <cell r="J95">
            <v>17230.5</v>
          </cell>
        </row>
        <row r="104">
          <cell r="J104">
            <v>363520</v>
          </cell>
        </row>
        <row r="160">
          <cell r="J160">
            <v>772777.6</v>
          </cell>
        </row>
        <row r="186">
          <cell r="J186">
            <v>113841.01000000001</v>
          </cell>
        </row>
        <row r="196">
          <cell r="J196">
            <v>110201.01000000001</v>
          </cell>
        </row>
        <row r="216">
          <cell r="J216">
            <v>114796.36</v>
          </cell>
        </row>
        <row r="226">
          <cell r="J226">
            <v>126404.01</v>
          </cell>
        </row>
        <row r="235">
          <cell r="J235">
            <v>3018920</v>
          </cell>
        </row>
        <row r="243">
          <cell r="J243">
            <v>75905</v>
          </cell>
        </row>
        <row r="260">
          <cell r="J260">
            <v>155235</v>
          </cell>
        </row>
        <row r="268">
          <cell r="J268">
            <v>2661253.4000000004</v>
          </cell>
        </row>
        <row r="292">
          <cell r="J292">
            <v>61375.49</v>
          </cell>
        </row>
        <row r="301">
          <cell r="J301">
            <v>50013.2</v>
          </cell>
        </row>
        <row r="309">
          <cell r="J309">
            <v>37855</v>
          </cell>
        </row>
        <row r="325">
          <cell r="J325">
            <v>217403.5</v>
          </cell>
        </row>
        <row r="337">
          <cell r="J337">
            <v>14976.1</v>
          </cell>
        </row>
        <row r="354">
          <cell r="J354">
            <v>154615.6</v>
          </cell>
        </row>
        <row r="363">
          <cell r="J363">
            <v>159469</v>
          </cell>
        </row>
        <row r="370">
          <cell r="J370">
            <v>184970</v>
          </cell>
        </row>
        <row r="396">
          <cell r="J396">
            <v>14438.880000000001</v>
          </cell>
        </row>
        <row r="411">
          <cell r="J411">
            <v>12060.079999999998</v>
          </cell>
        </row>
        <row r="418">
          <cell r="J418">
            <v>33226.679199999999</v>
          </cell>
        </row>
        <row r="424">
          <cell r="J424">
            <v>42870.015999999996</v>
          </cell>
        </row>
        <row r="437">
          <cell r="J437">
            <v>1185624.0956000001</v>
          </cell>
        </row>
        <row r="448">
          <cell r="J448">
            <v>466380</v>
          </cell>
        </row>
        <row r="457">
          <cell r="J457">
            <v>140169.4</v>
          </cell>
        </row>
        <row r="461">
          <cell r="J461">
            <v>8450</v>
          </cell>
        </row>
        <row r="465">
          <cell r="J465">
            <v>27950</v>
          </cell>
        </row>
        <row r="477">
          <cell r="J477">
            <v>330100.2</v>
          </cell>
        </row>
        <row r="487">
          <cell r="J487">
            <v>114310</v>
          </cell>
        </row>
        <row r="508">
          <cell r="J508">
            <v>15870</v>
          </cell>
        </row>
      </sheetData>
      <sheetData sheetId="5">
        <row r="76">
          <cell r="F76">
            <v>7150</v>
          </cell>
        </row>
        <row r="87">
          <cell r="F87">
            <v>100000</v>
          </cell>
        </row>
        <row r="88">
          <cell r="F88">
            <v>125000</v>
          </cell>
        </row>
        <row r="99">
          <cell r="F99">
            <v>2000000</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iaya (2)"/>
      <sheetName val="Rekap Biaya"/>
      <sheetName val="Kuantitas &amp; Harga"/>
      <sheetName val="Pekerjaan Utama"/>
      <sheetName val="%"/>
    </sheetNames>
    <sheetDataSet>
      <sheetData sheetId="0"/>
      <sheetData sheetId="1"/>
      <sheetData sheetId="2" refreshError="1">
        <row r="28">
          <cell r="I28">
            <v>100054677</v>
          </cell>
        </row>
        <row r="50">
          <cell r="I50">
            <v>473778055.37134838</v>
          </cell>
        </row>
        <row r="84">
          <cell r="I84">
            <v>1593568472.6400001</v>
          </cell>
        </row>
        <row r="99">
          <cell r="I99">
            <v>0</v>
          </cell>
        </row>
        <row r="118">
          <cell r="I118">
            <v>26024014447</v>
          </cell>
        </row>
        <row r="150">
          <cell r="I150">
            <v>13908542445.618446</v>
          </cell>
        </row>
        <row r="294">
          <cell r="I294">
            <v>1595353375.4309921</v>
          </cell>
        </row>
        <row r="351">
          <cell r="I351">
            <v>2030694031.5068765</v>
          </cell>
        </row>
        <row r="378">
          <cell r="I378">
            <v>0</v>
          </cell>
        </row>
      </sheetData>
      <sheetData sheetId="3"/>
      <sheetData sheetId="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MAJOR"/>
      <sheetName val="%"/>
      <sheetName val="Peta Quarry"/>
      <sheetName val="Perhitungan Mobilisasi Alat"/>
      <sheetName val="Lalu Lintas"/>
      <sheetName val="Jembatan Sementara"/>
      <sheetName val="Informasi"/>
      <sheetName val="4-Basic Price"/>
      <sheetName val="4-Analisa Quarry"/>
      <sheetName val="QUARRY"/>
      <sheetName val="5-ALAT(1)"/>
      <sheetName val="5-ALAT(2)"/>
      <sheetName val="Agg Halus &amp; Kasar"/>
      <sheetName val="Agg A"/>
      <sheetName val="Agg B"/>
      <sheetName val="Agg C"/>
      <sheetName val="Rekap"/>
      <sheetName val="BOQ"/>
      <sheetName val="Mobilisasi"/>
      <sheetName val="Galian"/>
      <sheetName val="D3"/>
      <sheetName val="D4"/>
      <sheetName val="D4 (2)"/>
      <sheetName val="D5"/>
      <sheetName val="D5 (2)"/>
      <sheetName val="D6"/>
      <sheetName val="Sheet1"/>
      <sheetName val="D6 ASBT"/>
      <sheetName val="D7(1)"/>
      <sheetName val="D7(1)2"/>
      <sheetName val="D7(2)"/>
      <sheetName val="D7(3)"/>
      <sheetName val="D8(1)"/>
      <sheetName val="D8(2)"/>
      <sheetName val="D9"/>
      <sheetName val="D10 LS-Rutin"/>
      <sheetName val="D10 Kuantitas"/>
      <sheetName val="D10 Analisa HSP"/>
      <sheetName val="4-Analisa Quarry-1"/>
      <sheetName val="4-formulir harga bahan"/>
      <sheetName val="5-ALAT(1)-b"/>
      <sheetName val="5-ALA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0">
          <cell r="AX30">
            <v>184086.3741395215</v>
          </cell>
        </row>
      </sheetData>
      <sheetData sheetId="42"/>
      <sheetData sheetId="4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NAGA"/>
      <sheetName val="SCHEDULE ALAT"/>
      <sheetName val="Rekap"/>
      <sheetName val="RAB"/>
      <sheetName val="Analisa"/>
      <sheetName val="Analisa Teknis"/>
      <sheetName val="H. SATUAN"/>
      <sheetName val="Peralatan"/>
      <sheetName val="On Site"/>
      <sheetName val="SCHEDULE"/>
      <sheetName val="Analisaaaa"/>
      <sheetName val="DAFTAR HARGA"/>
      <sheetName val="UPAH"/>
      <sheetName val="MAP"/>
      <sheetName val="UMUM-PU"/>
      <sheetName val="4-Basic Price"/>
      <sheetName val="5-ALAT(1)"/>
      <sheetName val="APRON TAHAP I"/>
      <sheetName val="ANALISA BARU 40 M"/>
    </sheetNames>
    <sheetDataSet>
      <sheetData sheetId="0"/>
      <sheetData sheetId="1"/>
      <sheetData sheetId="2"/>
      <sheetData sheetId="3"/>
      <sheetData sheetId="4">
        <row r="63">
          <cell r="A63" t="str">
            <v xml:space="preserve">JUMLAH  HARGA  PERALATAN   </v>
          </cell>
        </row>
        <row r="65">
          <cell r="A65" t="str">
            <v>D.</v>
          </cell>
        </row>
        <row r="66">
          <cell r="A66" t="str">
            <v>E.</v>
          </cell>
        </row>
        <row r="67">
          <cell r="A67" t="str">
            <v>F.</v>
          </cell>
        </row>
        <row r="71">
          <cell r="A71" t="str">
            <v>URAIAN PEKERJAAN</v>
          </cell>
        </row>
        <row r="72">
          <cell r="A72" t="str">
            <v>SATUAN MATA PEMBAYARAN</v>
          </cell>
        </row>
        <row r="73">
          <cell r="A73" t="str">
            <v>KUANTITAS PEKERJAAN</v>
          </cell>
        </row>
        <row r="75">
          <cell r="A75" t="str">
            <v>NO</v>
          </cell>
        </row>
        <row r="78">
          <cell r="A78" t="str">
            <v>A.</v>
          </cell>
        </row>
        <row r="79">
          <cell r="A79">
            <v>1</v>
          </cell>
        </row>
        <row r="80">
          <cell r="A80">
            <v>2</v>
          </cell>
        </row>
        <row r="83">
          <cell r="A83" t="str">
            <v xml:space="preserve">JUMLAH  HARGA  TENAGA   </v>
          </cell>
        </row>
        <row r="85">
          <cell r="A85" t="str">
            <v>B.</v>
          </cell>
        </row>
      </sheetData>
      <sheetData sheetId="5">
        <row r="53">
          <cell r="G53" t="str">
            <v>Fb</v>
          </cell>
        </row>
      </sheetData>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MAT NON STD okk"/>
      <sheetName val="HRG BAHAN &amp; UPAH okk"/>
      <sheetName val="Analis Kusen okk"/>
      <sheetName val="Analisa K"/>
      <sheetName val="Analis ME okk"/>
      <sheetName val="REKAP TOTAL BLOK A &amp; BLOK B"/>
      <sheetName val="ANALISA-SNI-BLOK B"/>
      <sheetName val="REKAP_SNI_BLOK B"/>
      <sheetName val="COMPARASI"/>
      <sheetName val="REKAP TOTAL A+B+FASUM "/>
      <sheetName val="REKAP BLOK B"/>
      <sheetName val="BLOK - B1"/>
      <sheetName val="PLUMBING B1"/>
      <sheetName val="ELEKTRIKAL B1"/>
      <sheetName val="PONTEN"/>
      <sheetName val="POS JAGA"/>
      <sheetName val="KTR PENGELOLA"/>
      <sheetName val="PAGAR KEL &amp; BRC"/>
      <sheetName val="PAVING BLOK DAN ASPAL"/>
      <sheetName val="PJU"/>
      <sheetName val="SAMBUNG DAYA"/>
      <sheetName val="DRAINASE"/>
      <sheetName val="FIRE HIDRAN"/>
      <sheetName val="REKAP ME &amp; PLUMBING OK "/>
      <sheetName val="ELEKTRIKAL A+B+C"/>
      <sheetName val="MEKANIKAL LINGKUNGAN"/>
      <sheetName val="MUSHOLLA"/>
      <sheetName val="REKAP BANG. PRASARANA "/>
      <sheetName val="REKAP BLOK C"/>
      <sheetName val="BLOK -C"/>
      <sheetName val="BLOK - B 2"/>
      <sheetName val="PARKIR RODA 2  2 UNIT"/>
      <sheetName val="PARKIR RODA 2  1 UNIT"/>
      <sheetName val="SHELTER"/>
      <sheetName val="DEPO SAMPAH"/>
      <sheetName val="POWER HOUSE"/>
      <sheetName val="pengelompok"/>
      <sheetName val="rekap std M.E"/>
      <sheetName val="RKP BLOK A TDK DIPAKAI"/>
      <sheetName val="BLOK - A OKKK TDK DIPAKAI"/>
      <sheetName val="REKAP TOTAL  "/>
      <sheetName val="REKAP LANSCAPE DRAINAGE"/>
      <sheetName val="rKP PRASARANA YANG DITUNDA"/>
      <sheetName val="REKAP &amp; BAHAN UPAH ME-tdk pake"/>
      <sheetName val="RKP TOT BANG+ME(TDK DIPAKAI)"/>
      <sheetName val="HRG BAHAN _ UPAH okk"/>
      <sheetName val="BOQ-Indonesia"/>
      <sheetName val="HSD"/>
      <sheetName val="SCHEDULE"/>
      <sheetName val="A"/>
      <sheetName val="HARGA_MAT_NON_STD_okk"/>
      <sheetName val="HRG_BAHAN_&amp;_UPAH_okk"/>
      <sheetName val="Analis_Kusen_okk"/>
      <sheetName val="Analisa_K"/>
      <sheetName val="Analis_ME_okk"/>
      <sheetName val="REKAP_TOTAL_BLOK_A_&amp;_BLOK_B"/>
      <sheetName val="ANALISA-SNI-BLOK_B"/>
      <sheetName val="REKAP_SNI_BLOK_B"/>
      <sheetName val="REKAP_TOTAL_A+B+FASUM_"/>
      <sheetName val="REKAP_BLOK_B"/>
      <sheetName val="BLOK_-_B1"/>
      <sheetName val="PLUMBING_B1"/>
      <sheetName val="ELEKTRIKAL_B1"/>
      <sheetName val="POS_JAGA"/>
      <sheetName val="KTR_PENGELOLA"/>
      <sheetName val="PAGAR_KEL_&amp;_BRC"/>
      <sheetName val="PAVING_BLOK_DAN_ASPAL"/>
      <sheetName val="SAMBUNG_DAYA"/>
      <sheetName val="FIRE_HIDRAN"/>
      <sheetName val="REKAP_ME_&amp;_PLUMBING_OK_"/>
      <sheetName val="ELEKTRIKAL_A+B+C"/>
      <sheetName val="MEKANIKAL_LINGKUNGAN"/>
      <sheetName val="REKAP_BANG__PRASARANA_"/>
      <sheetName val="REKAP_BLOK_C"/>
      <sheetName val="BLOK_-C"/>
      <sheetName val="BLOK_-_B_2"/>
      <sheetName val="PARKIR_RODA_2__2_UNIT"/>
      <sheetName val="PARKIR_RODA_2__1_UNIT"/>
      <sheetName val="DEPO_SAMPAH"/>
      <sheetName val="POWER_HOUSE"/>
      <sheetName val="rekap_std_M_E"/>
      <sheetName val="RKP_BLOK_A_TDK_DIPAKAI"/>
      <sheetName val="BLOK_-_A_OKKK_TDK_DIPAKAI"/>
      <sheetName val="REKAP_TOTAL__"/>
      <sheetName val="REKAP_LANSCAPE_DRAINAGE"/>
      <sheetName val="rKP_PRASARANA_YANG_DITUNDA"/>
      <sheetName val="REKAP_&amp;_BAHAN_UPAH_ME-tdk_pake"/>
      <sheetName val="RKP_TOT_BANG+ME(TDK_DIPAKAI)"/>
      <sheetName val="HRG_BAHAN___UPAH_okk"/>
      <sheetName val="Anal Alat BID"/>
      <sheetName val="H.Satuan"/>
      <sheetName val="D _ W sizes"/>
      <sheetName val="harsat_upah"/>
      <sheetName val="ANALISA"/>
      <sheetName val="Rekapitulasi"/>
      <sheetName val="GEDUNG-A"/>
      <sheetName val="Kuantitas _ Harga"/>
      <sheetName val="12CGOU"/>
      <sheetName val="Fill this out first..."/>
      <sheetName val="Fill this out first___"/>
      <sheetName val="Elektrikal"/>
      <sheetName val="351BQMCN"/>
      <sheetName val="escon"/>
      <sheetName val="QTO-11P"/>
      <sheetName val="Har Sat"/>
      <sheetName val="TAHAP"/>
      <sheetName val="INDEX"/>
      <sheetName val="Cover Daf-2"/>
      <sheetName val="MAP"/>
      <sheetName val="BOQ"/>
      <sheetName val="5-ALAT(1)"/>
      <sheetName val="4-Basic Price"/>
      <sheetName val="DIV2"/>
      <sheetName val="HARGA MATERIAL"/>
      <sheetName val="Sub"/>
      <sheetName val="RAP"/>
      <sheetName val="Cash Flow bulanan"/>
      <sheetName val="lanscap_All"/>
      <sheetName val="Analisa SNI STANDART "/>
      <sheetName val="Daftar BOQ"/>
      <sheetName val="Reference"/>
      <sheetName val="HARGA_MAT_NON_STD_okk1"/>
      <sheetName val="HRG_BAHAN_&amp;_UPAH_okk1"/>
      <sheetName val="Analis_Kusen_okk1"/>
      <sheetName val="Analisa_K1"/>
      <sheetName val="Analis_ME_okk1"/>
      <sheetName val="REKAP_TOTAL_BLOK_A_&amp;_BLOK_B1"/>
      <sheetName val="ANALISA-SNI-BLOK_B1"/>
      <sheetName val="REKAP_SNI_BLOK_B1"/>
      <sheetName val="REKAP_TOTAL_A+B+FASUM_1"/>
      <sheetName val="REKAP_BLOK_B1"/>
      <sheetName val="BLOK_-_B11"/>
      <sheetName val="PLUMBING_B11"/>
      <sheetName val="ELEKTRIKAL_B11"/>
      <sheetName val="POS_JAGA1"/>
      <sheetName val="KTR_PENGELOLA1"/>
      <sheetName val="PAGAR_KEL_&amp;_BRC1"/>
      <sheetName val="PAVING_BLOK_DAN_ASPAL1"/>
      <sheetName val="SAMBUNG_DAYA1"/>
      <sheetName val="FIRE_HIDRAN1"/>
      <sheetName val="REKAP_ME_&amp;_PLUMBING_OK_1"/>
      <sheetName val="ELEKTRIKAL_A+B+C1"/>
      <sheetName val="MEKANIKAL_LINGKUNGAN1"/>
      <sheetName val="REKAP_BANG__PRASARANA_1"/>
      <sheetName val="REKAP_BLOK_C1"/>
      <sheetName val="BLOK_-C1"/>
      <sheetName val="BLOK_-_B_21"/>
      <sheetName val="PARKIR_RODA_2__2_UNIT1"/>
      <sheetName val="PARKIR_RODA_2__1_UNIT1"/>
      <sheetName val="DEPO_SAMPAH1"/>
      <sheetName val="POWER_HOUSE1"/>
      <sheetName val="rekap_std_M_E1"/>
      <sheetName val="RKP_BLOK_A_TDK_DIPAKAI1"/>
      <sheetName val="BLOK_-_A_OKKK_TDK_DIPAKAI1"/>
      <sheetName val="REKAP_TOTAL__1"/>
      <sheetName val="REKAP_LANSCAPE_DRAINAGE1"/>
      <sheetName val="rKP_PRASARANA_YANG_DITUNDA1"/>
      <sheetName val="REKAP_&amp;_BAHAN_UPAH_ME-tdk_pake1"/>
      <sheetName val="RKP_TOT_BANG+ME(TDK_DIPAKAI)1"/>
      <sheetName val="HRG_BAHAN___UPAH_okk1"/>
      <sheetName val="PLUMBING"/>
      <sheetName val="Ana. PU"/>
      <sheetName val="Cover"/>
      <sheetName val="HRG BHN"/>
      <sheetName val="LISTRIK"/>
      <sheetName val="CondPol"/>
      <sheetName val="List Material"/>
      <sheetName val="A-ars"/>
      <sheetName val="Pipe"/>
      <sheetName val="CH"/>
      <sheetName val="Volume"/>
      <sheetName val="FAKTOR"/>
      <sheetName val="BOQ (1-3)"/>
      <sheetName val="New MADC"/>
      <sheetName val="Informasi"/>
      <sheetName val="Bahan "/>
      <sheetName val="Upah"/>
      <sheetName val="Pekerjaan "/>
      <sheetName val="REKAP"/>
      <sheetName val="Estimate"/>
      <sheetName val="struktur tdk dipakai"/>
      <sheetName val="name"/>
      <sheetName val="PEMBESIAN BALOK tukang (2)"/>
      <sheetName val="AnalisaSIPIL RIIL"/>
      <sheetName val="Konfirm"/>
      <sheetName val="Analis (2)"/>
      <sheetName val="Pt"/>
      <sheetName val="subkon"/>
      <sheetName val="DATA"/>
      <sheetName val="AC"/>
      <sheetName val="I-KAMAR"/>
      <sheetName val="Sheet3"/>
      <sheetName val="AHS"/>
      <sheetName val="BOQ "/>
      <sheetName val="DAFTAR HARGA"/>
      <sheetName val="Analisa SK-SNI"/>
      <sheetName val="Upah dan Bahan"/>
      <sheetName val="PT."/>
      <sheetName val="NP"/>
      <sheetName val="5-Peralatan"/>
      <sheetName val="DAF-2"/>
      <sheetName val="110 cs EW"/>
      <sheetName val="div4"/>
      <sheetName val="di2"/>
      <sheetName val="div71"/>
      <sheetName val="div7"/>
      <sheetName val="div3"/>
      <sheetName val="Harga S Dasar"/>
      <sheetName val="analis"/>
      <sheetName val="AnalisaSIPIL RIIL RAP"/>
      <sheetName val="SPESIFIKASI"/>
      <sheetName val="DKH"/>
      <sheetName val="ANL STR"/>
      <sheetName val="TOWN"/>
      <sheetName val="Kuantitas &amp; Harga"/>
      <sheetName val="ANALISA railing"/>
      <sheetName val="Rincian "/>
      <sheetName val="product"/>
      <sheetName val="BAG-2"/>
      <sheetName val="BOOQ"/>
      <sheetName val="REKAP "/>
      <sheetName val="CF Rp_USD"/>
      <sheetName val="bahan"/>
      <sheetName val="HB"/>
      <sheetName val="COST"/>
      <sheetName val="DAF-1"/>
      <sheetName val="ANL"/>
      <sheetName val="Man Power _ Comp"/>
      <sheetName val="Man Power &amp; Comp"/>
      <sheetName val="Uraian Teknis"/>
      <sheetName val="SatDas"/>
      <sheetName val="Analisa Harga Satuan"/>
      <sheetName val="Up &amp; bhn"/>
      <sheetName val="Str"/>
      <sheetName val="Harga"/>
      <sheetName val="BM"/>
      <sheetName val="P-late"/>
      <sheetName val="indirect"/>
      <sheetName val="RAB"/>
      <sheetName val="labor1"/>
      <sheetName val="Labor"/>
      <sheetName val="OwnEq"/>
      <sheetName val="SEX"/>
      <sheetName val="villa"/>
      <sheetName val="SAP"/>
      <sheetName val="alat"/>
      <sheetName val="Peralatan"/>
      <sheetName val="표지"/>
      <sheetName val="설비원가"/>
      <sheetName val="Bill.1.VAC-Supply-A"/>
      <sheetName val="HARSAT"/>
      <sheetName val="Hsatuan-OK"/>
      <sheetName val="PriceList"/>
      <sheetName val="U&amp;B"/>
      <sheetName val="Rate"/>
      <sheetName val="Huruf"/>
      <sheetName val="rab lt 2 bo"/>
      <sheetName val="Sheet1"/>
      <sheetName val="5-Alat"/>
      <sheetName val="4-Price"/>
      <sheetName val="4-Quarry"/>
      <sheetName val="S CURVE"/>
      <sheetName val="UNIT PRICE"/>
      <sheetName val="SAT-BHN"/>
      <sheetName val="BQ Utama "/>
      <sheetName val="EE-PROP"/>
      <sheetName val="Rekap Prelim"/>
      <sheetName val="Harga Dasar"/>
      <sheetName val="BAU"/>
      <sheetName val="DASHBOARD"/>
      <sheetName val="bilangan"/>
      <sheetName val="Urai _Resap pengikat"/>
      <sheetName val="basic"/>
      <sheetName val="SAT UPAH RAPI"/>
      <sheetName val="Unit Rate"/>
      <sheetName val="Analisa HS"/>
      <sheetName val="Harga Satuan"/>
      <sheetName val="Agregat Halus &amp; Kasar"/>
      <sheetName val="DAF-7"/>
      <sheetName val="BEBAN P DITAIL"/>
      <sheetName val="B"/>
      <sheetName val="Perm. Test"/>
      <sheetName val="LO"/>
      <sheetName val="cargo"/>
      <sheetName val="Data Base"/>
      <sheetName val="daya"/>
      <sheetName val="Summary"/>
      <sheetName val="Sheet2"/>
      <sheetName val="SAT-DAS"/>
      <sheetName val="Project Data"/>
      <sheetName val="Basic Price"/>
      <sheetName val="BOM"/>
      <sheetName val="Breakdown"/>
      <sheetName val="Selling Price"/>
      <sheetName val="#REF!#REF! Kusen okk"/>
      <sheetName val="HRG #REF!#REF! &amp; UPAH okk"/>
      <sheetName val="Gedung Kantor"/>
      <sheetName val="CV"/>
      <sheetName val=" REKAP_TOTAL"/>
      <sheetName val="Time"/>
      <sheetName val="MOBIL"/>
      <sheetName val="BUCK_UP_STD_STR_MENARA"/>
      <sheetName val="BUCK UP ATAP GEDUNG (2)"/>
      <sheetName val="BUCK UP_ARS_STD_MENARA"/>
      <sheetName val="BUCK_UP_STR_NON STD MENARA"/>
      <sheetName val="HB "/>
      <sheetName val="S_CURVE"/>
      <sheetName val="BOQ SNJ 1"/>
      <sheetName val="Input Data"/>
      <sheetName val="Morang"/>
      <sheetName val="3-DIV3"/>
      <sheetName val="D7(1)"/>
      <sheetName val="RAPlenk"/>
      <sheetName val="anal Lamp 4a"/>
      <sheetName val="HARGA ALAT"/>
      <sheetName val="BQ-E20-02(Rp)"/>
      <sheetName val="nama PT."/>
      <sheetName val="HARGA SAT"/>
      <sheetName val="tabel tul"/>
      <sheetName val="HSD sewa alat"/>
      <sheetName val="HSD Upah-Bhn"/>
      <sheetName val="Rekap BoQ"/>
      <sheetName val="tul"/>
      <sheetName val="Schedul"/>
      <sheetName val="sch"/>
      <sheetName val="Rekap Pekerjaan"/>
      <sheetName val="Bill No 6 Koord &amp; Attendance"/>
      <sheetName val="Cover Daf_2"/>
      <sheetName val="H_Satuan"/>
      <sheetName val="Ana__PU"/>
      <sheetName val="Anal_Alat_BID"/>
      <sheetName val="D___W_sizes"/>
      <sheetName val="HRG_BHN"/>
      <sheetName val="Daftar_BOQ"/>
      <sheetName val="Fill_this_out_first___"/>
      <sheetName val="Fill_this_out_first___1"/>
      <sheetName val="110_cs_EW"/>
      <sheetName val="Har_Sat"/>
      <sheetName val="Kuantitas___Harga"/>
      <sheetName val="4-Basic_Price"/>
      <sheetName val="Cover_Daf-2"/>
      <sheetName val="HARGA_MATERIAL"/>
      <sheetName val="Bill_No_6_Koord_&amp;_Attendance"/>
      <sheetName val="Cover_Daf_2"/>
      <sheetName val="KWNTY&amp;HARGA"/>
      <sheetName val="BQ"/>
      <sheetName val="Anls"/>
      <sheetName val="FINISHING"/>
      <sheetName val="Bill 2.1 Basement 41 "/>
      <sheetName val="ANHAR"/>
      <sheetName val="Sheet13"/>
      <sheetName val="2.Harga Satuan"/>
      <sheetName val="MC"/>
    </sheetNames>
    <sheetDataSet>
      <sheetData sheetId="0"/>
      <sheetData sheetId="1" refreshError="1"/>
      <sheetData sheetId="2" refreshError="1">
        <row r="1">
          <cell r="A1">
            <v>0</v>
          </cell>
        </row>
        <row r="17">
          <cell r="A17">
            <v>2</v>
          </cell>
          <cell r="B17" t="str">
            <v xml:space="preserve">Rangka Daun Jendela Alumunium </v>
          </cell>
          <cell r="C17" t="str">
            <v>M'</v>
          </cell>
          <cell r="D17">
            <v>124948</v>
          </cell>
          <cell r="E17" t="str">
            <v>tidak pakai</v>
          </cell>
        </row>
        <row r="18">
          <cell r="A18">
            <v>3</v>
          </cell>
          <cell r="B18" t="str">
            <v>Rangka Tiang Sirip Alumunium 1/1 Putih</v>
          </cell>
          <cell r="C18" t="str">
            <v>M'</v>
          </cell>
          <cell r="D18">
            <v>62474</v>
          </cell>
          <cell r="E18" t="str">
            <v>tidak pakai</v>
          </cell>
        </row>
        <row r="19">
          <cell r="A19">
            <v>4</v>
          </cell>
          <cell r="B19" t="str">
            <v>Pasang Shading Sirip Alumunium 0.2/10 +Rangka</v>
          </cell>
          <cell r="C19" t="str">
            <v>M2</v>
          </cell>
          <cell r="D19">
            <v>0</v>
          </cell>
          <cell r="E19" t="str">
            <v>tidak pakai</v>
          </cell>
        </row>
        <row r="20">
          <cell r="A20">
            <v>5</v>
          </cell>
          <cell r="B20" t="str">
            <v>Alumunium Tipis</v>
          </cell>
          <cell r="C20" t="str">
            <v>M2</v>
          </cell>
          <cell r="D20">
            <v>124948</v>
          </cell>
        </row>
        <row r="25">
          <cell r="A25">
            <v>6</v>
          </cell>
          <cell r="B25" t="str">
            <v>Kunci Pintu Handle stainleess (dorma)</v>
          </cell>
          <cell r="C25" t="str">
            <v>Set</v>
          </cell>
          <cell r="D25">
            <v>650000</v>
          </cell>
          <cell r="E25" t="str">
            <v>tidak pakai</v>
          </cell>
        </row>
        <row r="26">
          <cell r="A26">
            <v>7</v>
          </cell>
          <cell r="B26" t="str">
            <v>Kunci tanam Antik</v>
          </cell>
          <cell r="C26" t="str">
            <v>Set</v>
          </cell>
          <cell r="D26">
            <v>265000</v>
          </cell>
          <cell r="E26" t="str">
            <v>tidak pakai</v>
          </cell>
        </row>
        <row r="28">
          <cell r="A28">
            <v>9</v>
          </cell>
          <cell r="B28" t="str">
            <v>Kunci Silinder</v>
          </cell>
          <cell r="C28" t="str">
            <v>Set</v>
          </cell>
          <cell r="D28">
            <v>217900</v>
          </cell>
          <cell r="E28" t="str">
            <v>tidak pakai</v>
          </cell>
        </row>
        <row r="29">
          <cell r="A29">
            <v>10</v>
          </cell>
          <cell r="B29" t="str">
            <v>Kunci Selot</v>
          </cell>
          <cell r="C29" t="str">
            <v>Set</v>
          </cell>
          <cell r="D29">
            <v>48300</v>
          </cell>
          <cell r="E29" t="str">
            <v>tidak pakai</v>
          </cell>
        </row>
        <row r="30">
          <cell r="A30">
            <v>11</v>
          </cell>
          <cell r="B30" t="str">
            <v>Engsel jendela</v>
          </cell>
          <cell r="C30" t="str">
            <v>Bh</v>
          </cell>
          <cell r="D30">
            <v>16600</v>
          </cell>
          <cell r="E30" t="str">
            <v>tidak pakai</v>
          </cell>
        </row>
        <row r="33">
          <cell r="A33">
            <v>14</v>
          </cell>
          <cell r="B33" t="str">
            <v>Kait/hak angin</v>
          </cell>
          <cell r="C33" t="str">
            <v>Set</v>
          </cell>
          <cell r="D33">
            <v>27000</v>
          </cell>
          <cell r="E33" t="str">
            <v>tidak pakai</v>
          </cell>
        </row>
        <row r="34">
          <cell r="A34">
            <v>15</v>
          </cell>
          <cell r="B34" t="str">
            <v>Grendel pintu kuningan</v>
          </cell>
          <cell r="C34" t="str">
            <v>Bh</v>
          </cell>
          <cell r="D34">
            <v>125000</v>
          </cell>
          <cell r="E34" t="str">
            <v>tidak pakai</v>
          </cell>
        </row>
        <row r="35">
          <cell r="A35">
            <v>16</v>
          </cell>
          <cell r="B35" t="str">
            <v xml:space="preserve">Grendel jendela </v>
          </cell>
          <cell r="C35" t="str">
            <v>Bh</v>
          </cell>
          <cell r="D35">
            <v>8100</v>
          </cell>
          <cell r="E35" t="str">
            <v>tidak pakai</v>
          </cell>
        </row>
        <row r="36">
          <cell r="A36">
            <v>17</v>
          </cell>
          <cell r="B36" t="str">
            <v>Grendel pintu</v>
          </cell>
          <cell r="C36" t="str">
            <v>Bh</v>
          </cell>
          <cell r="D36">
            <v>14200</v>
          </cell>
          <cell r="E36" t="str">
            <v>tidak pakai</v>
          </cell>
        </row>
        <row r="37">
          <cell r="A37">
            <v>18</v>
          </cell>
          <cell r="B37" t="str">
            <v>Stripting Knip</v>
          </cell>
          <cell r="C37" t="str">
            <v>Set</v>
          </cell>
          <cell r="D37">
            <v>13700</v>
          </cell>
          <cell r="E37" t="str">
            <v>tidak pakai</v>
          </cell>
        </row>
        <row r="38">
          <cell r="A38">
            <v>19</v>
          </cell>
          <cell r="B38" t="str">
            <v>Door Closer</v>
          </cell>
          <cell r="C38" t="str">
            <v>Set</v>
          </cell>
          <cell r="D38">
            <v>260800</v>
          </cell>
          <cell r="E38" t="str">
            <v>tidak pakai</v>
          </cell>
        </row>
        <row r="39">
          <cell r="A39">
            <v>20</v>
          </cell>
          <cell r="B39" t="str">
            <v>Door Holder</v>
          </cell>
          <cell r="C39" t="str">
            <v>Set</v>
          </cell>
          <cell r="D39">
            <v>500000</v>
          </cell>
          <cell r="E39" t="str">
            <v>tidak pakai</v>
          </cell>
        </row>
        <row r="40">
          <cell r="A40">
            <v>21</v>
          </cell>
          <cell r="B40" t="str">
            <v>Door Stop</v>
          </cell>
          <cell r="C40" t="str">
            <v>Set</v>
          </cell>
          <cell r="D40">
            <v>32100</v>
          </cell>
          <cell r="E40" t="str">
            <v>tidak pakai</v>
          </cell>
        </row>
        <row r="41">
          <cell r="A41">
            <v>22</v>
          </cell>
          <cell r="B41" t="str">
            <v>Kaca bening 3 mm</v>
          </cell>
          <cell r="C41" t="str">
            <v>M2</v>
          </cell>
          <cell r="D41">
            <v>57900</v>
          </cell>
          <cell r="E41" t="str">
            <v>tidak pakai</v>
          </cell>
        </row>
        <row r="42">
          <cell r="A42">
            <v>23</v>
          </cell>
          <cell r="B42" t="str">
            <v>Kaca bening 5 mm</v>
          </cell>
          <cell r="C42" t="str">
            <v>M2</v>
          </cell>
          <cell r="D42">
            <v>66700</v>
          </cell>
          <cell r="E42" t="str">
            <v>tidak pakai</v>
          </cell>
        </row>
        <row r="44">
          <cell r="A44">
            <v>25</v>
          </cell>
          <cell r="B44" t="str">
            <v>Kaca Bening 12 mm</v>
          </cell>
          <cell r="C44" t="str">
            <v>M2</v>
          </cell>
          <cell r="D44">
            <v>403787.64062499994</v>
          </cell>
          <cell r="E44" t="str">
            <v>tidak pakai</v>
          </cell>
        </row>
        <row r="47">
          <cell r="A47">
            <v>28</v>
          </cell>
          <cell r="B47" t="str">
            <v>Besi hollow 2.5/5</v>
          </cell>
          <cell r="C47" t="str">
            <v>Kg</v>
          </cell>
          <cell r="D47">
            <v>74462.500000000058</v>
          </cell>
          <cell r="E47">
            <v>0.82</v>
          </cell>
          <cell r="F47" t="str">
            <v>Koefieann</v>
          </cell>
        </row>
        <row r="48">
          <cell r="A48">
            <v>29</v>
          </cell>
          <cell r="B48" t="str">
            <v>Besi hollow 5/5</v>
          </cell>
          <cell r="C48" t="str">
            <v>Kg</v>
          </cell>
          <cell r="D48">
            <v>74462.500000000058</v>
          </cell>
          <cell r="E48">
            <v>0</v>
          </cell>
          <cell r="F48" t="str">
            <v>Koefieann</v>
          </cell>
        </row>
        <row r="49">
          <cell r="A49">
            <v>30</v>
          </cell>
          <cell r="B49" t="str">
            <v>Besi hollow 2/2</v>
          </cell>
          <cell r="C49" t="str">
            <v>Kg</v>
          </cell>
          <cell r="D49">
            <v>74462.500000000058</v>
          </cell>
          <cell r="E49">
            <v>0.82</v>
          </cell>
          <cell r="F49" t="str">
            <v>Koefieann</v>
          </cell>
        </row>
        <row r="50">
          <cell r="A50">
            <v>31</v>
          </cell>
          <cell r="B50" t="str">
            <v>Besi hollow 2/4</v>
          </cell>
          <cell r="C50" t="str">
            <v>Kg</v>
          </cell>
          <cell r="D50">
            <v>74462.500000000058</v>
          </cell>
          <cell r="E50">
            <v>0.82</v>
          </cell>
          <cell r="F50" t="str">
            <v>Koefieann</v>
          </cell>
        </row>
        <row r="52">
          <cell r="A52">
            <v>33</v>
          </cell>
          <cell r="B52" t="str">
            <v>Glass Block</v>
          </cell>
          <cell r="C52" t="str">
            <v>Bh</v>
          </cell>
          <cell r="D52">
            <v>45000</v>
          </cell>
          <cell r="E52" t="str">
            <v>tidak pakai</v>
          </cell>
        </row>
        <row r="53">
          <cell r="A53">
            <v>34</v>
          </cell>
          <cell r="B53" t="str">
            <v>Kaca Es</v>
          </cell>
          <cell r="C53" t="str">
            <v>M2</v>
          </cell>
          <cell r="D53">
            <v>66700</v>
          </cell>
          <cell r="E53" t="str">
            <v>tidak pakai</v>
          </cell>
        </row>
        <row r="54">
          <cell r="A54">
            <v>35</v>
          </cell>
          <cell r="B54" t="str">
            <v>Krepyak Kaca Nako + Kerangka</v>
          </cell>
          <cell r="C54" t="str">
            <v>M2</v>
          </cell>
          <cell r="D54">
            <v>81300</v>
          </cell>
          <cell r="E54" t="str">
            <v>tidak pakai</v>
          </cell>
        </row>
        <row r="55">
          <cell r="A55">
            <v>36</v>
          </cell>
          <cell r="B55" t="str">
            <v>Sticker Efek Kaca Es</v>
          </cell>
          <cell r="C55" t="str">
            <v>M2</v>
          </cell>
          <cell r="D55">
            <v>150000</v>
          </cell>
          <cell r="E55" t="str">
            <v>tidak pakai</v>
          </cell>
        </row>
        <row r="56">
          <cell r="A56">
            <v>37</v>
          </cell>
          <cell r="B56" t="str">
            <v>Rel Pintu Dorong</v>
          </cell>
          <cell r="C56" t="str">
            <v>M'</v>
          </cell>
          <cell r="D56">
            <v>275000</v>
          </cell>
          <cell r="E56" t="str">
            <v>tidak pakai</v>
          </cell>
        </row>
        <row r="57">
          <cell r="A57">
            <v>38</v>
          </cell>
          <cell r="B57" t="str">
            <v>Rolling Door</v>
          </cell>
          <cell r="C57" t="str">
            <v>M2</v>
          </cell>
          <cell r="D57">
            <v>358100</v>
          </cell>
          <cell r="E57" t="str">
            <v>tidak pakai</v>
          </cell>
        </row>
        <row r="58">
          <cell r="A58">
            <v>39</v>
          </cell>
          <cell r="B58" t="str">
            <v>Roster</v>
          </cell>
          <cell r="C58" t="str">
            <v>M2</v>
          </cell>
          <cell r="D58">
            <v>133850</v>
          </cell>
          <cell r="E58" t="str">
            <v>tidak pakai</v>
          </cell>
        </row>
        <row r="59">
          <cell r="A59">
            <v>40</v>
          </cell>
          <cell r="B59" t="str">
            <v>Gipsum Board</v>
          </cell>
          <cell r="C59" t="str">
            <v>M2</v>
          </cell>
          <cell r="D59">
            <v>29000</v>
          </cell>
          <cell r="E59" t="str">
            <v>tidak pakai</v>
          </cell>
        </row>
        <row r="60">
          <cell r="A60">
            <v>41</v>
          </cell>
          <cell r="B60" t="str">
            <v>List Gipsum</v>
          </cell>
          <cell r="C60" t="str">
            <v>M'</v>
          </cell>
          <cell r="D60">
            <v>17300</v>
          </cell>
          <cell r="E60" t="str">
            <v>tidak pakai</v>
          </cell>
        </row>
        <row r="65">
          <cell r="A65">
            <v>46</v>
          </cell>
          <cell r="B65" t="str">
            <v>Cat Dinding</v>
          </cell>
          <cell r="C65" t="str">
            <v>M2</v>
          </cell>
          <cell r="D65">
            <v>9900</v>
          </cell>
          <cell r="E65" t="str">
            <v>tidak pakai</v>
          </cell>
        </row>
        <row r="66">
          <cell r="A66">
            <v>47</v>
          </cell>
          <cell r="B66" t="str">
            <v>Plesteran Camprot</v>
          </cell>
          <cell r="C66" t="str">
            <v>M2</v>
          </cell>
          <cell r="D66">
            <v>14600</v>
          </cell>
          <cell r="E66" t="str">
            <v>tidak pakai</v>
          </cell>
        </row>
        <row r="67">
          <cell r="A67">
            <v>48</v>
          </cell>
          <cell r="B67" t="str">
            <v>Rangka Metal Furring</v>
          </cell>
          <cell r="C67" t="str">
            <v>M'</v>
          </cell>
          <cell r="D67">
            <v>90000</v>
          </cell>
          <cell r="E67" t="str">
            <v>tidak pakai</v>
          </cell>
        </row>
        <row r="143">
          <cell r="A143" t="str">
            <v>No.</v>
          </cell>
          <cell r="B143" t="str">
            <v>Item Pekerjaan</v>
          </cell>
          <cell r="C143" t="str">
            <v>Satuan</v>
          </cell>
          <cell r="D143" t="str">
            <v>Harga Satuan</v>
          </cell>
          <cell r="E143" t="str">
            <v>P1</v>
          </cell>
          <cell r="G143" t="str">
            <v>P1'</v>
          </cell>
          <cell r="I143" t="str">
            <v>P2</v>
          </cell>
          <cell r="K143" t="str">
            <v>P3</v>
          </cell>
          <cell r="M143" t="str">
            <v>P4</v>
          </cell>
          <cell r="O143" t="str">
            <v>P5</v>
          </cell>
          <cell r="Q143" t="str">
            <v>P6</v>
          </cell>
          <cell r="S143" t="str">
            <v>J1</v>
          </cell>
          <cell r="U143" t="str">
            <v>J1'</v>
          </cell>
          <cell r="W143" t="str">
            <v>J2</v>
          </cell>
          <cell r="Y143" t="str">
            <v>J3</v>
          </cell>
          <cell r="AA143" t="str">
            <v>J4</v>
          </cell>
          <cell r="AC143" t="str">
            <v>J5</v>
          </cell>
          <cell r="AE143" t="str">
            <v>J6</v>
          </cell>
          <cell r="AG143" t="str">
            <v>J7</v>
          </cell>
          <cell r="AI143" t="str">
            <v>J8</v>
          </cell>
          <cell r="AK143" t="str">
            <v>J9</v>
          </cell>
          <cell r="AM143" t="str">
            <v>J10</v>
          </cell>
          <cell r="AO143" t="str">
            <v>J11</v>
          </cell>
          <cell r="AQ143" t="str">
            <v>BV1</v>
          </cell>
          <cell r="AS143" t="str">
            <v>BV 2</v>
          </cell>
          <cell r="AU143" t="str">
            <v>BV 3</v>
          </cell>
          <cell r="AW143" t="str">
            <v>Shading Lt. 1 = 3 Buah</v>
          </cell>
          <cell r="AY143" t="str">
            <v>Shading Lt. 1 = 2 Buah</v>
          </cell>
          <cell r="BA143" t="str">
            <v>Shading Lt. 1 = 2 Buah</v>
          </cell>
          <cell r="BC143" t="str">
            <v>Pintu Pagar TK</v>
          </cell>
          <cell r="BE143" t="str">
            <v>R1</v>
          </cell>
          <cell r="BG143" t="str">
            <v>R2</v>
          </cell>
          <cell r="BI143" t="str">
            <v>R3</v>
          </cell>
          <cell r="BK143" t="str">
            <v>R3'</v>
          </cell>
          <cell r="BM143" t="str">
            <v>R4</v>
          </cell>
          <cell r="BO143" t="str">
            <v>R5</v>
          </cell>
        </row>
        <row r="144">
          <cell r="D144" t="str">
            <v>Rp.</v>
          </cell>
          <cell r="E144" t="str">
            <v>Vol.</v>
          </cell>
          <cell r="F144" t="str">
            <v>Jumlah Harga</v>
          </cell>
          <cell r="G144" t="str">
            <v>Vol.</v>
          </cell>
          <cell r="H144" t="str">
            <v>Jumlah Harga</v>
          </cell>
          <cell r="I144" t="str">
            <v>Vol.</v>
          </cell>
          <cell r="J144" t="str">
            <v>Jumlah Harga</v>
          </cell>
          <cell r="K144" t="str">
            <v>Vol.</v>
          </cell>
          <cell r="L144" t="str">
            <v>Jumlah Harga</v>
          </cell>
          <cell r="M144" t="str">
            <v>Vol.</v>
          </cell>
          <cell r="N144" t="str">
            <v>Jumlah Harga</v>
          </cell>
          <cell r="O144" t="str">
            <v>Vol.</v>
          </cell>
          <cell r="P144" t="str">
            <v>Jumlah Harga</v>
          </cell>
          <cell r="Q144" t="str">
            <v>Vol.</v>
          </cell>
          <cell r="R144" t="str">
            <v>Jumlah Harga</v>
          </cell>
          <cell r="S144" t="str">
            <v>Vol.</v>
          </cell>
          <cell r="T144" t="str">
            <v>Jumlah Harga</v>
          </cell>
          <cell r="U144" t="str">
            <v>Vol.</v>
          </cell>
          <cell r="V144" t="str">
            <v>Jumlah Harga</v>
          </cell>
          <cell r="W144" t="str">
            <v>Vol.</v>
          </cell>
          <cell r="X144" t="str">
            <v>Jumlah Harga</v>
          </cell>
          <cell r="Y144" t="str">
            <v>Vol.</v>
          </cell>
          <cell r="Z144" t="str">
            <v>Jumlah Harga</v>
          </cell>
          <cell r="AA144" t="str">
            <v>Vol.</v>
          </cell>
          <cell r="AB144" t="str">
            <v>Jumlah Harga</v>
          </cell>
          <cell r="AC144" t="str">
            <v>Vol.</v>
          </cell>
          <cell r="AD144" t="str">
            <v>Jumlah Harga</v>
          </cell>
          <cell r="AE144" t="str">
            <v>Vol.</v>
          </cell>
          <cell r="AF144" t="str">
            <v>Jumlah Harga</v>
          </cell>
          <cell r="AG144" t="str">
            <v>Vol.</v>
          </cell>
          <cell r="AH144" t="str">
            <v>Jumlah Harga</v>
          </cell>
          <cell r="AI144" t="str">
            <v>Vol.</v>
          </cell>
          <cell r="AJ144" t="str">
            <v>Jumlah Harga</v>
          </cell>
          <cell r="AK144" t="str">
            <v>Vol.</v>
          </cell>
          <cell r="AL144" t="str">
            <v>Jumlah Harga</v>
          </cell>
          <cell r="AM144" t="str">
            <v>Vol.</v>
          </cell>
          <cell r="AN144" t="str">
            <v>Jumlah Harga</v>
          </cell>
          <cell r="AO144" t="str">
            <v>Vol.</v>
          </cell>
          <cell r="AP144" t="str">
            <v>Jumlah Harga</v>
          </cell>
          <cell r="AQ144" t="str">
            <v>Vol.</v>
          </cell>
          <cell r="AR144" t="str">
            <v>Jumlah Harga</v>
          </cell>
          <cell r="AS144" t="str">
            <v>Vol.</v>
          </cell>
          <cell r="AT144" t="str">
            <v>Jumlah Harga</v>
          </cell>
          <cell r="AU144" t="str">
            <v>Vol.</v>
          </cell>
          <cell r="AV144" t="str">
            <v>Jumlah Harga</v>
          </cell>
          <cell r="AW144" t="str">
            <v>Vol.</v>
          </cell>
          <cell r="AX144" t="str">
            <v>Jumlah Harga</v>
          </cell>
          <cell r="AY144" t="str">
            <v>Vol.</v>
          </cell>
          <cell r="AZ144" t="str">
            <v>Jumlah Harga</v>
          </cell>
          <cell r="BA144" t="str">
            <v>Vol.</v>
          </cell>
          <cell r="BB144" t="str">
            <v>Jumlah Harga</v>
          </cell>
          <cell r="BC144" t="str">
            <v>Vol.</v>
          </cell>
          <cell r="BD144" t="str">
            <v>Jumlah Harga</v>
          </cell>
          <cell r="BE144" t="str">
            <v>Vol.</v>
          </cell>
          <cell r="BF144" t="str">
            <v>Jumlah Harga</v>
          </cell>
          <cell r="BG144" t="str">
            <v>Vol.</v>
          </cell>
          <cell r="BH144" t="str">
            <v>Jumlah Harga</v>
          </cell>
          <cell r="BI144" t="str">
            <v>Vol.</v>
          </cell>
          <cell r="BJ144" t="str">
            <v>Jumlah Harga</v>
          </cell>
          <cell r="BK144" t="str">
            <v>Vol.</v>
          </cell>
          <cell r="BL144" t="str">
            <v>Jumlah Harga</v>
          </cell>
          <cell r="BM144" t="str">
            <v>Vol.</v>
          </cell>
          <cell r="BN144" t="str">
            <v>Jumlah Harga</v>
          </cell>
          <cell r="BO144" t="str">
            <v>Vol.</v>
          </cell>
          <cell r="BP144" t="str">
            <v>Jumlah Harga</v>
          </cell>
        </row>
        <row r="145">
          <cell r="A145" t="str">
            <v>IV.</v>
          </cell>
          <cell r="B145" t="str">
            <v>UNIT BANGUNAN TK</v>
          </cell>
          <cell r="Q145">
            <v>0</v>
          </cell>
        </row>
        <row r="146">
          <cell r="Q146">
            <v>0</v>
          </cell>
        </row>
        <row r="147">
          <cell r="A147">
            <v>1</v>
          </cell>
          <cell r="B147" t="str">
            <v>Kayu 6/12</v>
          </cell>
          <cell r="C147" t="str">
            <v>M3</v>
          </cell>
          <cell r="D147">
            <v>0</v>
          </cell>
          <cell r="E147">
            <v>0</v>
          </cell>
          <cell r="F147">
            <v>0</v>
          </cell>
          <cell r="G147">
            <v>2.0400000000000001E-2</v>
          </cell>
          <cell r="H147">
            <v>0</v>
          </cell>
          <cell r="I147">
            <v>2.2800000000000001E-2</v>
          </cell>
          <cell r="J147">
            <v>0</v>
          </cell>
          <cell r="K147">
            <v>0</v>
          </cell>
          <cell r="L147">
            <v>0</v>
          </cell>
          <cell r="M147">
            <v>3.6144000000000003E-2</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X147">
            <v>0</v>
          </cell>
          <cell r="AZ147">
            <v>0</v>
          </cell>
          <cell r="BB147">
            <v>0</v>
          </cell>
          <cell r="BD147">
            <v>0</v>
          </cell>
          <cell r="BF147">
            <v>0</v>
          </cell>
          <cell r="BH147">
            <v>0</v>
          </cell>
          <cell r="BJ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row>
        <row r="148">
          <cell r="A148">
            <v>2</v>
          </cell>
          <cell r="B148" t="str">
            <v>Kayu Slimar 3/10</v>
          </cell>
          <cell r="C148" t="str">
            <v>M3</v>
          </cell>
          <cell r="D148">
            <v>0</v>
          </cell>
          <cell r="E148">
            <v>0</v>
          </cell>
          <cell r="F148">
            <v>0</v>
          </cell>
          <cell r="G148">
            <v>4.7999999999999996E-3</v>
          </cell>
          <cell r="H148">
            <v>0</v>
          </cell>
          <cell r="I148">
            <v>4.0000000000000001E-3</v>
          </cell>
          <cell r="J148">
            <v>0</v>
          </cell>
          <cell r="K148">
            <v>0</v>
          </cell>
          <cell r="L148">
            <v>0</v>
          </cell>
          <cell r="M148">
            <v>1.4159999999999999E-2</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X148">
            <v>0</v>
          </cell>
          <cell r="AZ148">
            <v>0</v>
          </cell>
          <cell r="BB148">
            <v>0</v>
          </cell>
          <cell r="BD148">
            <v>0</v>
          </cell>
          <cell r="BF148">
            <v>0</v>
          </cell>
          <cell r="BH148">
            <v>0</v>
          </cell>
          <cell r="BJ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row>
        <row r="149">
          <cell r="A149">
            <v>3</v>
          </cell>
          <cell r="B149" t="str">
            <v>Kayu Slimar 3/15</v>
          </cell>
          <cell r="C149" t="str">
            <v>M3</v>
          </cell>
          <cell r="D149">
            <v>0</v>
          </cell>
          <cell r="E149">
            <v>0</v>
          </cell>
          <cell r="F149">
            <v>0</v>
          </cell>
          <cell r="G149">
            <v>3.2</v>
          </cell>
          <cell r="H149">
            <v>0</v>
          </cell>
          <cell r="I149">
            <v>6</v>
          </cell>
          <cell r="J149">
            <v>0</v>
          </cell>
          <cell r="K149">
            <v>0</v>
          </cell>
          <cell r="L149">
            <v>0</v>
          </cell>
          <cell r="M149">
            <v>2.6999999999999997E-3</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X149">
            <v>0</v>
          </cell>
          <cell r="AZ149">
            <v>0</v>
          </cell>
          <cell r="BB149">
            <v>0</v>
          </cell>
          <cell r="BD149">
            <v>0</v>
          </cell>
          <cell r="BF149">
            <v>0</v>
          </cell>
          <cell r="BH149">
            <v>0</v>
          </cell>
          <cell r="BJ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row>
        <row r="150">
          <cell r="A150">
            <v>4</v>
          </cell>
          <cell r="B150" t="str">
            <v>Kayu Slimar 3/20</v>
          </cell>
          <cell r="C150" t="str">
            <v>M3</v>
          </cell>
          <cell r="D150">
            <v>0</v>
          </cell>
          <cell r="E150">
            <v>0</v>
          </cell>
          <cell r="F150">
            <v>0</v>
          </cell>
          <cell r="G150">
            <v>4.68</v>
          </cell>
          <cell r="H150">
            <v>0</v>
          </cell>
          <cell r="I150">
            <v>4.7</v>
          </cell>
          <cell r="J150">
            <v>0</v>
          </cell>
          <cell r="K150">
            <v>0</v>
          </cell>
          <cell r="L150">
            <v>0</v>
          </cell>
          <cell r="M150">
            <v>3.5999999999999999E-3</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1.6751999999999996</v>
          </cell>
          <cell r="AL150">
            <v>0</v>
          </cell>
          <cell r="AM150">
            <v>1.1447999999999998</v>
          </cell>
          <cell r="AN150">
            <v>0</v>
          </cell>
          <cell r="AO150">
            <v>0</v>
          </cell>
          <cell r="AP150">
            <v>0</v>
          </cell>
          <cell r="AQ150">
            <v>0</v>
          </cell>
          <cell r="AR150">
            <v>0</v>
          </cell>
          <cell r="AS150">
            <v>0</v>
          </cell>
          <cell r="AT150">
            <v>0</v>
          </cell>
          <cell r="AU150">
            <v>0</v>
          </cell>
          <cell r="AV150">
            <v>0</v>
          </cell>
          <cell r="AX150">
            <v>0</v>
          </cell>
          <cell r="AZ150">
            <v>0</v>
          </cell>
          <cell r="BB150">
            <v>0</v>
          </cell>
          <cell r="BD150">
            <v>0</v>
          </cell>
          <cell r="BF150">
            <v>0</v>
          </cell>
          <cell r="BH150">
            <v>0</v>
          </cell>
          <cell r="BJ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row>
        <row r="151">
          <cell r="A151">
            <v>5</v>
          </cell>
          <cell r="B151" t="str">
            <v>Kayu 2/10</v>
          </cell>
          <cell r="C151" t="str">
            <v>M3</v>
          </cell>
          <cell r="D151">
            <v>0</v>
          </cell>
          <cell r="E151">
            <v>0</v>
          </cell>
          <cell r="F151">
            <v>0</v>
          </cell>
          <cell r="G151">
            <v>5.3</v>
          </cell>
          <cell r="H151">
            <v>0</v>
          </cell>
          <cell r="I151">
            <v>0</v>
          </cell>
          <cell r="J151">
            <v>0</v>
          </cell>
          <cell r="K151">
            <v>0</v>
          </cell>
          <cell r="L151">
            <v>0</v>
          </cell>
          <cell r="M151">
            <v>5.4000000000000012E-3</v>
          </cell>
          <cell r="N151">
            <v>0</v>
          </cell>
          <cell r="O151">
            <v>0</v>
          </cell>
          <cell r="P151">
            <v>0</v>
          </cell>
          <cell r="Q151">
            <v>0</v>
          </cell>
          <cell r="R151">
            <v>0</v>
          </cell>
          <cell r="S151">
            <v>29.499999999999993</v>
          </cell>
          <cell r="T151">
            <v>0</v>
          </cell>
          <cell r="U151">
            <v>29.499999999999993</v>
          </cell>
          <cell r="V151">
            <v>0</v>
          </cell>
          <cell r="W151">
            <v>3.2</v>
          </cell>
          <cell r="X151">
            <v>0</v>
          </cell>
          <cell r="Y151">
            <v>3.2</v>
          </cell>
          <cell r="Z151">
            <v>0</v>
          </cell>
          <cell r="AA151">
            <v>16</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12</v>
          </cell>
          <cell r="AP151">
            <v>0</v>
          </cell>
          <cell r="AQ151">
            <v>2</v>
          </cell>
          <cell r="AR151">
            <v>0</v>
          </cell>
          <cell r="AS151">
            <v>2</v>
          </cell>
          <cell r="AT151">
            <v>0</v>
          </cell>
          <cell r="AU151">
            <v>2</v>
          </cell>
          <cell r="AV151">
            <v>0</v>
          </cell>
          <cell r="AW151">
            <v>14</v>
          </cell>
          <cell r="AX151">
            <v>0</v>
          </cell>
          <cell r="AY151">
            <v>14.04</v>
          </cell>
          <cell r="AZ151">
            <v>0</v>
          </cell>
          <cell r="BA151">
            <v>26.4</v>
          </cell>
          <cell r="BB151">
            <v>0</v>
          </cell>
          <cell r="BD151">
            <v>0</v>
          </cell>
          <cell r="BF151">
            <v>0</v>
          </cell>
          <cell r="BH151">
            <v>0</v>
          </cell>
          <cell r="BJ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row>
        <row r="152">
          <cell r="A152">
            <v>6</v>
          </cell>
          <cell r="B152" t="str">
            <v>Panil t = 3 cm</v>
          </cell>
          <cell r="C152" t="str">
            <v>M2</v>
          </cell>
          <cell r="D152">
            <v>0</v>
          </cell>
          <cell r="E152">
            <v>0</v>
          </cell>
          <cell r="F152">
            <v>0</v>
          </cell>
          <cell r="H152">
            <v>0</v>
          </cell>
          <cell r="I152">
            <v>0</v>
          </cell>
          <cell r="J152">
            <v>0</v>
          </cell>
          <cell r="K152">
            <v>0</v>
          </cell>
          <cell r="L152">
            <v>0</v>
          </cell>
          <cell r="M152">
            <v>0.49500000000000005</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12.700000000000001</v>
          </cell>
          <cell r="AD152">
            <v>0</v>
          </cell>
          <cell r="AE152">
            <v>6.66</v>
          </cell>
          <cell r="AF152">
            <v>0</v>
          </cell>
          <cell r="AG152">
            <v>5</v>
          </cell>
          <cell r="AH152">
            <v>0</v>
          </cell>
          <cell r="AI152">
            <v>5.8199999999999994</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X152">
            <v>0</v>
          </cell>
          <cell r="AZ152">
            <v>0</v>
          </cell>
          <cell r="BB152">
            <v>0</v>
          </cell>
          <cell r="BD152">
            <v>0</v>
          </cell>
          <cell r="BF152">
            <v>0</v>
          </cell>
          <cell r="BH152">
            <v>0</v>
          </cell>
          <cell r="BJ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row>
        <row r="153">
          <cell r="A153">
            <v>1</v>
          </cell>
          <cell r="B153" t="str">
            <v>Kusen Aluminium 5/10</v>
          </cell>
          <cell r="C153" t="str">
            <v>M'</v>
          </cell>
          <cell r="D153">
            <v>124948</v>
          </cell>
          <cell r="E153">
            <v>6.1999999999999993</v>
          </cell>
          <cell r="F153">
            <v>774677.59999999986</v>
          </cell>
          <cell r="H153">
            <v>0</v>
          </cell>
          <cell r="I153">
            <v>0</v>
          </cell>
          <cell r="J153">
            <v>0</v>
          </cell>
          <cell r="K153">
            <v>0</v>
          </cell>
          <cell r="L153">
            <v>0</v>
          </cell>
          <cell r="M153">
            <v>5</v>
          </cell>
          <cell r="N153">
            <v>624740</v>
          </cell>
          <cell r="O153">
            <v>27.3</v>
          </cell>
          <cell r="P153">
            <v>3411080.4</v>
          </cell>
          <cell r="Q153">
            <v>16.45</v>
          </cell>
          <cell r="R153">
            <v>2055394.5999999999</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X153">
            <v>0</v>
          </cell>
          <cell r="AZ153">
            <v>0</v>
          </cell>
          <cell r="BB153">
            <v>0</v>
          </cell>
          <cell r="BD153">
            <v>0</v>
          </cell>
          <cell r="BF153">
            <v>0</v>
          </cell>
          <cell r="BH153">
            <v>0</v>
          </cell>
          <cell r="BJ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0</v>
          </cell>
          <cell r="CP153">
            <v>0</v>
          </cell>
        </row>
        <row r="154">
          <cell r="A154">
            <v>2</v>
          </cell>
          <cell r="B154" t="str">
            <v xml:space="preserve">Rangka Daun Jendela Alumunium </v>
          </cell>
          <cell r="C154" t="str">
            <v>M'</v>
          </cell>
          <cell r="D154">
            <v>124948</v>
          </cell>
          <cell r="E154">
            <v>0</v>
          </cell>
          <cell r="F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X154">
            <v>0</v>
          </cell>
          <cell r="AZ154">
            <v>0</v>
          </cell>
          <cell r="BB154">
            <v>0</v>
          </cell>
          <cell r="BD154">
            <v>0</v>
          </cell>
          <cell r="BF154">
            <v>0</v>
          </cell>
          <cell r="BH154">
            <v>0</v>
          </cell>
          <cell r="BJ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row>
        <row r="155">
          <cell r="A155">
            <v>3</v>
          </cell>
          <cell r="B155" t="str">
            <v>Rangka Tiang Sirip Alumunium 1/1 Putih</v>
          </cell>
          <cell r="C155" t="str">
            <v>M'</v>
          </cell>
          <cell r="D155">
            <v>62474</v>
          </cell>
          <cell r="E155">
            <v>0</v>
          </cell>
          <cell r="F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4.9000000000000004</v>
          </cell>
          <cell r="AB155">
            <v>306122.60000000003</v>
          </cell>
          <cell r="AC155">
            <v>0</v>
          </cell>
          <cell r="AD155">
            <v>0</v>
          </cell>
          <cell r="AE155">
            <v>0</v>
          </cell>
          <cell r="AF155">
            <v>0</v>
          </cell>
          <cell r="AG155">
            <v>0</v>
          </cell>
          <cell r="AH155">
            <v>0</v>
          </cell>
          <cell r="AI155">
            <v>0</v>
          </cell>
          <cell r="AJ155">
            <v>0</v>
          </cell>
          <cell r="AK155">
            <v>0</v>
          </cell>
          <cell r="AL155">
            <v>0</v>
          </cell>
          <cell r="AM155">
            <v>0</v>
          </cell>
          <cell r="AN155">
            <v>0</v>
          </cell>
          <cell r="AO155">
            <v>2.9</v>
          </cell>
          <cell r="AP155">
            <v>181174.6</v>
          </cell>
          <cell r="AQ155">
            <v>0</v>
          </cell>
          <cell r="AR155">
            <v>0</v>
          </cell>
          <cell r="AS155">
            <v>0</v>
          </cell>
          <cell r="AT155">
            <v>0</v>
          </cell>
          <cell r="AU155">
            <v>1.6400000000000001</v>
          </cell>
          <cell r="AV155">
            <v>102457.36</v>
          </cell>
          <cell r="AW155">
            <v>15.75</v>
          </cell>
          <cell r="AX155">
            <v>983965.5</v>
          </cell>
          <cell r="AY155">
            <v>15.599999999999998</v>
          </cell>
          <cell r="AZ155">
            <v>974594.39999999991</v>
          </cell>
          <cell r="BA155">
            <v>31.199999999999996</v>
          </cell>
          <cell r="BB155">
            <v>1949188.7999999998</v>
          </cell>
          <cell r="BD155">
            <v>0</v>
          </cell>
          <cell r="BF155">
            <v>0</v>
          </cell>
          <cell r="BH155">
            <v>0</v>
          </cell>
          <cell r="BJ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row>
        <row r="156">
          <cell r="A156">
            <v>4</v>
          </cell>
          <cell r="B156" t="str">
            <v>Pasang Shading Sirip Alumunium 0.2/10 +Rangka</v>
          </cell>
          <cell r="C156" t="str">
            <v>M2</v>
          </cell>
          <cell r="D156">
            <v>0</v>
          </cell>
          <cell r="E156">
            <v>0</v>
          </cell>
          <cell r="F156">
            <v>0</v>
          </cell>
          <cell r="H156">
            <v>0</v>
          </cell>
          <cell r="I156">
            <v>0</v>
          </cell>
          <cell r="J156">
            <v>0</v>
          </cell>
          <cell r="K156">
            <v>0</v>
          </cell>
          <cell r="L156">
            <v>0</v>
          </cell>
          <cell r="M156">
            <v>0</v>
          </cell>
          <cell r="N156">
            <v>0</v>
          </cell>
          <cell r="O156">
            <v>0</v>
          </cell>
          <cell r="P156">
            <v>0</v>
          </cell>
          <cell r="Q156">
            <v>0</v>
          </cell>
          <cell r="R156">
            <v>0</v>
          </cell>
          <cell r="S156">
            <v>0.38250000000000001</v>
          </cell>
          <cell r="T156">
            <v>0</v>
          </cell>
          <cell r="U156">
            <v>0.38250000000000001</v>
          </cell>
          <cell r="V156">
            <v>0</v>
          </cell>
          <cell r="W156">
            <v>0</v>
          </cell>
          <cell r="X156">
            <v>0</v>
          </cell>
          <cell r="Y156">
            <v>0</v>
          </cell>
          <cell r="Z156">
            <v>0</v>
          </cell>
          <cell r="AA156">
            <v>0.45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0.22500000000000001</v>
          </cell>
          <cell r="AP156">
            <v>0</v>
          </cell>
          <cell r="AQ156">
            <v>0</v>
          </cell>
          <cell r="AR156">
            <v>0</v>
          </cell>
          <cell r="AS156">
            <v>0</v>
          </cell>
          <cell r="AT156">
            <v>0</v>
          </cell>
          <cell r="AU156">
            <v>0.15809999999999999</v>
          </cell>
          <cell r="AV156">
            <v>0</v>
          </cell>
          <cell r="AW156">
            <v>5.1450000000000005</v>
          </cell>
          <cell r="AX156">
            <v>0</v>
          </cell>
          <cell r="AY156">
            <v>5.04</v>
          </cell>
          <cell r="AZ156">
            <v>0</v>
          </cell>
          <cell r="BA156">
            <v>10.08</v>
          </cell>
          <cell r="BB156">
            <v>0</v>
          </cell>
          <cell r="BD156">
            <v>0</v>
          </cell>
          <cell r="BF156">
            <v>0</v>
          </cell>
          <cell r="BH156">
            <v>0</v>
          </cell>
          <cell r="BJ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row>
        <row r="157">
          <cell r="A157">
            <v>5</v>
          </cell>
          <cell r="B157" t="str">
            <v>Daun Pintu Panil Kamper</v>
          </cell>
          <cell r="C157" t="str">
            <v>bh</v>
          </cell>
          <cell r="D157">
            <v>550000</v>
          </cell>
          <cell r="E157">
            <v>0</v>
          </cell>
          <cell r="F157">
            <v>0</v>
          </cell>
          <cell r="G157">
            <v>0.15839999999999999</v>
          </cell>
          <cell r="H157">
            <v>87119.999999999985</v>
          </cell>
          <cell r="I157">
            <v>9.6000000000000002E-2</v>
          </cell>
          <cell r="J157">
            <v>52800</v>
          </cell>
          <cell r="K157">
            <v>0</v>
          </cell>
          <cell r="L157">
            <v>0</v>
          </cell>
          <cell r="M157">
            <v>1.2</v>
          </cell>
          <cell r="N157">
            <v>660000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X157">
            <v>0</v>
          </cell>
          <cell r="AZ157">
            <v>0</v>
          </cell>
          <cell r="BB157">
            <v>0</v>
          </cell>
          <cell r="BD157">
            <v>0</v>
          </cell>
          <cell r="BF157">
            <v>0</v>
          </cell>
          <cell r="BH157">
            <v>0</v>
          </cell>
          <cell r="BJ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row>
        <row r="158">
          <cell r="A158">
            <v>6</v>
          </cell>
          <cell r="B158" t="str">
            <v>Plat besi t = 2 mm</v>
          </cell>
          <cell r="C158" t="str">
            <v>Kg</v>
          </cell>
          <cell r="D158">
            <v>0</v>
          </cell>
          <cell r="E158">
            <v>0</v>
          </cell>
          <cell r="F158">
            <v>0</v>
          </cell>
          <cell r="H158">
            <v>0</v>
          </cell>
          <cell r="I158">
            <v>0</v>
          </cell>
          <cell r="J158">
            <v>0</v>
          </cell>
          <cell r="K158">
            <v>57.085200000000007</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4.0440000000000005</v>
          </cell>
          <cell r="AL158">
            <v>0</v>
          </cell>
          <cell r="AM158">
            <v>2.6789999999999998</v>
          </cell>
          <cell r="AN158">
            <v>0</v>
          </cell>
          <cell r="AO158">
            <v>0</v>
          </cell>
          <cell r="AP158">
            <v>0</v>
          </cell>
          <cell r="AQ158">
            <v>0</v>
          </cell>
          <cell r="AR158">
            <v>0</v>
          </cell>
          <cell r="AS158">
            <v>0</v>
          </cell>
          <cell r="AT158">
            <v>0</v>
          </cell>
          <cell r="AU158">
            <v>0</v>
          </cell>
          <cell r="AV158">
            <v>0</v>
          </cell>
          <cell r="AX158">
            <v>0</v>
          </cell>
          <cell r="AZ158">
            <v>0</v>
          </cell>
          <cell r="BB158">
            <v>0</v>
          </cell>
          <cell r="BD158">
            <v>0</v>
          </cell>
          <cell r="BF158">
            <v>0</v>
          </cell>
          <cell r="BH158">
            <v>0</v>
          </cell>
          <cell r="BJ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row>
        <row r="159">
          <cell r="A159">
            <v>7</v>
          </cell>
          <cell r="B159" t="str">
            <v>C 40.40.2  (pesan khusus)</v>
          </cell>
          <cell r="C159" t="str">
            <v>Kg</v>
          </cell>
          <cell r="D159">
            <v>14122.3</v>
          </cell>
          <cell r="E159">
            <v>0</v>
          </cell>
          <cell r="F159">
            <v>0</v>
          </cell>
          <cell r="H159">
            <v>0</v>
          </cell>
          <cell r="I159">
            <v>0</v>
          </cell>
          <cell r="J159">
            <v>0</v>
          </cell>
          <cell r="K159">
            <v>42.56</v>
          </cell>
          <cell r="L159">
            <v>601045.08799999999</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1.68</v>
          </cell>
          <cell r="AL159">
            <v>23725.463999999996</v>
          </cell>
          <cell r="AM159">
            <v>1.1447999999999998</v>
          </cell>
          <cell r="AN159">
            <v>16167.209039999996</v>
          </cell>
          <cell r="AO159">
            <v>0</v>
          </cell>
          <cell r="AP159">
            <v>0</v>
          </cell>
          <cell r="AQ159">
            <v>0</v>
          </cell>
          <cell r="AR159">
            <v>0</v>
          </cell>
          <cell r="AS159">
            <v>0</v>
          </cell>
          <cell r="AT159">
            <v>0</v>
          </cell>
          <cell r="AU159">
            <v>0</v>
          </cell>
          <cell r="AV159">
            <v>0</v>
          </cell>
          <cell r="AX159">
            <v>0</v>
          </cell>
          <cell r="AZ159">
            <v>0</v>
          </cell>
          <cell r="BB159">
            <v>0</v>
          </cell>
          <cell r="BD159">
            <v>0</v>
          </cell>
          <cell r="BF159">
            <v>0</v>
          </cell>
          <cell r="BH159">
            <v>0</v>
          </cell>
          <cell r="BJ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row>
        <row r="160">
          <cell r="A160">
            <v>8</v>
          </cell>
          <cell r="B160" t="str">
            <v>Handle besi dia 16 mm</v>
          </cell>
          <cell r="C160" t="str">
            <v>Set</v>
          </cell>
          <cell r="D160">
            <v>129652.5</v>
          </cell>
          <cell r="E160">
            <v>0</v>
          </cell>
          <cell r="F160">
            <v>0</v>
          </cell>
          <cell r="H160">
            <v>0</v>
          </cell>
          <cell r="I160">
            <v>0</v>
          </cell>
          <cell r="J160">
            <v>0</v>
          </cell>
          <cell r="K160">
            <v>1</v>
          </cell>
          <cell r="L160">
            <v>129652.5</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15.8</v>
          </cell>
          <cell r="AL160">
            <v>2048509.5</v>
          </cell>
          <cell r="AM160">
            <v>12.166</v>
          </cell>
          <cell r="AN160">
            <v>1577352.3149999999</v>
          </cell>
          <cell r="AO160">
            <v>0</v>
          </cell>
          <cell r="AP160">
            <v>0</v>
          </cell>
          <cell r="AQ160">
            <v>0</v>
          </cell>
          <cell r="AR160">
            <v>0</v>
          </cell>
          <cell r="AS160">
            <v>0</v>
          </cell>
          <cell r="AT160">
            <v>0</v>
          </cell>
          <cell r="AU160">
            <v>0</v>
          </cell>
          <cell r="AV160">
            <v>0</v>
          </cell>
          <cell r="AX160">
            <v>0</v>
          </cell>
          <cell r="AZ160">
            <v>0</v>
          </cell>
          <cell r="BB160">
            <v>0</v>
          </cell>
          <cell r="BD160">
            <v>0</v>
          </cell>
          <cell r="BF160">
            <v>0</v>
          </cell>
          <cell r="BH160">
            <v>0</v>
          </cell>
          <cell r="BJ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row>
        <row r="161">
          <cell r="A161">
            <v>9</v>
          </cell>
          <cell r="B161" t="str">
            <v>Hendle pintu Stainless</v>
          </cell>
          <cell r="C161" t="str">
            <v>Set</v>
          </cell>
          <cell r="D161">
            <v>261652.5</v>
          </cell>
          <cell r="E161">
            <v>2</v>
          </cell>
          <cell r="F161">
            <v>523305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X161">
            <v>0</v>
          </cell>
          <cell r="AZ161">
            <v>0</v>
          </cell>
          <cell r="BB161">
            <v>0</v>
          </cell>
          <cell r="BC161">
            <v>2</v>
          </cell>
          <cell r="BD161">
            <v>523305</v>
          </cell>
          <cell r="BF161">
            <v>0</v>
          </cell>
          <cell r="BH161">
            <v>0</v>
          </cell>
          <cell r="BJ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row>
        <row r="162">
          <cell r="A162">
            <v>10</v>
          </cell>
          <cell r="B162" t="str">
            <v>Kunci Pintu Handle stainleess (dorma)</v>
          </cell>
          <cell r="C162" t="str">
            <v>Set</v>
          </cell>
          <cell r="D162">
            <v>650000</v>
          </cell>
          <cell r="E162">
            <v>0</v>
          </cell>
          <cell r="F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X162">
            <v>0</v>
          </cell>
          <cell r="AZ162">
            <v>0</v>
          </cell>
          <cell r="BB162">
            <v>0</v>
          </cell>
          <cell r="BD162">
            <v>0</v>
          </cell>
          <cell r="BF162">
            <v>0</v>
          </cell>
          <cell r="BH162">
            <v>0</v>
          </cell>
          <cell r="BJ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row>
        <row r="163">
          <cell r="A163">
            <v>11</v>
          </cell>
          <cell r="B163" t="str">
            <v>Kunci tanam Antik</v>
          </cell>
          <cell r="C163" t="str">
            <v>Set</v>
          </cell>
          <cell r="D163">
            <v>265000</v>
          </cell>
          <cell r="E163">
            <v>0</v>
          </cell>
          <cell r="F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X163">
            <v>0</v>
          </cell>
          <cell r="AZ163">
            <v>0</v>
          </cell>
          <cell r="BB163">
            <v>0</v>
          </cell>
          <cell r="BD163">
            <v>0</v>
          </cell>
          <cell r="BF163">
            <v>0</v>
          </cell>
          <cell r="BH163">
            <v>0</v>
          </cell>
          <cell r="BJ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row>
        <row r="164">
          <cell r="A164">
            <v>12</v>
          </cell>
          <cell r="B164" t="str">
            <v>Kunci tanam biasa</v>
          </cell>
          <cell r="C164" t="str">
            <v>Set</v>
          </cell>
          <cell r="D164">
            <v>168565</v>
          </cell>
          <cell r="E164">
            <v>0</v>
          </cell>
          <cell r="F164">
            <v>0</v>
          </cell>
          <cell r="G164">
            <v>1</v>
          </cell>
          <cell r="H164">
            <v>168565</v>
          </cell>
          <cell r="I164">
            <v>0</v>
          </cell>
          <cell r="J164">
            <v>0</v>
          </cell>
          <cell r="K164">
            <v>1</v>
          </cell>
          <cell r="L164">
            <v>168565</v>
          </cell>
          <cell r="M164">
            <v>1</v>
          </cell>
          <cell r="N164">
            <v>168565</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X164">
            <v>0</v>
          </cell>
          <cell r="AZ164">
            <v>0</v>
          </cell>
          <cell r="BB164">
            <v>0</v>
          </cell>
          <cell r="BC164">
            <v>2</v>
          </cell>
          <cell r="BD164">
            <v>337130</v>
          </cell>
          <cell r="BF164">
            <v>0</v>
          </cell>
          <cell r="BH164">
            <v>0</v>
          </cell>
          <cell r="BJ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row>
        <row r="165">
          <cell r="A165">
            <v>13</v>
          </cell>
          <cell r="B165" t="str">
            <v>Kunci Silinder</v>
          </cell>
          <cell r="C165" t="str">
            <v>Set</v>
          </cell>
          <cell r="D165">
            <v>217900</v>
          </cell>
          <cell r="E165">
            <v>0</v>
          </cell>
          <cell r="F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X165">
            <v>0</v>
          </cell>
          <cell r="AZ165">
            <v>0</v>
          </cell>
          <cell r="BB165">
            <v>0</v>
          </cell>
          <cell r="BD165">
            <v>0</v>
          </cell>
          <cell r="BF165">
            <v>0</v>
          </cell>
          <cell r="BH165">
            <v>0</v>
          </cell>
          <cell r="BJ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row>
        <row r="166">
          <cell r="A166">
            <v>14</v>
          </cell>
          <cell r="B166" t="str">
            <v>Kunci Selot</v>
          </cell>
          <cell r="C166" t="str">
            <v>Set</v>
          </cell>
          <cell r="D166">
            <v>48300</v>
          </cell>
          <cell r="E166">
            <v>0</v>
          </cell>
          <cell r="F166">
            <v>0</v>
          </cell>
          <cell r="G166">
            <v>1</v>
          </cell>
          <cell r="H166">
            <v>48300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X166">
            <v>0</v>
          </cell>
          <cell r="AZ166">
            <v>0</v>
          </cell>
          <cell r="BB166">
            <v>0</v>
          </cell>
          <cell r="BD166">
            <v>0</v>
          </cell>
          <cell r="BF166">
            <v>0</v>
          </cell>
          <cell r="BH166">
            <v>0</v>
          </cell>
          <cell r="BJ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row>
        <row r="167">
          <cell r="A167">
            <v>15</v>
          </cell>
          <cell r="B167" t="str">
            <v>Engsel jendela</v>
          </cell>
          <cell r="C167" t="str">
            <v>Bh</v>
          </cell>
          <cell r="D167">
            <v>16600</v>
          </cell>
          <cell r="E167">
            <v>0</v>
          </cell>
          <cell r="F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X167">
            <v>0</v>
          </cell>
          <cell r="AZ167">
            <v>0</v>
          </cell>
          <cell r="BB167">
            <v>0</v>
          </cell>
          <cell r="BD167">
            <v>0</v>
          </cell>
          <cell r="BF167">
            <v>0</v>
          </cell>
          <cell r="BH167">
            <v>0</v>
          </cell>
          <cell r="BJ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row>
        <row r="168">
          <cell r="A168">
            <v>16</v>
          </cell>
          <cell r="B168" t="str">
            <v>Engsel pintu</v>
          </cell>
          <cell r="C168" t="str">
            <v>Bh</v>
          </cell>
          <cell r="D168">
            <v>44395.75</v>
          </cell>
          <cell r="E168">
            <v>4</v>
          </cell>
          <cell r="F168">
            <v>177583</v>
          </cell>
          <cell r="G168">
            <v>4</v>
          </cell>
          <cell r="H168">
            <v>177583</v>
          </cell>
          <cell r="I168">
            <v>0</v>
          </cell>
          <cell r="J168">
            <v>0</v>
          </cell>
          <cell r="K168">
            <v>0</v>
          </cell>
          <cell r="L168">
            <v>0</v>
          </cell>
          <cell r="M168">
            <v>3</v>
          </cell>
          <cell r="N168">
            <v>133187.25</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X168">
            <v>0</v>
          </cell>
          <cell r="AZ168">
            <v>0</v>
          </cell>
          <cell r="BB168">
            <v>0</v>
          </cell>
          <cell r="BC168">
            <v>4</v>
          </cell>
          <cell r="BD168">
            <v>177583</v>
          </cell>
          <cell r="BF168">
            <v>0</v>
          </cell>
          <cell r="BH168">
            <v>0</v>
          </cell>
          <cell r="BJ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row>
        <row r="169">
          <cell r="A169">
            <v>17</v>
          </cell>
          <cell r="B169" t="str">
            <v>Engsel Pintu dari pipa besi dia 2 cm</v>
          </cell>
          <cell r="C169" t="str">
            <v>Bh</v>
          </cell>
          <cell r="D169">
            <v>66593.625</v>
          </cell>
          <cell r="E169">
            <v>0</v>
          </cell>
          <cell r="F169">
            <v>0</v>
          </cell>
          <cell r="H169">
            <v>0</v>
          </cell>
          <cell r="I169">
            <v>0</v>
          </cell>
          <cell r="J169">
            <v>0</v>
          </cell>
          <cell r="K169">
            <v>2</v>
          </cell>
          <cell r="L169">
            <v>133187.25</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X169">
            <v>0</v>
          </cell>
          <cell r="AZ169">
            <v>0</v>
          </cell>
          <cell r="BB169">
            <v>0</v>
          </cell>
          <cell r="BD169">
            <v>0</v>
          </cell>
          <cell r="BF169">
            <v>0</v>
          </cell>
          <cell r="BH169">
            <v>0</v>
          </cell>
          <cell r="BJ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row>
        <row r="170">
          <cell r="A170">
            <v>18</v>
          </cell>
          <cell r="B170" t="str">
            <v>Kait/hak angin</v>
          </cell>
          <cell r="C170" t="str">
            <v>Set</v>
          </cell>
          <cell r="D170">
            <v>27000</v>
          </cell>
          <cell r="E170">
            <v>0</v>
          </cell>
          <cell r="F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X170">
            <v>0</v>
          </cell>
          <cell r="AZ170">
            <v>0</v>
          </cell>
          <cell r="BB170">
            <v>0</v>
          </cell>
          <cell r="BD170">
            <v>0</v>
          </cell>
          <cell r="BF170">
            <v>0</v>
          </cell>
          <cell r="BH170">
            <v>0</v>
          </cell>
          <cell r="BJ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row>
        <row r="171">
          <cell r="A171">
            <v>19</v>
          </cell>
          <cell r="B171" t="str">
            <v>Grendel pintu kuningan</v>
          </cell>
          <cell r="C171" t="str">
            <v>Bh</v>
          </cell>
          <cell r="D171">
            <v>125000</v>
          </cell>
          <cell r="E171">
            <v>0</v>
          </cell>
          <cell r="F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X171">
            <v>0</v>
          </cell>
          <cell r="AZ171">
            <v>0</v>
          </cell>
          <cell r="BB171">
            <v>0</v>
          </cell>
          <cell r="BD171">
            <v>0</v>
          </cell>
          <cell r="BF171">
            <v>0</v>
          </cell>
          <cell r="BH171">
            <v>0</v>
          </cell>
          <cell r="BJ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row>
        <row r="172">
          <cell r="A172">
            <v>20</v>
          </cell>
          <cell r="B172" t="str">
            <v xml:space="preserve">Grendel jendela </v>
          </cell>
          <cell r="C172" t="str">
            <v>Bh</v>
          </cell>
          <cell r="D172">
            <v>8100</v>
          </cell>
          <cell r="E172">
            <v>0</v>
          </cell>
          <cell r="F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X172">
            <v>0</v>
          </cell>
          <cell r="AZ172">
            <v>0</v>
          </cell>
          <cell r="BB172">
            <v>0</v>
          </cell>
          <cell r="BD172">
            <v>0</v>
          </cell>
          <cell r="BF172">
            <v>0</v>
          </cell>
          <cell r="BH172">
            <v>0</v>
          </cell>
          <cell r="BJ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row>
        <row r="173">
          <cell r="A173">
            <v>21</v>
          </cell>
          <cell r="B173" t="str">
            <v>Grendel pintu</v>
          </cell>
          <cell r="C173" t="str">
            <v>Bh</v>
          </cell>
          <cell r="D173">
            <v>14200</v>
          </cell>
          <cell r="E173">
            <v>0</v>
          </cell>
          <cell r="F173">
            <v>0</v>
          </cell>
          <cell r="G173">
            <v>2</v>
          </cell>
          <cell r="H173">
            <v>28400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X173">
            <v>0</v>
          </cell>
          <cell r="AZ173">
            <v>0</v>
          </cell>
          <cell r="BB173">
            <v>0</v>
          </cell>
          <cell r="BC173">
            <v>1</v>
          </cell>
          <cell r="BD173">
            <v>14200</v>
          </cell>
          <cell r="BF173">
            <v>0</v>
          </cell>
          <cell r="BH173">
            <v>0</v>
          </cell>
          <cell r="BJ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row>
        <row r="174">
          <cell r="A174">
            <v>22</v>
          </cell>
          <cell r="B174" t="str">
            <v>Stripting Knip</v>
          </cell>
          <cell r="C174" t="str">
            <v>Set</v>
          </cell>
          <cell r="D174">
            <v>13700</v>
          </cell>
          <cell r="E174">
            <v>0</v>
          </cell>
          <cell r="F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X174">
            <v>0</v>
          </cell>
          <cell r="AZ174">
            <v>0</v>
          </cell>
          <cell r="BB174">
            <v>0</v>
          </cell>
          <cell r="BD174">
            <v>0</v>
          </cell>
          <cell r="BF174">
            <v>0</v>
          </cell>
          <cell r="BH174">
            <v>0</v>
          </cell>
          <cell r="BJ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row>
        <row r="175">
          <cell r="A175">
            <v>23</v>
          </cell>
          <cell r="B175" t="str">
            <v>Door Closer</v>
          </cell>
          <cell r="C175" t="str">
            <v>Set</v>
          </cell>
          <cell r="D175">
            <v>260800</v>
          </cell>
          <cell r="E175">
            <v>0</v>
          </cell>
          <cell r="F175">
            <v>0</v>
          </cell>
          <cell r="G175">
            <v>2</v>
          </cell>
          <cell r="H175">
            <v>521600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X175">
            <v>0</v>
          </cell>
          <cell r="AZ175">
            <v>0</v>
          </cell>
          <cell r="BB175">
            <v>0</v>
          </cell>
          <cell r="BD175">
            <v>0</v>
          </cell>
          <cell r="BF175">
            <v>0</v>
          </cell>
          <cell r="BH175">
            <v>0</v>
          </cell>
          <cell r="BJ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v>0</v>
          </cell>
          <cell r="CM175">
            <v>0</v>
          </cell>
          <cell r="CN175">
            <v>0</v>
          </cell>
          <cell r="CO175">
            <v>0</v>
          </cell>
          <cell r="CP175">
            <v>0</v>
          </cell>
        </row>
        <row r="176">
          <cell r="A176">
            <v>24</v>
          </cell>
          <cell r="B176" t="str">
            <v>Door Holder</v>
          </cell>
          <cell r="C176" t="str">
            <v>Set</v>
          </cell>
          <cell r="D176">
            <v>500000</v>
          </cell>
          <cell r="E176">
            <v>0</v>
          </cell>
          <cell r="F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X176">
            <v>0</v>
          </cell>
          <cell r="AZ176">
            <v>0</v>
          </cell>
          <cell r="BB176">
            <v>0</v>
          </cell>
          <cell r="BD176">
            <v>0</v>
          </cell>
          <cell r="BF176">
            <v>0</v>
          </cell>
          <cell r="BH176">
            <v>0</v>
          </cell>
          <cell r="BJ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row>
        <row r="177">
          <cell r="A177">
            <v>25</v>
          </cell>
          <cell r="B177" t="str">
            <v>Door Stop</v>
          </cell>
          <cell r="C177" t="str">
            <v>Set</v>
          </cell>
          <cell r="D177">
            <v>32100</v>
          </cell>
          <cell r="E177">
            <v>0</v>
          </cell>
          <cell r="F177">
            <v>0</v>
          </cell>
          <cell r="G177">
            <v>0.10319999999999999</v>
          </cell>
          <cell r="H177">
            <v>3312.7199999999993</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X177">
            <v>0</v>
          </cell>
          <cell r="AZ177">
            <v>0</v>
          </cell>
          <cell r="BB177">
            <v>0</v>
          </cell>
          <cell r="BD177">
            <v>0</v>
          </cell>
          <cell r="BF177">
            <v>0</v>
          </cell>
          <cell r="BH177">
            <v>0</v>
          </cell>
          <cell r="BJ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row>
        <row r="178">
          <cell r="A178">
            <v>26</v>
          </cell>
          <cell r="B178" t="str">
            <v>Kaca bening 5 mm</v>
          </cell>
          <cell r="C178" t="str">
            <v>M2</v>
          </cell>
          <cell r="D178">
            <v>66700</v>
          </cell>
          <cell r="E178">
            <v>0</v>
          </cell>
          <cell r="F178">
            <v>0</v>
          </cell>
          <cell r="H178">
            <v>0</v>
          </cell>
          <cell r="I178">
            <v>0.10319999999999999</v>
          </cell>
          <cell r="J178">
            <v>6883.4399999999987</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0.15809999999999999</v>
          </cell>
          <cell r="AR178">
            <v>10545.269999999999</v>
          </cell>
          <cell r="AS178">
            <v>0.15809999999999999</v>
          </cell>
          <cell r="AT178">
            <v>10545.269999999999</v>
          </cell>
          <cell r="AU178">
            <v>0</v>
          </cell>
          <cell r="AV178">
            <v>0</v>
          </cell>
          <cell r="AX178">
            <v>0</v>
          </cell>
          <cell r="AZ178">
            <v>0</v>
          </cell>
          <cell r="BB178">
            <v>0</v>
          </cell>
          <cell r="BD178">
            <v>0</v>
          </cell>
          <cell r="BF178">
            <v>0</v>
          </cell>
          <cell r="BH178">
            <v>0</v>
          </cell>
          <cell r="BJ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row>
        <row r="179">
          <cell r="A179">
            <v>27</v>
          </cell>
          <cell r="B179" t="str">
            <v>Kaca bening 10 mm</v>
          </cell>
          <cell r="C179" t="str">
            <v>M2</v>
          </cell>
          <cell r="D179">
            <v>280895.75</v>
          </cell>
          <cell r="E179">
            <v>0</v>
          </cell>
          <cell r="F179">
            <v>0</v>
          </cell>
          <cell r="H179">
            <v>0</v>
          </cell>
          <cell r="I179">
            <v>0</v>
          </cell>
          <cell r="J179">
            <v>0</v>
          </cell>
          <cell r="K179">
            <v>0</v>
          </cell>
          <cell r="L179">
            <v>0</v>
          </cell>
          <cell r="M179">
            <v>0</v>
          </cell>
          <cell r="N179">
            <v>0</v>
          </cell>
          <cell r="O179">
            <v>23.1525</v>
          </cell>
          <cell r="P179">
            <v>6503438.8518749997</v>
          </cell>
          <cell r="Q179">
            <v>11.025</v>
          </cell>
          <cell r="R179">
            <v>3096875.6437500003</v>
          </cell>
          <cell r="S179">
            <v>6.6389999999999993</v>
          </cell>
          <cell r="T179">
            <v>1864866.8842499999</v>
          </cell>
          <cell r="U179">
            <v>6.6389999999999993</v>
          </cell>
          <cell r="V179">
            <v>1864866.8842499999</v>
          </cell>
          <cell r="W179">
            <v>0.34410000000000002</v>
          </cell>
          <cell r="X179">
            <v>96656.227575000012</v>
          </cell>
          <cell r="Y179">
            <v>0.34410000000000002</v>
          </cell>
          <cell r="Z179">
            <v>96656.227575000012</v>
          </cell>
          <cell r="AA179">
            <v>2.8280000000000003</v>
          </cell>
          <cell r="AB179">
            <v>794373.1810000001</v>
          </cell>
          <cell r="AC179">
            <v>2.8280000000000003</v>
          </cell>
          <cell r="AD179">
            <v>794373.1810000001</v>
          </cell>
          <cell r="AE179">
            <v>2.8839999999999999</v>
          </cell>
          <cell r="AF179">
            <v>810103.34299999999</v>
          </cell>
          <cell r="AG179">
            <v>1.26</v>
          </cell>
          <cell r="AH179">
            <v>353928.64500000002</v>
          </cell>
          <cell r="AI179">
            <v>1.57605</v>
          </cell>
          <cell r="AJ179">
            <v>442705.74678749999</v>
          </cell>
          <cell r="AK179">
            <v>0</v>
          </cell>
          <cell r="AL179">
            <v>0</v>
          </cell>
          <cell r="AM179">
            <v>0</v>
          </cell>
          <cell r="AN179">
            <v>0</v>
          </cell>
          <cell r="AO179">
            <v>1.375</v>
          </cell>
          <cell r="AP179">
            <v>386231.65625</v>
          </cell>
          <cell r="AQ179">
            <v>0</v>
          </cell>
          <cell r="AR179">
            <v>0</v>
          </cell>
          <cell r="AS179">
            <v>0</v>
          </cell>
          <cell r="AT179">
            <v>0</v>
          </cell>
          <cell r="AU179">
            <v>0</v>
          </cell>
          <cell r="AV179">
            <v>0</v>
          </cell>
          <cell r="AX179">
            <v>0</v>
          </cell>
          <cell r="AZ179">
            <v>0</v>
          </cell>
          <cell r="BB179">
            <v>0</v>
          </cell>
          <cell r="BD179">
            <v>0</v>
          </cell>
          <cell r="BF179">
            <v>0</v>
          </cell>
          <cell r="BH179">
            <v>0</v>
          </cell>
          <cell r="BJ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0</v>
          </cell>
          <cell r="CN179">
            <v>0</v>
          </cell>
          <cell r="CO179">
            <v>0</v>
          </cell>
          <cell r="CP179">
            <v>0</v>
          </cell>
        </row>
        <row r="180">
          <cell r="A180">
            <v>28</v>
          </cell>
          <cell r="B180" t="str">
            <v>Kaca Bening 12 mm</v>
          </cell>
          <cell r="C180" t="str">
            <v>M2</v>
          </cell>
          <cell r="D180">
            <v>403787.64062499994</v>
          </cell>
          <cell r="E180">
            <v>0</v>
          </cell>
          <cell r="F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X180">
            <v>0</v>
          </cell>
          <cell r="AZ180">
            <v>0</v>
          </cell>
          <cell r="BB180">
            <v>0</v>
          </cell>
          <cell r="BD180">
            <v>0</v>
          </cell>
          <cell r="BF180">
            <v>0</v>
          </cell>
          <cell r="BH180">
            <v>0</v>
          </cell>
          <cell r="BJ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row>
        <row r="181">
          <cell r="A181">
            <v>29</v>
          </cell>
          <cell r="B181" t="str">
            <v>Besi hollow 4/4</v>
          </cell>
          <cell r="C181" t="str">
            <v>M'</v>
          </cell>
          <cell r="D181">
            <v>48625.000000000051</v>
          </cell>
          <cell r="E181">
            <v>0</v>
          </cell>
          <cell r="F181">
            <v>0</v>
          </cell>
          <cell r="H181">
            <v>0</v>
          </cell>
          <cell r="I181">
            <v>0</v>
          </cell>
          <cell r="J181">
            <v>0</v>
          </cell>
          <cell r="K181">
            <v>5.09</v>
          </cell>
          <cell r="L181">
            <v>247501.25000000026</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X181">
            <v>0</v>
          </cell>
          <cell r="AZ181">
            <v>0</v>
          </cell>
          <cell r="BB181">
            <v>0</v>
          </cell>
          <cell r="BC181">
            <v>0</v>
          </cell>
          <cell r="BD181">
            <v>0</v>
          </cell>
          <cell r="BF181">
            <v>0</v>
          </cell>
          <cell r="BH181">
            <v>0</v>
          </cell>
          <cell r="BJ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row>
        <row r="182">
          <cell r="A182">
            <v>30</v>
          </cell>
          <cell r="B182" t="str">
            <v>Besi hollow 6/6</v>
          </cell>
          <cell r="C182" t="str">
            <v>M'</v>
          </cell>
          <cell r="D182">
            <v>74462.500000000058</v>
          </cell>
          <cell r="E182">
            <v>0</v>
          </cell>
          <cell r="F182">
            <v>0</v>
          </cell>
          <cell r="H182">
            <v>0</v>
          </cell>
          <cell r="I182">
            <v>0</v>
          </cell>
          <cell r="J182">
            <v>0</v>
          </cell>
          <cell r="K182">
            <v>5.09</v>
          </cell>
          <cell r="L182">
            <v>379014.12500000029</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X182">
            <v>0</v>
          </cell>
          <cell r="AZ182">
            <v>0</v>
          </cell>
          <cell r="BB182">
            <v>0</v>
          </cell>
          <cell r="BD182">
            <v>0</v>
          </cell>
          <cell r="BF182">
            <v>0</v>
          </cell>
          <cell r="BH182">
            <v>0</v>
          </cell>
          <cell r="BJ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row>
        <row r="183">
          <cell r="A183">
            <v>31</v>
          </cell>
          <cell r="B183" t="str">
            <v>Besi hollow 2.5/5</v>
          </cell>
          <cell r="C183" t="str">
            <v>Kg</v>
          </cell>
          <cell r="D183">
            <v>74462.500000000058</v>
          </cell>
          <cell r="E183">
            <v>0</v>
          </cell>
          <cell r="F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X183">
            <v>0</v>
          </cell>
          <cell r="AZ183">
            <v>0</v>
          </cell>
          <cell r="BB183">
            <v>0</v>
          </cell>
          <cell r="BD183">
            <v>0</v>
          </cell>
          <cell r="BF183">
            <v>0</v>
          </cell>
          <cell r="BH183">
            <v>0</v>
          </cell>
          <cell r="BJ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row>
        <row r="184">
          <cell r="A184">
            <v>32</v>
          </cell>
          <cell r="B184" t="str">
            <v>Besi hollow 5/5</v>
          </cell>
          <cell r="C184" t="str">
            <v>Kg</v>
          </cell>
          <cell r="D184">
            <v>74462.500000000058</v>
          </cell>
          <cell r="E184">
            <v>0</v>
          </cell>
          <cell r="F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X184">
            <v>0</v>
          </cell>
          <cell r="AZ184">
            <v>0</v>
          </cell>
          <cell r="BB184">
            <v>0</v>
          </cell>
          <cell r="BD184">
            <v>0</v>
          </cell>
          <cell r="BF184">
            <v>0</v>
          </cell>
          <cell r="BH184">
            <v>0</v>
          </cell>
          <cell r="BJ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row>
        <row r="185">
          <cell r="A185">
            <v>33</v>
          </cell>
          <cell r="B185" t="str">
            <v>Besi hollow 2/2</v>
          </cell>
          <cell r="C185" t="str">
            <v>Kg</v>
          </cell>
          <cell r="D185">
            <v>74462.500000000058</v>
          </cell>
          <cell r="E185">
            <v>0</v>
          </cell>
          <cell r="F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X185">
            <v>0</v>
          </cell>
          <cell r="AZ185">
            <v>0</v>
          </cell>
          <cell r="BB185">
            <v>0</v>
          </cell>
          <cell r="BD185">
            <v>0</v>
          </cell>
          <cell r="BF185">
            <v>0</v>
          </cell>
          <cell r="BH185">
            <v>0</v>
          </cell>
          <cell r="BJ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row>
        <row r="186">
          <cell r="A186">
            <v>34</v>
          </cell>
          <cell r="B186" t="str">
            <v>Besi hollow 2/4</v>
          </cell>
          <cell r="C186" t="str">
            <v>Kg</v>
          </cell>
          <cell r="D186">
            <v>74462.500000000058</v>
          </cell>
          <cell r="E186">
            <v>0</v>
          </cell>
          <cell r="F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X186">
            <v>0</v>
          </cell>
          <cell r="AZ186">
            <v>0</v>
          </cell>
          <cell r="BB186">
            <v>0</v>
          </cell>
          <cell r="BC186">
            <v>6.1991999999999994</v>
          </cell>
          <cell r="BD186">
            <v>461607.93000000034</v>
          </cell>
          <cell r="BF186">
            <v>0</v>
          </cell>
          <cell r="BH186">
            <v>0</v>
          </cell>
          <cell r="BJ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row>
        <row r="187">
          <cell r="A187">
            <v>35</v>
          </cell>
          <cell r="B187" t="str">
            <v>Kaca Tempered 12 mm</v>
          </cell>
          <cell r="C187" t="str">
            <v>M2</v>
          </cell>
          <cell r="D187">
            <v>528395.75</v>
          </cell>
          <cell r="E187">
            <v>4.3049999999999997</v>
          </cell>
          <cell r="F187">
            <v>2274743.7037499999</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X187">
            <v>0</v>
          </cell>
          <cell r="AZ187">
            <v>0</v>
          </cell>
          <cell r="BB187">
            <v>0</v>
          </cell>
          <cell r="BD187">
            <v>0</v>
          </cell>
          <cell r="BF187">
            <v>0</v>
          </cell>
          <cell r="BH187">
            <v>0</v>
          </cell>
          <cell r="BJ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row>
        <row r="188">
          <cell r="A188">
            <v>36</v>
          </cell>
          <cell r="B188" t="str">
            <v>Glass Block</v>
          </cell>
          <cell r="C188" t="str">
            <v>Bh</v>
          </cell>
          <cell r="D188">
            <v>45000</v>
          </cell>
          <cell r="E188">
            <v>0</v>
          </cell>
          <cell r="F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X188">
            <v>0</v>
          </cell>
          <cell r="AZ188">
            <v>0</v>
          </cell>
          <cell r="BB188">
            <v>0</v>
          </cell>
          <cell r="BD188">
            <v>0</v>
          </cell>
          <cell r="BF188">
            <v>0</v>
          </cell>
          <cell r="BH188">
            <v>0</v>
          </cell>
          <cell r="BJ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row>
        <row r="189">
          <cell r="A189">
            <v>37</v>
          </cell>
          <cell r="B189" t="str">
            <v>Kaca Es</v>
          </cell>
          <cell r="C189" t="str">
            <v>M2</v>
          </cell>
          <cell r="D189">
            <v>66700</v>
          </cell>
          <cell r="E189">
            <v>0</v>
          </cell>
          <cell r="F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X189">
            <v>0</v>
          </cell>
          <cell r="AZ189">
            <v>0</v>
          </cell>
          <cell r="BB189">
            <v>0</v>
          </cell>
          <cell r="BD189">
            <v>0</v>
          </cell>
          <cell r="BF189">
            <v>0</v>
          </cell>
          <cell r="BH189">
            <v>0</v>
          </cell>
          <cell r="BJ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row>
        <row r="190">
          <cell r="A190">
            <v>38</v>
          </cell>
          <cell r="B190" t="str">
            <v>Krepyak Kaca Nako + Kerangka</v>
          </cell>
          <cell r="C190" t="str">
            <v>M2</v>
          </cell>
          <cell r="D190">
            <v>81300</v>
          </cell>
          <cell r="E190">
            <v>0</v>
          </cell>
          <cell r="F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X190">
            <v>0</v>
          </cell>
          <cell r="AZ190">
            <v>0</v>
          </cell>
          <cell r="BB190">
            <v>0</v>
          </cell>
          <cell r="BD190">
            <v>0</v>
          </cell>
          <cell r="BF190">
            <v>0</v>
          </cell>
          <cell r="BH190">
            <v>0</v>
          </cell>
          <cell r="BJ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row>
        <row r="191">
          <cell r="A191">
            <v>39</v>
          </cell>
          <cell r="B191" t="str">
            <v>Sticker Efek Kaca Es</v>
          </cell>
          <cell r="C191" t="str">
            <v>M2</v>
          </cell>
          <cell r="D191">
            <v>150000</v>
          </cell>
          <cell r="E191">
            <v>0</v>
          </cell>
          <cell r="F191">
            <v>0</v>
          </cell>
          <cell r="H191">
            <v>0</v>
          </cell>
          <cell r="I191">
            <v>0</v>
          </cell>
          <cell r="J191">
            <v>0</v>
          </cell>
          <cell r="K191">
            <v>0</v>
          </cell>
          <cell r="L191">
            <v>0</v>
          </cell>
          <cell r="M191">
            <v>0</v>
          </cell>
          <cell r="N191">
            <v>0</v>
          </cell>
          <cell r="O191">
            <v>0</v>
          </cell>
          <cell r="P191">
            <v>0</v>
          </cell>
          <cell r="Q191">
            <v>0</v>
          </cell>
          <cell r="R191">
            <v>0</v>
          </cell>
          <cell r="S191">
            <v>4.1899999999999995</v>
          </cell>
          <cell r="T191">
            <v>628499.99999999988</v>
          </cell>
          <cell r="U191">
            <v>3.9323999999999999</v>
          </cell>
          <cell r="V191">
            <v>589860</v>
          </cell>
          <cell r="W191">
            <v>0</v>
          </cell>
          <cell r="X191">
            <v>0</v>
          </cell>
          <cell r="Y191">
            <v>0.16500000000000001</v>
          </cell>
          <cell r="Z191">
            <v>24750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0.31619999999999998</v>
          </cell>
          <cell r="AT191">
            <v>47430</v>
          </cell>
          <cell r="AU191">
            <v>0</v>
          </cell>
          <cell r="AV191">
            <v>0</v>
          </cell>
          <cell r="AX191">
            <v>0</v>
          </cell>
          <cell r="AZ191">
            <v>0</v>
          </cell>
          <cell r="BB191">
            <v>0</v>
          </cell>
          <cell r="BD191">
            <v>0</v>
          </cell>
          <cell r="BF191">
            <v>0</v>
          </cell>
          <cell r="BH191">
            <v>0</v>
          </cell>
          <cell r="BJ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row>
        <row r="192">
          <cell r="A192">
            <v>40</v>
          </cell>
          <cell r="B192" t="str">
            <v>Rel Pintu Dorong</v>
          </cell>
          <cell r="C192" t="str">
            <v>M'</v>
          </cell>
          <cell r="D192">
            <v>275000</v>
          </cell>
          <cell r="E192">
            <v>0</v>
          </cell>
          <cell r="F192">
            <v>0</v>
          </cell>
          <cell r="H192">
            <v>0</v>
          </cell>
          <cell r="I192">
            <v>8.8000000000000007</v>
          </cell>
          <cell r="J192">
            <v>2420000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X192">
            <v>0</v>
          </cell>
          <cell r="AZ192">
            <v>0</v>
          </cell>
          <cell r="BB192">
            <v>0</v>
          </cell>
          <cell r="BD192">
            <v>0</v>
          </cell>
          <cell r="BF192">
            <v>0</v>
          </cell>
          <cell r="BH192">
            <v>0</v>
          </cell>
          <cell r="BJ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row>
        <row r="193">
          <cell r="A193">
            <v>41</v>
          </cell>
          <cell r="B193" t="str">
            <v>Rolling Door</v>
          </cell>
          <cell r="C193" t="str">
            <v>M2</v>
          </cell>
          <cell r="D193">
            <v>358100</v>
          </cell>
          <cell r="E193">
            <v>0</v>
          </cell>
          <cell r="F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X193">
            <v>0</v>
          </cell>
          <cell r="AZ193">
            <v>0</v>
          </cell>
          <cell r="BB193">
            <v>0</v>
          </cell>
          <cell r="BD193">
            <v>0</v>
          </cell>
          <cell r="BF193">
            <v>0</v>
          </cell>
          <cell r="BH193">
            <v>0</v>
          </cell>
          <cell r="BJ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row>
        <row r="194">
          <cell r="A194">
            <v>42</v>
          </cell>
          <cell r="B194" t="str">
            <v>Roster</v>
          </cell>
          <cell r="C194" t="str">
            <v>M2</v>
          </cell>
          <cell r="D194">
            <v>133850</v>
          </cell>
          <cell r="E194">
            <v>0</v>
          </cell>
          <cell r="F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X194">
            <v>0</v>
          </cell>
          <cell r="AZ194">
            <v>0</v>
          </cell>
          <cell r="BB194">
            <v>0</v>
          </cell>
          <cell r="BD194">
            <v>0</v>
          </cell>
          <cell r="BE194">
            <v>3.9600000000000004</v>
          </cell>
          <cell r="BF194">
            <v>530046</v>
          </cell>
          <cell r="BG194">
            <v>7.2700000000000014</v>
          </cell>
          <cell r="BH194">
            <v>973089.50000000023</v>
          </cell>
          <cell r="BI194">
            <v>0.64000000000000012</v>
          </cell>
          <cell r="BJ194">
            <v>85664.000000000015</v>
          </cell>
          <cell r="BK194">
            <v>0.64000000000000012</v>
          </cell>
          <cell r="BL194">
            <v>85664.000000000015</v>
          </cell>
          <cell r="BM194">
            <v>0.32000000000000006</v>
          </cell>
          <cell r="BN194">
            <v>42832.000000000007</v>
          </cell>
          <cell r="BO194">
            <v>0.72000000000000008</v>
          </cell>
          <cell r="BP194">
            <v>96372.000000000015</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row>
        <row r="195">
          <cell r="A195">
            <v>43</v>
          </cell>
          <cell r="B195" t="str">
            <v>Gipsum Board</v>
          </cell>
          <cell r="C195" t="str">
            <v>M2</v>
          </cell>
          <cell r="D195">
            <v>29000</v>
          </cell>
          <cell r="E195">
            <v>0</v>
          </cell>
          <cell r="F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X195">
            <v>0</v>
          </cell>
          <cell r="AZ195">
            <v>0</v>
          </cell>
          <cell r="BB195">
            <v>0</v>
          </cell>
          <cell r="BD195">
            <v>0</v>
          </cell>
          <cell r="BF195">
            <v>0</v>
          </cell>
          <cell r="BH195">
            <v>0</v>
          </cell>
          <cell r="BJ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row>
        <row r="196">
          <cell r="A196">
            <v>44</v>
          </cell>
          <cell r="B196" t="str">
            <v>List Gipsum</v>
          </cell>
          <cell r="C196" t="str">
            <v>M'</v>
          </cell>
          <cell r="D196">
            <v>17300</v>
          </cell>
          <cell r="E196">
            <v>0</v>
          </cell>
          <cell r="F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X196">
            <v>0</v>
          </cell>
          <cell r="AZ196">
            <v>0</v>
          </cell>
          <cell r="BB196">
            <v>0</v>
          </cell>
          <cell r="BD196">
            <v>0</v>
          </cell>
          <cell r="BF196">
            <v>0</v>
          </cell>
          <cell r="BH196">
            <v>0</v>
          </cell>
          <cell r="BJ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row>
        <row r="197">
          <cell r="A197">
            <v>45</v>
          </cell>
          <cell r="B197" t="str">
            <v>Sealent</v>
          </cell>
          <cell r="C197" t="str">
            <v>M'</v>
          </cell>
          <cell r="D197">
            <v>8400</v>
          </cell>
          <cell r="E197">
            <v>0</v>
          </cell>
          <cell r="F197">
            <v>0</v>
          </cell>
          <cell r="G197">
            <v>4.88</v>
          </cell>
          <cell r="H197">
            <v>40992</v>
          </cell>
          <cell r="I197">
            <v>4.88</v>
          </cell>
          <cell r="J197">
            <v>40992</v>
          </cell>
          <cell r="K197">
            <v>0</v>
          </cell>
          <cell r="L197">
            <v>0</v>
          </cell>
          <cell r="M197">
            <v>0</v>
          </cell>
          <cell r="N197">
            <v>0</v>
          </cell>
          <cell r="O197">
            <v>40.319999999999993</v>
          </cell>
          <cell r="P197">
            <v>338687.99999999994</v>
          </cell>
          <cell r="Q197">
            <v>19.600000000000001</v>
          </cell>
          <cell r="R197">
            <v>164640</v>
          </cell>
          <cell r="S197">
            <v>58.63</v>
          </cell>
          <cell r="T197">
            <v>492492</v>
          </cell>
          <cell r="U197">
            <v>58.63</v>
          </cell>
          <cell r="V197">
            <v>492492</v>
          </cell>
          <cell r="W197">
            <v>5.6800000000000006</v>
          </cell>
          <cell r="X197">
            <v>47712.000000000007</v>
          </cell>
          <cell r="Y197">
            <v>5.6800000000000006</v>
          </cell>
          <cell r="Z197">
            <v>47712.000000000007</v>
          </cell>
          <cell r="AA197">
            <v>31</v>
          </cell>
          <cell r="AB197">
            <v>260400</v>
          </cell>
          <cell r="AC197">
            <v>31.400000000000002</v>
          </cell>
          <cell r="AD197">
            <v>263760</v>
          </cell>
          <cell r="AE197">
            <v>19.439999999999998</v>
          </cell>
          <cell r="AF197">
            <v>163295.99999999997</v>
          </cell>
          <cell r="AG197">
            <v>4.5999999999999996</v>
          </cell>
          <cell r="AH197">
            <v>38640</v>
          </cell>
          <cell r="AI197">
            <v>10.76</v>
          </cell>
          <cell r="AJ197">
            <v>90384</v>
          </cell>
          <cell r="AK197">
            <v>0</v>
          </cell>
          <cell r="AL197">
            <v>0</v>
          </cell>
          <cell r="AM197">
            <v>0</v>
          </cell>
          <cell r="AN197">
            <v>0</v>
          </cell>
          <cell r="AO197">
            <v>0</v>
          </cell>
          <cell r="AP197">
            <v>0</v>
          </cell>
          <cell r="AQ197">
            <v>3.2800000000000002</v>
          </cell>
          <cell r="AR197">
            <v>27552.000000000004</v>
          </cell>
          <cell r="AS197">
            <v>3.2800000000000002</v>
          </cell>
          <cell r="AT197">
            <v>27552.000000000004</v>
          </cell>
          <cell r="AU197">
            <v>0</v>
          </cell>
          <cell r="AV197">
            <v>0</v>
          </cell>
          <cell r="AX197">
            <v>0</v>
          </cell>
          <cell r="AZ197">
            <v>0</v>
          </cell>
          <cell r="BB197">
            <v>0</v>
          </cell>
          <cell r="BD197">
            <v>0</v>
          </cell>
          <cell r="BF197">
            <v>0</v>
          </cell>
          <cell r="BH197">
            <v>0</v>
          </cell>
          <cell r="BJ197">
            <v>0</v>
          </cell>
          <cell r="BL197">
            <v>0</v>
          </cell>
          <cell r="BM197">
            <v>0</v>
          </cell>
          <cell r="BN197">
            <v>0</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cell r="CE197">
            <v>0</v>
          </cell>
          <cell r="CF197">
            <v>0</v>
          </cell>
          <cell r="CG197">
            <v>0</v>
          </cell>
          <cell r="CH197">
            <v>0</v>
          </cell>
          <cell r="CI197">
            <v>0</v>
          </cell>
          <cell r="CJ197">
            <v>0</v>
          </cell>
          <cell r="CK197">
            <v>0</v>
          </cell>
          <cell r="CL197">
            <v>0</v>
          </cell>
          <cell r="CM197">
            <v>0</v>
          </cell>
          <cell r="CN197">
            <v>0</v>
          </cell>
          <cell r="CO197">
            <v>0</v>
          </cell>
          <cell r="CP197">
            <v>0</v>
          </cell>
        </row>
        <row r="198">
          <cell r="A198">
            <v>46</v>
          </cell>
          <cell r="B198" t="str">
            <v>Benangan Kusen</v>
          </cell>
          <cell r="C198" t="str">
            <v>M'</v>
          </cell>
          <cell r="D198">
            <v>4296.0074999999997</v>
          </cell>
          <cell r="E198">
            <v>6.1999999999999993</v>
          </cell>
          <cell r="F198">
            <v>26635.246499999994</v>
          </cell>
          <cell r="G198">
            <v>10.6</v>
          </cell>
          <cell r="H198">
            <v>45537.679499999998</v>
          </cell>
          <cell r="I198">
            <v>0</v>
          </cell>
          <cell r="J198">
            <v>0</v>
          </cell>
          <cell r="K198">
            <v>5.5990000000000002</v>
          </cell>
          <cell r="L198">
            <v>24053.345992499999</v>
          </cell>
          <cell r="M198">
            <v>5.7839999999999998</v>
          </cell>
          <cell r="N198">
            <v>24848.107379999998</v>
          </cell>
          <cell r="O198">
            <v>23.320000000000004</v>
          </cell>
          <cell r="P198">
            <v>100182.89490000001</v>
          </cell>
          <cell r="Q198">
            <v>13.5</v>
          </cell>
          <cell r="R198">
            <v>57996.101249999992</v>
          </cell>
          <cell r="S198">
            <v>21.6</v>
          </cell>
          <cell r="T198">
            <v>92793.762000000002</v>
          </cell>
          <cell r="U198">
            <v>21.6</v>
          </cell>
          <cell r="V198">
            <v>92793.762000000002</v>
          </cell>
          <cell r="W198">
            <v>6.4</v>
          </cell>
          <cell r="X198">
            <v>27494.448</v>
          </cell>
          <cell r="Y198">
            <v>6.4</v>
          </cell>
          <cell r="Z198">
            <v>27494.448</v>
          </cell>
          <cell r="AA198">
            <v>18.8</v>
          </cell>
          <cell r="AB198">
            <v>80764.940999999992</v>
          </cell>
          <cell r="AC198">
            <v>16.600000000000001</v>
          </cell>
          <cell r="AD198">
            <v>71313.724499999997</v>
          </cell>
          <cell r="AE198">
            <v>10.120000000000001</v>
          </cell>
          <cell r="AF198">
            <v>43475.5959</v>
          </cell>
          <cell r="AG198">
            <v>10</v>
          </cell>
          <cell r="AH198">
            <v>42960.074999999997</v>
          </cell>
          <cell r="AI198">
            <v>11.639999999999999</v>
          </cell>
          <cell r="AJ198">
            <v>50005.527299999994</v>
          </cell>
          <cell r="AK198">
            <v>20</v>
          </cell>
          <cell r="AL198">
            <v>85920.15</v>
          </cell>
          <cell r="AM198">
            <v>15.4</v>
          </cell>
          <cell r="AN198">
            <v>66158.515499999994</v>
          </cell>
          <cell r="AO198">
            <v>16.8</v>
          </cell>
          <cell r="AP198">
            <v>72172.925999999992</v>
          </cell>
          <cell r="AQ198">
            <v>4</v>
          </cell>
          <cell r="AR198">
            <v>17184.03</v>
          </cell>
          <cell r="AS198">
            <v>4</v>
          </cell>
          <cell r="AT198">
            <v>17184.03</v>
          </cell>
          <cell r="AU198">
            <v>4</v>
          </cell>
          <cell r="AV198">
            <v>17184.03</v>
          </cell>
          <cell r="AW198">
            <v>22.8</v>
          </cell>
          <cell r="AX198">
            <v>97948.97099999999</v>
          </cell>
          <cell r="AY198">
            <v>22.9</v>
          </cell>
          <cell r="AZ198">
            <v>98378.571749999988</v>
          </cell>
          <cell r="BA198">
            <v>39.200000000000003</v>
          </cell>
          <cell r="BB198">
            <v>168403.49400000001</v>
          </cell>
          <cell r="BD198">
            <v>0</v>
          </cell>
          <cell r="BE198">
            <v>69.599999999999994</v>
          </cell>
          <cell r="BF198">
            <v>299002.12199999997</v>
          </cell>
          <cell r="BG198">
            <v>117.6</v>
          </cell>
          <cell r="BH198">
            <v>505210.48199999996</v>
          </cell>
          <cell r="BI198">
            <v>8</v>
          </cell>
          <cell r="BJ198">
            <v>34368.06</v>
          </cell>
          <cell r="BK198">
            <v>8</v>
          </cell>
          <cell r="BL198">
            <v>34368.06</v>
          </cell>
          <cell r="BM198">
            <v>4.8000000000000007</v>
          </cell>
          <cell r="BN198">
            <v>20620.836000000003</v>
          </cell>
          <cell r="BO198">
            <v>15.200000000000001</v>
          </cell>
          <cell r="BP198">
            <v>65299.313999999998</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row>
        <row r="199">
          <cell r="A199">
            <v>47</v>
          </cell>
          <cell r="B199" t="str">
            <v xml:space="preserve">Cat Kayu </v>
          </cell>
          <cell r="C199" t="str">
            <v>M2</v>
          </cell>
          <cell r="D199">
            <v>19370.5</v>
          </cell>
          <cell r="E199">
            <v>0</v>
          </cell>
          <cell r="F199">
            <v>0</v>
          </cell>
          <cell r="G199">
            <v>4.68</v>
          </cell>
          <cell r="H199">
            <v>90653.939999999988</v>
          </cell>
          <cell r="I199">
            <v>4.7</v>
          </cell>
          <cell r="J199">
            <v>91041.35</v>
          </cell>
          <cell r="K199">
            <v>0</v>
          </cell>
          <cell r="L199">
            <v>0</v>
          </cell>
          <cell r="M199">
            <v>4.0991999999999997</v>
          </cell>
          <cell r="N199">
            <v>79403.553599999999</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3.3503999999999992</v>
          </cell>
          <cell r="AL199">
            <v>64898.923199999983</v>
          </cell>
          <cell r="AM199">
            <v>2.2895999999999996</v>
          </cell>
          <cell r="AN199">
            <v>44350.696799999991</v>
          </cell>
          <cell r="AO199">
            <v>0</v>
          </cell>
          <cell r="AP199">
            <v>0</v>
          </cell>
          <cell r="AQ199">
            <v>0</v>
          </cell>
          <cell r="AR199">
            <v>0</v>
          </cell>
          <cell r="AS199">
            <v>0</v>
          </cell>
          <cell r="AT199">
            <v>0</v>
          </cell>
          <cell r="AU199">
            <v>0</v>
          </cell>
          <cell r="AV199">
            <v>0</v>
          </cell>
          <cell r="AX199">
            <v>0</v>
          </cell>
          <cell r="AZ199">
            <v>0</v>
          </cell>
          <cell r="BB199">
            <v>0</v>
          </cell>
          <cell r="BD199">
            <v>0</v>
          </cell>
          <cell r="BF199">
            <v>0</v>
          </cell>
          <cell r="BH199">
            <v>0</v>
          </cell>
          <cell r="BJ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cell r="CE199">
            <v>0</v>
          </cell>
          <cell r="CF199">
            <v>0</v>
          </cell>
          <cell r="CG199">
            <v>0</v>
          </cell>
          <cell r="CH199">
            <v>0</v>
          </cell>
          <cell r="CI199">
            <v>0</v>
          </cell>
          <cell r="CJ199">
            <v>0</v>
          </cell>
          <cell r="CK199">
            <v>0</v>
          </cell>
          <cell r="CL199">
            <v>0</v>
          </cell>
          <cell r="CM199">
            <v>0</v>
          </cell>
          <cell r="CN199">
            <v>0</v>
          </cell>
          <cell r="CO199">
            <v>0</v>
          </cell>
          <cell r="CP199">
            <v>0</v>
          </cell>
        </row>
        <row r="200">
          <cell r="A200">
            <v>48</v>
          </cell>
          <cell r="B200" t="str">
            <v>Cat Besi</v>
          </cell>
          <cell r="C200" t="str">
            <v>M2</v>
          </cell>
          <cell r="D200">
            <v>13698</v>
          </cell>
          <cell r="E200">
            <v>0</v>
          </cell>
          <cell r="F200">
            <v>0</v>
          </cell>
          <cell r="H200">
            <v>0</v>
          </cell>
          <cell r="I200">
            <v>0</v>
          </cell>
          <cell r="J200">
            <v>0</v>
          </cell>
          <cell r="K200">
            <v>5.6445590696960588</v>
          </cell>
          <cell r="L200">
            <v>77319.170136696615</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0.12169439999999999</v>
          </cell>
          <cell r="AL200">
            <v>1666.9698911999999</v>
          </cell>
          <cell r="AM200">
            <v>0.15644160000000001</v>
          </cell>
          <cell r="AN200">
            <v>2142.9370368</v>
          </cell>
          <cell r="AO200">
            <v>0</v>
          </cell>
          <cell r="AP200">
            <v>0</v>
          </cell>
          <cell r="AQ200">
            <v>0</v>
          </cell>
          <cell r="AR200">
            <v>0</v>
          </cell>
          <cell r="AS200">
            <v>0</v>
          </cell>
          <cell r="AT200">
            <v>0</v>
          </cell>
          <cell r="AU200">
            <v>0</v>
          </cell>
          <cell r="AV200">
            <v>0</v>
          </cell>
          <cell r="AX200">
            <v>0</v>
          </cell>
          <cell r="AZ200">
            <v>0</v>
          </cell>
          <cell r="BB200">
            <v>0</v>
          </cell>
          <cell r="BC200">
            <v>0.7439039999999999</v>
          </cell>
          <cell r="BD200">
            <v>10189.996991999998</v>
          </cell>
          <cell r="BF200">
            <v>0</v>
          </cell>
          <cell r="BH200">
            <v>0</v>
          </cell>
          <cell r="BJ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cell r="CE200">
            <v>0</v>
          </cell>
          <cell r="CF200">
            <v>0</v>
          </cell>
          <cell r="CG200">
            <v>0</v>
          </cell>
          <cell r="CH200">
            <v>0</v>
          </cell>
          <cell r="CI200">
            <v>0</v>
          </cell>
          <cell r="CJ200">
            <v>0</v>
          </cell>
          <cell r="CK200">
            <v>0</v>
          </cell>
          <cell r="CL200">
            <v>0</v>
          </cell>
          <cell r="CM200">
            <v>0</v>
          </cell>
          <cell r="CN200">
            <v>0</v>
          </cell>
          <cell r="CO200">
            <v>0</v>
          </cell>
          <cell r="CP200">
            <v>0</v>
          </cell>
        </row>
        <row r="201">
          <cell r="A201">
            <v>49</v>
          </cell>
          <cell r="B201" t="str">
            <v>Cat Dinding</v>
          </cell>
          <cell r="C201" t="str">
            <v>M2</v>
          </cell>
          <cell r="D201">
            <v>9900</v>
          </cell>
          <cell r="E201">
            <v>0</v>
          </cell>
          <cell r="F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X201">
            <v>0</v>
          </cell>
          <cell r="AZ201">
            <v>0</v>
          </cell>
          <cell r="BB201">
            <v>0</v>
          </cell>
          <cell r="BD201">
            <v>0</v>
          </cell>
          <cell r="BE201">
            <v>7.9200000000000008</v>
          </cell>
          <cell r="BF201">
            <v>78408.000000000015</v>
          </cell>
          <cell r="BG201">
            <v>14.540000000000003</v>
          </cell>
          <cell r="BH201">
            <v>143946.00000000003</v>
          </cell>
          <cell r="BI201">
            <v>1.2800000000000002</v>
          </cell>
          <cell r="BJ201">
            <v>12672.000000000002</v>
          </cell>
          <cell r="BK201">
            <v>1.2800000000000002</v>
          </cell>
          <cell r="BL201">
            <v>12672.000000000002</v>
          </cell>
          <cell r="BM201">
            <v>0.64000000000000012</v>
          </cell>
          <cell r="BN201">
            <v>6336.0000000000009</v>
          </cell>
          <cell r="BO201">
            <v>1.4400000000000002</v>
          </cell>
          <cell r="BP201">
            <v>14256.000000000002</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row>
        <row r="202">
          <cell r="A202">
            <v>50</v>
          </cell>
          <cell r="B202" t="str">
            <v>Plesteran Camprot</v>
          </cell>
          <cell r="C202" t="str">
            <v>M2</v>
          </cell>
          <cell r="D202">
            <v>14600</v>
          </cell>
          <cell r="E202">
            <v>0</v>
          </cell>
          <cell r="F202">
            <v>0</v>
          </cell>
          <cell r="H202">
            <v>0</v>
          </cell>
          <cell r="I202">
            <v>0</v>
          </cell>
          <cell r="J202">
            <v>0</v>
          </cell>
          <cell r="K202">
            <v>0</v>
          </cell>
          <cell r="M202">
            <v>0</v>
          </cell>
          <cell r="O202">
            <v>0</v>
          </cell>
          <cell r="P202">
            <v>0</v>
          </cell>
          <cell r="Q202">
            <v>0</v>
          </cell>
          <cell r="R202">
            <v>0</v>
          </cell>
          <cell r="S202">
            <v>0</v>
          </cell>
          <cell r="T202">
            <v>0</v>
          </cell>
          <cell r="U202">
            <v>0</v>
          </cell>
          <cell r="V202">
            <v>0</v>
          </cell>
          <cell r="W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F202">
            <v>0</v>
          </cell>
          <cell r="BH202">
            <v>0</v>
          </cell>
          <cell r="BJ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DR202">
            <v>0</v>
          </cell>
          <cell r="EB202">
            <v>0</v>
          </cell>
          <cell r="EL202">
            <v>0</v>
          </cell>
          <cell r="EV202">
            <v>0</v>
          </cell>
        </row>
        <row r="203">
          <cell r="A203">
            <v>51</v>
          </cell>
          <cell r="B203" t="str">
            <v>Rangka Metal Furring</v>
          </cell>
          <cell r="C203" t="str">
            <v>M'</v>
          </cell>
          <cell r="D203">
            <v>90000</v>
          </cell>
          <cell r="BD203">
            <v>0</v>
          </cell>
          <cell r="BF203">
            <v>0</v>
          </cell>
          <cell r="BH203">
            <v>0</v>
          </cell>
          <cell r="BJ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v>0</v>
          </cell>
          <cell r="CM203">
            <v>0</v>
          </cell>
          <cell r="CN203">
            <v>0</v>
          </cell>
          <cell r="CO203">
            <v>0</v>
          </cell>
          <cell r="CP203">
            <v>0</v>
          </cell>
        </row>
        <row r="204">
          <cell r="A204">
            <v>0</v>
          </cell>
        </row>
        <row r="205">
          <cell r="B205" t="str">
            <v>Jumlah Harga</v>
          </cell>
          <cell r="F205">
            <v>3776944.5502499999</v>
          </cell>
          <cell r="H205">
            <v>1212064.3395</v>
          </cell>
          <cell r="J205">
            <v>2611716.79</v>
          </cell>
          <cell r="L205">
            <v>1760337.7291291971</v>
          </cell>
          <cell r="N205">
            <v>1690743.9109799999</v>
          </cell>
          <cell r="P205">
            <v>10353390.146775</v>
          </cell>
          <cell r="R205">
            <v>5374906.3450000007</v>
          </cell>
          <cell r="T205">
            <v>3078652.6462499998</v>
          </cell>
          <cell r="V205">
            <v>3040012.6462500002</v>
          </cell>
          <cell r="X205">
            <v>171862.67557500003</v>
          </cell>
          <cell r="Z205">
            <v>196612.67557500003</v>
          </cell>
          <cell r="AB205">
            <v>1441660.7220000001</v>
          </cell>
          <cell r="AD205">
            <v>1129446.9055000001</v>
          </cell>
          <cell r="AF205">
            <v>1016874.9389</v>
          </cell>
          <cell r="AG205">
            <v>0</v>
          </cell>
          <cell r="AH205">
            <v>435528.72000000003</v>
          </cell>
          <cell r="AI205">
            <v>0</v>
          </cell>
          <cell r="AJ205">
            <v>583095.27408749994</v>
          </cell>
          <cell r="AK205">
            <v>0</v>
          </cell>
          <cell r="AL205">
            <v>2224721.0070912</v>
          </cell>
          <cell r="AM205">
            <v>0</v>
          </cell>
          <cell r="AN205">
            <v>1706171.6733768</v>
          </cell>
          <cell r="AO205">
            <v>0</v>
          </cell>
          <cell r="AP205">
            <v>639579.18224999995</v>
          </cell>
          <cell r="AQ205">
            <v>0</v>
          </cell>
          <cell r="AR205">
            <v>55281.3</v>
          </cell>
          <cell r="AS205">
            <v>0</v>
          </cell>
          <cell r="AT205">
            <v>102711.3</v>
          </cell>
          <cell r="AU205">
            <v>0</v>
          </cell>
          <cell r="AV205">
            <v>119641.39</v>
          </cell>
          <cell r="AW205">
            <v>0</v>
          </cell>
          <cell r="AX205">
            <v>1081914.4709999999</v>
          </cell>
          <cell r="AY205">
            <v>0</v>
          </cell>
          <cell r="AZ205">
            <v>1072972.9717499998</v>
          </cell>
          <cell r="BA205">
            <v>0</v>
          </cell>
          <cell r="BB205">
            <v>2117592.2939999998</v>
          </cell>
          <cell r="BC205">
            <v>0</v>
          </cell>
          <cell r="BD205">
            <v>1524015.9269920003</v>
          </cell>
          <cell r="BE205">
            <v>0</v>
          </cell>
          <cell r="BF205">
            <v>907456.12199999997</v>
          </cell>
          <cell r="BG205">
            <v>0</v>
          </cell>
          <cell r="BH205">
            <v>1622245.9820000003</v>
          </cell>
          <cell r="BI205">
            <v>0</v>
          </cell>
          <cell r="BJ205">
            <v>132704.06000000003</v>
          </cell>
          <cell r="BL205">
            <v>132704.06000000003</v>
          </cell>
          <cell r="BM205">
            <v>0</v>
          </cell>
          <cell r="BN205">
            <v>69788.83600000001</v>
          </cell>
          <cell r="BO205">
            <v>0</v>
          </cell>
          <cell r="BP205">
            <v>175927.31400000001</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cell r="CE205">
            <v>0</v>
          </cell>
          <cell r="CF205">
            <v>0</v>
          </cell>
          <cell r="CG205">
            <v>0</v>
          </cell>
          <cell r="CH205">
            <v>0</v>
          </cell>
          <cell r="CI205">
            <v>0</v>
          </cell>
          <cell r="CJ205">
            <v>0</v>
          </cell>
          <cell r="CK205">
            <v>0</v>
          </cell>
          <cell r="CL205">
            <v>0</v>
          </cell>
          <cell r="CM205">
            <v>0</v>
          </cell>
          <cell r="CN205">
            <v>0</v>
          </cell>
          <cell r="CO205">
            <v>0</v>
          </cell>
          <cell r="CP205">
            <v>0</v>
          </cell>
          <cell r="CX205">
            <v>102711.3</v>
          </cell>
          <cell r="DH205">
            <v>119641.39</v>
          </cell>
          <cell r="DR205">
            <v>1081914.4709999999</v>
          </cell>
          <cell r="EB205">
            <v>1072972.9717499998</v>
          </cell>
          <cell r="EL205">
            <v>2117592.2939999998</v>
          </cell>
          <cell r="EV205">
            <v>1524015.9269920003</v>
          </cell>
          <cell r="FF205">
            <v>907456.12199999997</v>
          </cell>
          <cell r="FP205">
            <v>1622245.9820000003</v>
          </cell>
          <cell r="FZ205">
            <v>132704.06000000003</v>
          </cell>
        </row>
        <row r="206">
          <cell r="F206">
            <v>6424805.5502499994</v>
          </cell>
          <cell r="J206">
            <v>4349487.5559539944</v>
          </cell>
          <cell r="L206">
            <v>2566512.0490891971</v>
          </cell>
          <cell r="N206">
            <v>1690743.9109799999</v>
          </cell>
          <cell r="P206">
            <v>10353390.146775</v>
          </cell>
          <cell r="R206">
            <v>5374906.3450000007</v>
          </cell>
          <cell r="T206">
            <v>3126445.2562500001</v>
          </cell>
          <cell r="V206">
            <v>3087805.2562500001</v>
          </cell>
          <cell r="X206">
            <v>171862.67557500003</v>
          </cell>
          <cell r="Z206">
            <v>196612.67557500003</v>
          </cell>
          <cell r="AB206">
            <v>1497887.3220000002</v>
          </cell>
          <cell r="AD206">
            <v>1129446.9055000001</v>
          </cell>
          <cell r="AH206" t="str">
            <v>J7 TK = J9 SD</v>
          </cell>
          <cell r="AJ206" t="str">
            <v>J8 TK = J10 SD</v>
          </cell>
        </row>
        <row r="207">
          <cell r="J207">
            <v>-1737770.7659539944</v>
          </cell>
          <cell r="L207">
            <v>-806174.31995999999</v>
          </cell>
          <cell r="N207">
            <v>0</v>
          </cell>
          <cell r="P207">
            <v>0</v>
          </cell>
          <cell r="R207">
            <v>0</v>
          </cell>
        </row>
        <row r="208">
          <cell r="R208">
            <v>0</v>
          </cell>
        </row>
        <row r="209">
          <cell r="A209" t="str">
            <v>No.</v>
          </cell>
          <cell r="B209" t="str">
            <v>Item Pekerjaan</v>
          </cell>
          <cell r="C209" t="str">
            <v>Satuan</v>
          </cell>
          <cell r="D209" t="str">
            <v>Harga Satuan</v>
          </cell>
          <cell r="E209" t="str">
            <v>P1</v>
          </cell>
          <cell r="G209" t="str">
            <v>P2</v>
          </cell>
          <cell r="I209" t="str">
            <v>P3</v>
          </cell>
          <cell r="K209" t="str">
            <v>P4</v>
          </cell>
          <cell r="M209" t="str">
            <v>P5</v>
          </cell>
          <cell r="O209" t="str">
            <v>P6</v>
          </cell>
          <cell r="Q209" t="str">
            <v>P7</v>
          </cell>
          <cell r="S209" t="str">
            <v>P8</v>
          </cell>
          <cell r="U209" t="str">
            <v>P9</v>
          </cell>
          <cell r="W209" t="str">
            <v>J1</v>
          </cell>
          <cell r="Y209" t="str">
            <v>J1'</v>
          </cell>
          <cell r="AA209" t="str">
            <v>J2</v>
          </cell>
          <cell r="AC209" t="str">
            <v>J2'</v>
          </cell>
          <cell r="AE209" t="str">
            <v>J3</v>
          </cell>
          <cell r="AG209" t="str">
            <v>J4</v>
          </cell>
          <cell r="AI209" t="str">
            <v>J5</v>
          </cell>
          <cell r="AK209" t="str">
            <v>J6</v>
          </cell>
          <cell r="AM209" t="str">
            <v>J7</v>
          </cell>
          <cell r="AO209" t="str">
            <v>J8</v>
          </cell>
          <cell r="AQ209" t="str">
            <v>BV1</v>
          </cell>
          <cell r="AS209" t="str">
            <v>M1</v>
          </cell>
          <cell r="AU209" t="str">
            <v>M2</v>
          </cell>
          <cell r="AW209" t="str">
            <v>M3</v>
          </cell>
          <cell r="AY209" t="str">
            <v>R1</v>
          </cell>
          <cell r="BA209" t="str">
            <v>R1'</v>
          </cell>
          <cell r="BC209" t="str">
            <v>R2</v>
          </cell>
          <cell r="BE209" t="str">
            <v>R2'</v>
          </cell>
          <cell r="BG209" t="str">
            <v>R3</v>
          </cell>
          <cell r="BI209" t="str">
            <v>R4</v>
          </cell>
          <cell r="BK209" t="str">
            <v>R5</v>
          </cell>
          <cell r="BM209" t="str">
            <v>R6</v>
          </cell>
          <cell r="BO209" t="str">
            <v>R7</v>
          </cell>
          <cell r="BQ209" t="str">
            <v>R8</v>
          </cell>
          <cell r="BS209" t="str">
            <v>R9</v>
          </cell>
          <cell r="BU209" t="str">
            <v>R10</v>
          </cell>
          <cell r="BW209" t="str">
            <v>R10'</v>
          </cell>
          <cell r="BY209" t="str">
            <v>R11</v>
          </cell>
          <cell r="CA209" t="str">
            <v>R11'</v>
          </cell>
          <cell r="CC209" t="str">
            <v>R12</v>
          </cell>
          <cell r="CE209" t="str">
            <v>R13</v>
          </cell>
          <cell r="CG209" t="str">
            <v>R14</v>
          </cell>
          <cell r="CI209" t="str">
            <v>R15</v>
          </cell>
          <cell r="CK209" t="str">
            <v>R16</v>
          </cell>
          <cell r="CM209" t="str">
            <v>R17</v>
          </cell>
          <cell r="CO209" t="str">
            <v>R18</v>
          </cell>
        </row>
        <row r="210">
          <cell r="D210" t="str">
            <v>Rp.</v>
          </cell>
          <cell r="E210" t="str">
            <v>Vol.</v>
          </cell>
          <cell r="F210" t="str">
            <v>Jumlah Harga</v>
          </cell>
          <cell r="G210" t="str">
            <v>Vol.</v>
          </cell>
          <cell r="H210" t="str">
            <v>Jumlah Harga</v>
          </cell>
          <cell r="I210" t="str">
            <v>Vol.</v>
          </cell>
          <cell r="J210" t="str">
            <v>Jumlah Harga</v>
          </cell>
          <cell r="K210" t="str">
            <v>Vol.</v>
          </cell>
          <cell r="L210" t="str">
            <v>Jumlah Harga</v>
          </cell>
          <cell r="M210" t="str">
            <v>Vol.</v>
          </cell>
          <cell r="N210" t="str">
            <v>Jumlah Harga</v>
          </cell>
          <cell r="O210" t="str">
            <v>Vol.</v>
          </cell>
          <cell r="P210" t="str">
            <v>Jumlah Harga</v>
          </cell>
          <cell r="Q210" t="str">
            <v>Vol.</v>
          </cell>
          <cell r="R210" t="str">
            <v>Jumlah Harga</v>
          </cell>
          <cell r="S210" t="str">
            <v>Vol.</v>
          </cell>
          <cell r="T210" t="str">
            <v>Jumlah Harga</v>
          </cell>
          <cell r="U210" t="str">
            <v>Vol.</v>
          </cell>
          <cell r="V210" t="str">
            <v>Jumlah Harga</v>
          </cell>
          <cell r="W210" t="str">
            <v>Vol.</v>
          </cell>
          <cell r="X210" t="str">
            <v>Jumlah Harga</v>
          </cell>
          <cell r="Y210" t="str">
            <v>Vol.</v>
          </cell>
          <cell r="Z210" t="str">
            <v>Jumlah Harga</v>
          </cell>
          <cell r="AA210" t="str">
            <v>Vol.</v>
          </cell>
          <cell r="AB210" t="str">
            <v>Jumlah Harga</v>
          </cell>
          <cell r="AC210" t="str">
            <v>Vol.</v>
          </cell>
          <cell r="AD210" t="str">
            <v>Jumlah Harga</v>
          </cell>
          <cell r="AE210" t="str">
            <v>Vol.</v>
          </cell>
          <cell r="AF210" t="str">
            <v>Jumlah Harga</v>
          </cell>
          <cell r="AG210" t="str">
            <v>Vol.</v>
          </cell>
          <cell r="AH210" t="str">
            <v>Jumlah Harga</v>
          </cell>
          <cell r="AI210" t="str">
            <v>Vol.</v>
          </cell>
          <cell r="AJ210" t="str">
            <v>Jumlah Harga</v>
          </cell>
          <cell r="AK210" t="str">
            <v>Vol.</v>
          </cell>
          <cell r="AL210" t="str">
            <v>Jumlah Harga</v>
          </cell>
          <cell r="AM210" t="str">
            <v>Vol.</v>
          </cell>
          <cell r="AN210" t="str">
            <v>Jumlah Harga</v>
          </cell>
          <cell r="AO210" t="str">
            <v>Vol.</v>
          </cell>
          <cell r="AP210" t="str">
            <v>Jumlah Harga</v>
          </cell>
          <cell r="AQ210" t="str">
            <v>Vol.</v>
          </cell>
          <cell r="AR210" t="str">
            <v>Jumlah Harga</v>
          </cell>
          <cell r="AS210" t="str">
            <v>Vol.</v>
          </cell>
          <cell r="AT210" t="str">
            <v>Jumlah Harga</v>
          </cell>
          <cell r="AU210" t="str">
            <v>Vol.</v>
          </cell>
          <cell r="AV210" t="str">
            <v>Jumlah Harga</v>
          </cell>
          <cell r="AW210" t="str">
            <v>Vol.</v>
          </cell>
          <cell r="AX210" t="str">
            <v>Jumlah Harga</v>
          </cell>
          <cell r="AY210" t="str">
            <v>Vol.</v>
          </cell>
          <cell r="AZ210" t="str">
            <v>Jumlah Harga</v>
          </cell>
          <cell r="BA210" t="str">
            <v>Vol.</v>
          </cell>
          <cell r="BB210" t="str">
            <v>Jumlah Harga</v>
          </cell>
          <cell r="BC210" t="str">
            <v>Vol.</v>
          </cell>
          <cell r="BD210" t="str">
            <v>Jumlah Harga</v>
          </cell>
          <cell r="BE210" t="str">
            <v>Vol.</v>
          </cell>
          <cell r="BF210" t="str">
            <v>Jumlah Harga</v>
          </cell>
          <cell r="BG210" t="str">
            <v>Vol.</v>
          </cell>
          <cell r="BH210" t="str">
            <v>Jumlah Harga</v>
          </cell>
          <cell r="BI210" t="str">
            <v>Vol.</v>
          </cell>
          <cell r="BJ210" t="str">
            <v>Jumlah Harga</v>
          </cell>
          <cell r="BK210" t="str">
            <v>Vol.</v>
          </cell>
          <cell r="BL210" t="str">
            <v>Jumlah Harga</v>
          </cell>
          <cell r="BM210" t="str">
            <v>Vol.</v>
          </cell>
          <cell r="BN210" t="str">
            <v>Jumlah Harga</v>
          </cell>
          <cell r="BO210" t="str">
            <v>Vol.</v>
          </cell>
          <cell r="BP210" t="str">
            <v>Jumlah Harga</v>
          </cell>
          <cell r="BQ210" t="str">
            <v>Vol.</v>
          </cell>
          <cell r="BR210" t="str">
            <v>Jumlah Harga</v>
          </cell>
          <cell r="BS210" t="str">
            <v>Vol.</v>
          </cell>
          <cell r="BT210" t="str">
            <v>Jumlah Harga</v>
          </cell>
          <cell r="BU210" t="str">
            <v>Vol.</v>
          </cell>
          <cell r="BV210" t="str">
            <v>Jumlah Harga</v>
          </cell>
          <cell r="BW210" t="str">
            <v>Vol.</v>
          </cell>
          <cell r="BX210" t="str">
            <v>Jumlah Harga</v>
          </cell>
          <cell r="BY210" t="str">
            <v>Vol.</v>
          </cell>
          <cell r="BZ210" t="str">
            <v>Jumlah Harga</v>
          </cell>
          <cell r="CA210" t="str">
            <v>Vol.</v>
          </cell>
          <cell r="CB210" t="str">
            <v>Jumlah Harga</v>
          </cell>
          <cell r="CC210" t="str">
            <v>Vol.</v>
          </cell>
          <cell r="CD210" t="str">
            <v>Jumlah Harga</v>
          </cell>
          <cell r="CE210" t="str">
            <v>Vol.</v>
          </cell>
          <cell r="CF210" t="str">
            <v>Jumlah Harga</v>
          </cell>
          <cell r="CG210" t="str">
            <v>Vol.</v>
          </cell>
          <cell r="CH210" t="str">
            <v>Jumlah Harga</v>
          </cell>
          <cell r="CI210" t="str">
            <v>Vol.</v>
          </cell>
          <cell r="CJ210" t="str">
            <v>Jumlah Harga</v>
          </cell>
          <cell r="CK210" t="str">
            <v>Vol.</v>
          </cell>
          <cell r="CL210" t="str">
            <v>Jumlah Harga</v>
          </cell>
          <cell r="CM210" t="str">
            <v>Vol.</v>
          </cell>
          <cell r="CN210" t="str">
            <v>Jumlah Harga</v>
          </cell>
          <cell r="CO210" t="str">
            <v>Vol.</v>
          </cell>
          <cell r="CP210" t="str">
            <v>Jumlah Harga</v>
          </cell>
        </row>
        <row r="211">
          <cell r="A211" t="str">
            <v>I.</v>
          </cell>
          <cell r="B211" t="str">
            <v>UNIT BANGUNAN SMA</v>
          </cell>
          <cell r="D211" t="str">
            <v>Rp.</v>
          </cell>
          <cell r="E211" t="str">
            <v>Vol.</v>
          </cell>
          <cell r="F211" t="str">
            <v>Jumlah Harga</v>
          </cell>
          <cell r="G211" t="str">
            <v>Vol.</v>
          </cell>
          <cell r="H211" t="str">
            <v>Jumlah Harga</v>
          </cell>
          <cell r="I211" t="str">
            <v>Vol.</v>
          </cell>
          <cell r="J211" t="str">
            <v>Jumlah Harga</v>
          </cell>
          <cell r="K211" t="str">
            <v>Vol.</v>
          </cell>
          <cell r="L211" t="str">
            <v>Jumlah Harga</v>
          </cell>
          <cell r="M211" t="str">
            <v>Vol.</v>
          </cell>
          <cell r="N211" t="str">
            <v>Jumlah Harga</v>
          </cell>
          <cell r="O211" t="str">
            <v>Vol.</v>
          </cell>
          <cell r="P211" t="str">
            <v>Jumlah Harga</v>
          </cell>
          <cell r="Q211" t="str">
            <v>Vol.</v>
          </cell>
          <cell r="R211" t="str">
            <v>Jumlah Harga</v>
          </cell>
          <cell r="S211" t="str">
            <v>Vol.</v>
          </cell>
          <cell r="T211" t="str">
            <v>Jumlah Harga</v>
          </cell>
          <cell r="U211" t="str">
            <v>Vol.</v>
          </cell>
          <cell r="V211" t="str">
            <v>Jumlah Harga</v>
          </cell>
          <cell r="W211" t="str">
            <v>Vol.</v>
          </cell>
          <cell r="X211" t="str">
            <v>Jumlah Harga</v>
          </cell>
          <cell r="Y211" t="str">
            <v>Vol.</v>
          </cell>
          <cell r="Z211" t="str">
            <v>Jumlah Harga</v>
          </cell>
          <cell r="AA211" t="str">
            <v>Vol.</v>
          </cell>
          <cell r="AB211" t="str">
            <v>Jumlah Harga</v>
          </cell>
          <cell r="AC211" t="str">
            <v>Vol.</v>
          </cell>
          <cell r="AD211" t="str">
            <v>Jumlah Harga</v>
          </cell>
          <cell r="AE211" t="str">
            <v>Vol.</v>
          </cell>
          <cell r="AF211" t="str">
            <v>Jumlah Harga</v>
          </cell>
          <cell r="AG211" t="str">
            <v>Vol.</v>
          </cell>
          <cell r="AH211" t="str">
            <v>Jumlah Harga</v>
          </cell>
          <cell r="AI211" t="str">
            <v>Vol.</v>
          </cell>
          <cell r="AJ211" t="str">
            <v>Jumlah Harga</v>
          </cell>
          <cell r="AK211" t="str">
            <v>Vol.</v>
          </cell>
          <cell r="AL211" t="str">
            <v>Jumlah Harga</v>
          </cell>
          <cell r="AM211" t="str">
            <v>Vol.</v>
          </cell>
          <cell r="AN211" t="str">
            <v>Jumlah Harga</v>
          </cell>
          <cell r="AO211" t="str">
            <v>Vol.</v>
          </cell>
          <cell r="AP211" t="str">
            <v>Jumlah Harga</v>
          </cell>
          <cell r="AQ211" t="str">
            <v>Vol.</v>
          </cell>
          <cell r="AR211" t="str">
            <v>Jumlah Harga</v>
          </cell>
          <cell r="AS211" t="str">
            <v>Vol.</v>
          </cell>
          <cell r="AT211" t="str">
            <v>Jumlah Harga</v>
          </cell>
          <cell r="AU211" t="str">
            <v>Vol.</v>
          </cell>
          <cell r="AV211" t="str">
            <v>Jumlah Harga</v>
          </cell>
          <cell r="AW211" t="str">
            <v>Vol.</v>
          </cell>
          <cell r="AX211" t="str">
            <v>Jumlah Harga</v>
          </cell>
          <cell r="AY211" t="str">
            <v>Vol.</v>
          </cell>
          <cell r="AZ211" t="str">
            <v>Jumlah Harga</v>
          </cell>
          <cell r="BA211" t="str">
            <v>Vol.</v>
          </cell>
          <cell r="BB211" t="str">
            <v>Jumlah Harga</v>
          </cell>
          <cell r="BC211" t="str">
            <v>Vol.</v>
          </cell>
          <cell r="BD211" t="str">
            <v>Jumlah Harga</v>
          </cell>
          <cell r="BE211" t="str">
            <v>Vol.</v>
          </cell>
          <cell r="BF211" t="str">
            <v>Jumlah Harga</v>
          </cell>
          <cell r="BG211" t="str">
            <v>Vol.</v>
          </cell>
          <cell r="BH211" t="str">
            <v>Jumlah Harga</v>
          </cell>
          <cell r="BI211" t="str">
            <v>Vol.</v>
          </cell>
          <cell r="BJ211" t="str">
            <v>Jumlah Harga</v>
          </cell>
          <cell r="BK211" t="str">
            <v>Vol.</v>
          </cell>
          <cell r="BL211" t="str">
            <v>Jumlah Harga</v>
          </cell>
          <cell r="BM211" t="str">
            <v>Vol.</v>
          </cell>
          <cell r="BN211" t="str">
            <v>Jumlah Harga</v>
          </cell>
          <cell r="BO211" t="str">
            <v>Vol.</v>
          </cell>
          <cell r="BP211" t="str">
            <v>Jumlah Harga</v>
          </cell>
          <cell r="BQ211" t="str">
            <v>Vol.</v>
          </cell>
          <cell r="BR211" t="str">
            <v>Jumlah Harga</v>
          </cell>
          <cell r="BS211" t="str">
            <v>Vol.</v>
          </cell>
          <cell r="BT211" t="str">
            <v>Jumlah Harga</v>
          </cell>
          <cell r="BU211" t="str">
            <v>Vol.</v>
          </cell>
          <cell r="BV211" t="str">
            <v>Jumlah Harga</v>
          </cell>
          <cell r="BW211" t="str">
            <v>Vol.</v>
          </cell>
          <cell r="BX211" t="str">
            <v>Jumlah Harga</v>
          </cell>
          <cell r="BY211" t="str">
            <v>Vol.</v>
          </cell>
          <cell r="BZ211" t="str">
            <v>Jumlah Harga</v>
          </cell>
          <cell r="CA211" t="str">
            <v>Vol.</v>
          </cell>
          <cell r="CB211" t="str">
            <v>Jumlah Harga</v>
          </cell>
          <cell r="CC211" t="str">
            <v>Vol.</v>
          </cell>
          <cell r="CD211" t="str">
            <v>Jumlah Harga</v>
          </cell>
          <cell r="CE211" t="str">
            <v>Vol.</v>
          </cell>
          <cell r="CF211" t="str">
            <v>Jumlah Harga</v>
          </cell>
          <cell r="CG211" t="str">
            <v>Vol.</v>
          </cell>
          <cell r="CH211" t="str">
            <v>Jumlah Harga</v>
          </cell>
          <cell r="CI211" t="str">
            <v>Vol.</v>
          </cell>
          <cell r="CJ211" t="str">
            <v>Jumlah Harga</v>
          </cell>
          <cell r="CK211" t="str">
            <v>Vol.</v>
          </cell>
          <cell r="CL211" t="str">
            <v>Jumlah Harga</v>
          </cell>
          <cell r="CM211" t="str">
            <v>Vol.</v>
          </cell>
          <cell r="CN211" t="str">
            <v>Jumlah Harga</v>
          </cell>
          <cell r="CO211" t="str">
            <v>Vol.</v>
          </cell>
          <cell r="CP211" t="str">
            <v>Jumlah Harga</v>
          </cell>
        </row>
        <row r="212">
          <cell r="A212" t="str">
            <v>I.</v>
          </cell>
          <cell r="B212" t="str">
            <v>UNIT BANGUNAN SMA</v>
          </cell>
        </row>
        <row r="213">
          <cell r="A213">
            <v>1</v>
          </cell>
          <cell r="B213" t="str">
            <v>Kayu 6/12</v>
          </cell>
          <cell r="C213" t="str">
            <v>M3</v>
          </cell>
          <cell r="D213">
            <v>0</v>
          </cell>
          <cell r="E213">
            <v>0</v>
          </cell>
          <cell r="F213">
            <v>0</v>
          </cell>
          <cell r="G213">
            <v>0</v>
          </cell>
          <cell r="H213">
            <v>0</v>
          </cell>
          <cell r="I213">
            <v>0</v>
          </cell>
          <cell r="J213">
            <v>0</v>
          </cell>
          <cell r="K213">
            <v>3.6144000000000003E-2</v>
          </cell>
          <cell r="L213">
            <v>0</v>
          </cell>
          <cell r="M213">
            <v>0</v>
          </cell>
          <cell r="N213">
            <v>0</v>
          </cell>
          <cell r="O213">
            <v>0</v>
          </cell>
          <cell r="P213">
            <v>0</v>
          </cell>
          <cell r="Q213">
            <v>6.0400000000000011E-3</v>
          </cell>
          <cell r="R213">
            <v>0</v>
          </cell>
          <cell r="S213">
            <v>2.8E-3</v>
          </cell>
          <cell r="T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1.12E-2</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row>
        <row r="214">
          <cell r="A214">
            <v>2</v>
          </cell>
          <cell r="B214" t="str">
            <v>Kayu Slimar 3/10</v>
          </cell>
          <cell r="C214" t="str">
            <v>M3</v>
          </cell>
          <cell r="D214">
            <v>0</v>
          </cell>
          <cell r="E214">
            <v>0</v>
          </cell>
          <cell r="F214">
            <v>0</v>
          </cell>
          <cell r="G214">
            <v>0</v>
          </cell>
          <cell r="H214">
            <v>0</v>
          </cell>
          <cell r="I214">
            <v>0</v>
          </cell>
          <cell r="J214">
            <v>0</v>
          </cell>
          <cell r="K214">
            <v>1.4159999999999999E-2</v>
          </cell>
          <cell r="L214">
            <v>0</v>
          </cell>
          <cell r="M214">
            <v>0</v>
          </cell>
          <cell r="N214">
            <v>0</v>
          </cell>
          <cell r="O214">
            <v>0</v>
          </cell>
          <cell r="P214">
            <v>0</v>
          </cell>
          <cell r="Q214">
            <v>0</v>
          </cell>
          <cell r="R214">
            <v>0</v>
          </cell>
          <cell r="S214">
            <v>2.8E-3</v>
          </cell>
          <cell r="T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3.2000000000000006E-3</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row>
        <row r="215">
          <cell r="A215">
            <v>3</v>
          </cell>
          <cell r="B215" t="str">
            <v>Kayu Slimar 3/15</v>
          </cell>
          <cell r="C215" t="str">
            <v>M3</v>
          </cell>
          <cell r="D215">
            <v>0</v>
          </cell>
          <cell r="E215">
            <v>0</v>
          </cell>
          <cell r="F215">
            <v>0</v>
          </cell>
          <cell r="G215">
            <v>0</v>
          </cell>
          <cell r="H215">
            <v>0</v>
          </cell>
          <cell r="I215">
            <v>0</v>
          </cell>
          <cell r="J215">
            <v>0</v>
          </cell>
          <cell r="K215">
            <v>2.6999999999999997E-3</v>
          </cell>
          <cell r="L215">
            <v>0</v>
          </cell>
          <cell r="M215">
            <v>0</v>
          </cell>
          <cell r="N215">
            <v>0</v>
          </cell>
          <cell r="O215">
            <v>0</v>
          </cell>
          <cell r="P215">
            <v>0</v>
          </cell>
          <cell r="Q215">
            <v>1.28</v>
          </cell>
          <cell r="R215">
            <v>0</v>
          </cell>
          <cell r="S215">
            <v>2.8</v>
          </cell>
          <cell r="T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3.2</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row>
        <row r="216">
          <cell r="A216">
            <v>4</v>
          </cell>
          <cell r="B216" t="str">
            <v>Kayu Slimar 3/20</v>
          </cell>
          <cell r="C216" t="str">
            <v>M3</v>
          </cell>
          <cell r="D216">
            <v>0</v>
          </cell>
          <cell r="E216">
            <v>0</v>
          </cell>
          <cell r="F216">
            <v>0</v>
          </cell>
          <cell r="G216">
            <v>0</v>
          </cell>
          <cell r="H216">
            <v>0</v>
          </cell>
          <cell r="I216">
            <v>0</v>
          </cell>
          <cell r="J216">
            <v>0</v>
          </cell>
          <cell r="K216">
            <v>3.5999999999999999E-3</v>
          </cell>
          <cell r="L216">
            <v>0</v>
          </cell>
          <cell r="M216">
            <v>0</v>
          </cell>
          <cell r="N216">
            <v>0</v>
          </cell>
          <cell r="O216">
            <v>1.44</v>
          </cell>
          <cell r="P216">
            <v>0</v>
          </cell>
          <cell r="Q216">
            <v>1.1000000000000001</v>
          </cell>
          <cell r="R216">
            <v>0</v>
          </cell>
          <cell r="S216">
            <v>1.2949999999999999</v>
          </cell>
          <cell r="T216">
            <v>0</v>
          </cell>
          <cell r="U216">
            <v>0.48</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P216">
            <v>0</v>
          </cell>
          <cell r="AQ216">
            <v>0</v>
          </cell>
          <cell r="AR216">
            <v>0</v>
          </cell>
          <cell r="AS216">
            <v>0</v>
          </cell>
          <cell r="AT216">
            <v>0</v>
          </cell>
          <cell r="AU216">
            <v>0</v>
          </cell>
          <cell r="AV216">
            <v>0</v>
          </cell>
          <cell r="AW216">
            <v>3.6</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0</v>
          </cell>
          <cell r="CP216">
            <v>0</v>
          </cell>
        </row>
        <row r="217">
          <cell r="A217">
            <v>5</v>
          </cell>
          <cell r="B217" t="str">
            <v>Kayu 2/10</v>
          </cell>
          <cell r="C217" t="str">
            <v>M3</v>
          </cell>
          <cell r="D217">
            <v>0</v>
          </cell>
          <cell r="E217">
            <v>0</v>
          </cell>
          <cell r="F217">
            <v>0</v>
          </cell>
          <cell r="G217">
            <v>0</v>
          </cell>
          <cell r="H217">
            <v>0</v>
          </cell>
          <cell r="I217">
            <v>0</v>
          </cell>
          <cell r="J217">
            <v>0</v>
          </cell>
          <cell r="K217">
            <v>5.4000000000000012E-3</v>
          </cell>
          <cell r="L217">
            <v>0</v>
          </cell>
          <cell r="M217">
            <v>0</v>
          </cell>
          <cell r="N217">
            <v>0</v>
          </cell>
          <cell r="O217">
            <v>0</v>
          </cell>
          <cell r="P217">
            <v>0</v>
          </cell>
          <cell r="Q217">
            <v>3.5999999999999996</v>
          </cell>
          <cell r="R217">
            <v>0</v>
          </cell>
          <cell r="S217">
            <v>4.5999999999999996</v>
          </cell>
          <cell r="T217">
            <v>0</v>
          </cell>
          <cell r="V217">
            <v>0</v>
          </cell>
          <cell r="W217">
            <v>12.399999999999999</v>
          </cell>
          <cell r="X217">
            <v>0</v>
          </cell>
          <cell r="Y217">
            <v>12.399999999999999</v>
          </cell>
          <cell r="Z217">
            <v>0</v>
          </cell>
          <cell r="AA217">
            <v>17.399999999999999</v>
          </cell>
          <cell r="AB217">
            <v>0</v>
          </cell>
          <cell r="AC217">
            <v>17.399999999999999</v>
          </cell>
          <cell r="AD217">
            <v>0</v>
          </cell>
          <cell r="AE217">
            <v>9.3500000000000014</v>
          </cell>
          <cell r="AF217">
            <v>0</v>
          </cell>
          <cell r="AG217">
            <v>4</v>
          </cell>
          <cell r="AH217">
            <v>0</v>
          </cell>
          <cell r="AI217">
            <v>6.3999999999999995</v>
          </cell>
          <cell r="AJ217">
            <v>0</v>
          </cell>
          <cell r="AK217">
            <v>5.9</v>
          </cell>
          <cell r="AL217">
            <v>0</v>
          </cell>
          <cell r="AM217">
            <v>46.699999999999996</v>
          </cell>
          <cell r="AN217">
            <v>0</v>
          </cell>
          <cell r="AO217">
            <v>4</v>
          </cell>
          <cell r="AP217">
            <v>0</v>
          </cell>
          <cell r="AQ217">
            <v>3.2</v>
          </cell>
          <cell r="AR217">
            <v>0</v>
          </cell>
          <cell r="AS217">
            <v>0</v>
          </cell>
          <cell r="AT217">
            <v>0</v>
          </cell>
          <cell r="AU217">
            <v>0</v>
          </cell>
          <cell r="AV217">
            <v>0</v>
          </cell>
          <cell r="AW217">
            <v>4.9000000000000004</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row>
        <row r="218">
          <cell r="A218">
            <v>6</v>
          </cell>
          <cell r="B218" t="str">
            <v>Panil t = 3 cm</v>
          </cell>
          <cell r="C218" t="str">
            <v>M2</v>
          </cell>
          <cell r="D218">
            <v>0</v>
          </cell>
          <cell r="E218">
            <v>0</v>
          </cell>
          <cell r="F218">
            <v>0</v>
          </cell>
          <cell r="G218">
            <v>0</v>
          </cell>
          <cell r="H218">
            <v>0</v>
          </cell>
          <cell r="I218">
            <v>0</v>
          </cell>
          <cell r="J218">
            <v>0</v>
          </cell>
          <cell r="K218">
            <v>0.49500000000000005</v>
          </cell>
          <cell r="L218">
            <v>0</v>
          </cell>
          <cell r="M218">
            <v>0</v>
          </cell>
          <cell r="N218">
            <v>0</v>
          </cell>
          <cell r="O218">
            <v>0</v>
          </cell>
          <cell r="P218">
            <v>0</v>
          </cell>
          <cell r="Q218">
            <v>0</v>
          </cell>
          <cell r="R218">
            <v>0</v>
          </cell>
          <cell r="T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row>
        <row r="219">
          <cell r="A219">
            <v>1</v>
          </cell>
          <cell r="B219" t="str">
            <v>Kusen Aluminium 5/10</v>
          </cell>
          <cell r="C219" t="str">
            <v>M'</v>
          </cell>
          <cell r="D219">
            <v>124948</v>
          </cell>
          <cell r="E219">
            <v>6.1999999999999993</v>
          </cell>
          <cell r="F219">
            <v>774677.59999999986</v>
          </cell>
          <cell r="G219">
            <v>0</v>
          </cell>
          <cell r="H219">
            <v>0</v>
          </cell>
          <cell r="I219">
            <v>0</v>
          </cell>
          <cell r="J219">
            <v>0</v>
          </cell>
          <cell r="K219">
            <v>5</v>
          </cell>
          <cell r="L219">
            <v>624740</v>
          </cell>
          <cell r="M219">
            <v>6.1999999999999993</v>
          </cell>
          <cell r="N219">
            <v>774677.59999999986</v>
          </cell>
          <cell r="O219">
            <v>0</v>
          </cell>
          <cell r="P219">
            <v>0</v>
          </cell>
          <cell r="Q219">
            <v>0</v>
          </cell>
          <cell r="R219">
            <v>0</v>
          </cell>
          <cell r="T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row>
        <row r="220">
          <cell r="A220">
            <v>2</v>
          </cell>
          <cell r="B220" t="str">
            <v xml:space="preserve">Rangka Daun Jendela Alumunium </v>
          </cell>
          <cell r="C220" t="str">
            <v>M'</v>
          </cell>
          <cell r="D220">
            <v>124948</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row>
        <row r="221">
          <cell r="A221">
            <v>3</v>
          </cell>
          <cell r="B221" t="str">
            <v>Rangka Tiang Sirip Alumunium 1/1 Putih</v>
          </cell>
          <cell r="C221" t="str">
            <v>M'</v>
          </cell>
          <cell r="D221">
            <v>62474</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T221">
            <v>0</v>
          </cell>
          <cell r="V221">
            <v>0</v>
          </cell>
          <cell r="W221">
            <v>2.8499999999999996</v>
          </cell>
          <cell r="X221">
            <v>178050.89999999997</v>
          </cell>
          <cell r="Y221">
            <v>2.8499999999999996</v>
          </cell>
          <cell r="Z221">
            <v>178050.89999999997</v>
          </cell>
          <cell r="AA221">
            <v>2.8499999999999996</v>
          </cell>
          <cell r="AB221">
            <v>178050.89999999997</v>
          </cell>
          <cell r="AC221">
            <v>2.8499999999999996</v>
          </cell>
          <cell r="AD221">
            <v>178050.89999999997</v>
          </cell>
          <cell r="AE221">
            <v>0</v>
          </cell>
          <cell r="AF221">
            <v>0</v>
          </cell>
          <cell r="AG221">
            <v>0</v>
          </cell>
          <cell r="AH221">
            <v>0</v>
          </cell>
          <cell r="AI221">
            <v>0</v>
          </cell>
          <cell r="AJ221">
            <v>0</v>
          </cell>
          <cell r="AK221">
            <v>1.85</v>
          </cell>
          <cell r="AL221">
            <v>115576.90000000001</v>
          </cell>
          <cell r="AM221">
            <v>16.600000000000001</v>
          </cell>
          <cell r="AN221">
            <v>1037068.4000000001</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row>
        <row r="222">
          <cell r="A222">
            <v>4</v>
          </cell>
          <cell r="B222" t="str">
            <v>Pasang Shading Sirip Alumunium 0.2/10 +Rangka</v>
          </cell>
          <cell r="C222" t="str">
            <v>M2</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T222">
            <v>0</v>
          </cell>
          <cell r="V222">
            <v>0</v>
          </cell>
          <cell r="W222">
            <v>0.50749999999999995</v>
          </cell>
          <cell r="X222">
            <v>0</v>
          </cell>
          <cell r="Y222">
            <v>0.50749999999999995</v>
          </cell>
          <cell r="Z222">
            <v>0</v>
          </cell>
          <cell r="AA222">
            <v>0.50749999999999995</v>
          </cell>
          <cell r="AB222">
            <v>0</v>
          </cell>
          <cell r="AC222">
            <v>0.50749999999999995</v>
          </cell>
          <cell r="AD222">
            <v>0</v>
          </cell>
          <cell r="AE222">
            <v>0</v>
          </cell>
          <cell r="AF222">
            <v>0</v>
          </cell>
          <cell r="AG222">
            <v>0</v>
          </cell>
          <cell r="AH222">
            <v>0</v>
          </cell>
          <cell r="AI222">
            <v>0</v>
          </cell>
          <cell r="AJ222">
            <v>0</v>
          </cell>
          <cell r="AK222">
            <v>0.14499999999999999</v>
          </cell>
          <cell r="AL222">
            <v>0</v>
          </cell>
          <cell r="AM222">
            <v>1.9249999999999996</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v>0</v>
          </cell>
          <cell r="CM222">
            <v>0</v>
          </cell>
          <cell r="CN222">
            <v>0</v>
          </cell>
          <cell r="CO222">
            <v>0</v>
          </cell>
          <cell r="CP222">
            <v>0</v>
          </cell>
          <cell r="CQ222">
            <v>0</v>
          </cell>
          <cell r="CR222">
            <v>0</v>
          </cell>
          <cell r="CS222">
            <v>0</v>
          </cell>
          <cell r="CT222">
            <v>0</v>
          </cell>
          <cell r="CU222">
            <v>0</v>
          </cell>
          <cell r="CV222">
            <v>0</v>
          </cell>
          <cell r="CW222">
            <v>0</v>
          </cell>
          <cell r="CX222">
            <v>0</v>
          </cell>
        </row>
        <row r="223">
          <cell r="A223">
            <v>5</v>
          </cell>
          <cell r="B223" t="str">
            <v>Daun Pintu Panil Kamper</v>
          </cell>
          <cell r="C223" t="str">
            <v>bh</v>
          </cell>
          <cell r="D223">
            <v>550000</v>
          </cell>
          <cell r="E223">
            <v>0</v>
          </cell>
          <cell r="F223">
            <v>0</v>
          </cell>
          <cell r="G223">
            <v>0</v>
          </cell>
          <cell r="H223">
            <v>0</v>
          </cell>
          <cell r="I223">
            <v>0</v>
          </cell>
          <cell r="J223">
            <v>0</v>
          </cell>
          <cell r="K223">
            <v>1.2</v>
          </cell>
          <cell r="L223">
            <v>660000</v>
          </cell>
          <cell r="M223">
            <v>0</v>
          </cell>
          <cell r="N223">
            <v>0</v>
          </cell>
          <cell r="O223">
            <v>0</v>
          </cell>
          <cell r="P223">
            <v>0</v>
          </cell>
          <cell r="Q223">
            <v>2.4E-2</v>
          </cell>
          <cell r="R223">
            <v>13200</v>
          </cell>
          <cell r="S223">
            <v>1.2E-2</v>
          </cell>
          <cell r="T223">
            <v>6600</v>
          </cell>
          <cell r="U223">
            <v>6.339599999999999</v>
          </cell>
          <cell r="V223">
            <v>3486779.9999999995</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P223">
            <v>0</v>
          </cell>
          <cell r="AQ223">
            <v>0</v>
          </cell>
          <cell r="AR223">
            <v>0</v>
          </cell>
          <cell r="AS223">
            <v>0</v>
          </cell>
          <cell r="AT223">
            <v>0</v>
          </cell>
          <cell r="AU223">
            <v>0</v>
          </cell>
          <cell r="AV223">
            <v>0</v>
          </cell>
          <cell r="AW223">
            <v>2.1599999999999998E-2</v>
          </cell>
          <cell r="AX223">
            <v>11879.999999999998</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row>
        <row r="224">
          <cell r="A224">
            <v>6</v>
          </cell>
          <cell r="B224" t="str">
            <v>Plat besi t = 2 mm</v>
          </cell>
          <cell r="C224" t="str">
            <v>Kg</v>
          </cell>
          <cell r="D224">
            <v>0</v>
          </cell>
          <cell r="E224">
            <v>0</v>
          </cell>
          <cell r="F224">
            <v>0</v>
          </cell>
          <cell r="G224">
            <v>107.44703200000002</v>
          </cell>
          <cell r="H224">
            <v>0</v>
          </cell>
          <cell r="I224">
            <v>57.085200000000007</v>
          </cell>
          <cell r="J224">
            <v>0</v>
          </cell>
          <cell r="K224">
            <v>0</v>
          </cell>
          <cell r="L224">
            <v>0</v>
          </cell>
          <cell r="M224">
            <v>0</v>
          </cell>
          <cell r="N224">
            <v>0</v>
          </cell>
          <cell r="O224">
            <v>0</v>
          </cell>
          <cell r="P224">
            <v>0</v>
          </cell>
          <cell r="Q224">
            <v>0</v>
          </cell>
          <cell r="R224">
            <v>0</v>
          </cell>
          <cell r="T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R224">
            <v>0</v>
          </cell>
          <cell r="CS224">
            <v>0</v>
          </cell>
          <cell r="CT224">
            <v>0</v>
          </cell>
          <cell r="CU224">
            <v>0</v>
          </cell>
          <cell r="CV224">
            <v>0</v>
          </cell>
          <cell r="CW224">
            <v>0</v>
          </cell>
          <cell r="CX224">
            <v>0</v>
          </cell>
        </row>
        <row r="225">
          <cell r="A225">
            <v>7</v>
          </cell>
          <cell r="B225" t="str">
            <v>C 40.40.2  (pesan khusus)</v>
          </cell>
          <cell r="C225" t="str">
            <v>Kg</v>
          </cell>
          <cell r="D225">
            <v>14122.3</v>
          </cell>
          <cell r="E225">
            <v>0</v>
          </cell>
          <cell r="F225">
            <v>0</v>
          </cell>
          <cell r="G225">
            <v>86.141440000000003</v>
          </cell>
          <cell r="H225">
            <v>1216515.2581120001</v>
          </cell>
          <cell r="I225">
            <v>42.56</v>
          </cell>
          <cell r="J225">
            <v>601045.08799999999</v>
          </cell>
          <cell r="K225">
            <v>0</v>
          </cell>
          <cell r="L225">
            <v>0</v>
          </cell>
          <cell r="M225">
            <v>0</v>
          </cell>
          <cell r="N225">
            <v>0</v>
          </cell>
          <cell r="O225">
            <v>3.5711999999999997</v>
          </cell>
          <cell r="P225">
            <v>50433.557759999996</v>
          </cell>
          <cell r="Q225">
            <v>0</v>
          </cell>
          <cell r="R225">
            <v>0</v>
          </cell>
          <cell r="T225">
            <v>0</v>
          </cell>
          <cell r="U225">
            <v>0.90624000000000005</v>
          </cell>
          <cell r="V225">
            <v>12798.193152</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v>0</v>
          </cell>
          <cell r="CV225">
            <v>0</v>
          </cell>
          <cell r="CW225">
            <v>0</v>
          </cell>
          <cell r="CX225">
            <v>0</v>
          </cell>
        </row>
        <row r="226">
          <cell r="A226">
            <v>8</v>
          </cell>
          <cell r="B226" t="str">
            <v>Handle besi dia 16 mm</v>
          </cell>
          <cell r="C226" t="str">
            <v>Set</v>
          </cell>
          <cell r="D226">
            <v>129652.5</v>
          </cell>
          <cell r="E226">
            <v>0</v>
          </cell>
          <cell r="F226">
            <v>0</v>
          </cell>
          <cell r="G226">
            <v>2</v>
          </cell>
          <cell r="H226">
            <v>259305</v>
          </cell>
          <cell r="I226">
            <v>1</v>
          </cell>
          <cell r="J226">
            <v>129652.5</v>
          </cell>
          <cell r="K226">
            <v>0</v>
          </cell>
          <cell r="L226">
            <v>0</v>
          </cell>
          <cell r="M226">
            <v>0</v>
          </cell>
          <cell r="N226">
            <v>0</v>
          </cell>
          <cell r="O226">
            <v>0</v>
          </cell>
          <cell r="P226">
            <v>0</v>
          </cell>
          <cell r="Q226">
            <v>0</v>
          </cell>
          <cell r="R226">
            <v>0</v>
          </cell>
          <cell r="T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row>
        <row r="227">
          <cell r="A227">
            <v>9</v>
          </cell>
          <cell r="B227" t="str">
            <v>Hendle pintu Stainless</v>
          </cell>
          <cell r="C227" t="str">
            <v>Set</v>
          </cell>
          <cell r="D227">
            <v>261652.5</v>
          </cell>
          <cell r="E227">
            <v>2</v>
          </cell>
          <cell r="F227">
            <v>523305</v>
          </cell>
          <cell r="G227">
            <v>0</v>
          </cell>
          <cell r="H227">
            <v>0</v>
          </cell>
          <cell r="I227">
            <v>0</v>
          </cell>
          <cell r="J227">
            <v>0</v>
          </cell>
          <cell r="K227">
            <v>0</v>
          </cell>
          <cell r="L227">
            <v>0</v>
          </cell>
          <cell r="M227">
            <v>2</v>
          </cell>
          <cell r="N227">
            <v>523305</v>
          </cell>
          <cell r="O227">
            <v>2</v>
          </cell>
          <cell r="P227">
            <v>523305</v>
          </cell>
          <cell r="Q227">
            <v>0</v>
          </cell>
          <cell r="R227">
            <v>0</v>
          </cell>
          <cell r="T227">
            <v>0</v>
          </cell>
          <cell r="U227">
            <v>2</v>
          </cell>
          <cell r="V227">
            <v>523305</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row>
        <row r="228">
          <cell r="A228">
            <v>10</v>
          </cell>
          <cell r="B228" t="str">
            <v>Kunci Pintu Handle stainleess (dorma)</v>
          </cell>
          <cell r="C228" t="str">
            <v>Set</v>
          </cell>
          <cell r="D228">
            <v>650000</v>
          </cell>
          <cell r="E228">
            <v>0</v>
          </cell>
          <cell r="F228">
            <v>0</v>
          </cell>
          <cell r="G228">
            <v>0</v>
          </cell>
          <cell r="H228">
            <v>0</v>
          </cell>
          <cell r="I228">
            <v>0</v>
          </cell>
          <cell r="J228">
            <v>0</v>
          </cell>
          <cell r="K228">
            <v>0</v>
          </cell>
          <cell r="L228">
            <v>0</v>
          </cell>
          <cell r="M228">
            <v>0</v>
          </cell>
          <cell r="N228">
            <v>0</v>
          </cell>
          <cell r="O228">
            <v>2</v>
          </cell>
          <cell r="P228">
            <v>1300000</v>
          </cell>
          <cell r="Q228">
            <v>0</v>
          </cell>
          <cell r="R228">
            <v>0</v>
          </cell>
          <cell r="T228">
            <v>0</v>
          </cell>
          <cell r="U228">
            <v>2</v>
          </cell>
          <cell r="V228">
            <v>1300000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0</v>
          </cell>
          <cell r="CP228">
            <v>0</v>
          </cell>
          <cell r="CQ228">
            <v>0</v>
          </cell>
          <cell r="CR228">
            <v>0</v>
          </cell>
          <cell r="CS228">
            <v>0</v>
          </cell>
          <cell r="CT228">
            <v>0</v>
          </cell>
          <cell r="CU228">
            <v>0</v>
          </cell>
          <cell r="CV228">
            <v>0</v>
          </cell>
          <cell r="CW228">
            <v>0</v>
          </cell>
          <cell r="CX228">
            <v>0</v>
          </cell>
        </row>
        <row r="229">
          <cell r="A229">
            <v>11</v>
          </cell>
          <cell r="B229" t="str">
            <v>Kunci tanam Antik</v>
          </cell>
          <cell r="C229" t="str">
            <v>Set</v>
          </cell>
          <cell r="D229">
            <v>265000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T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row>
        <row r="230">
          <cell r="A230">
            <v>12</v>
          </cell>
          <cell r="B230" t="str">
            <v>Kunci tanam biasa</v>
          </cell>
          <cell r="C230" t="str">
            <v>Set</v>
          </cell>
          <cell r="D230">
            <v>168565</v>
          </cell>
          <cell r="E230">
            <v>0</v>
          </cell>
          <cell r="F230">
            <v>0</v>
          </cell>
          <cell r="G230">
            <v>1</v>
          </cell>
          <cell r="H230">
            <v>168565</v>
          </cell>
          <cell r="I230">
            <v>1</v>
          </cell>
          <cell r="J230">
            <v>168565</v>
          </cell>
          <cell r="K230">
            <v>1</v>
          </cell>
          <cell r="L230">
            <v>168565</v>
          </cell>
          <cell r="M230">
            <v>0</v>
          </cell>
          <cell r="N230">
            <v>0</v>
          </cell>
          <cell r="O230">
            <v>0</v>
          </cell>
          <cell r="P230">
            <v>0</v>
          </cell>
          <cell r="Q230">
            <v>0</v>
          </cell>
          <cell r="R230">
            <v>0</v>
          </cell>
          <cell r="S230">
            <v>1</v>
          </cell>
          <cell r="T230">
            <v>168565</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row>
        <row r="231">
          <cell r="A231">
            <v>13</v>
          </cell>
          <cell r="B231" t="str">
            <v>Kunci Silinder</v>
          </cell>
          <cell r="C231" t="str">
            <v>Set</v>
          </cell>
          <cell r="D231">
            <v>217900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T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row>
        <row r="232">
          <cell r="A232">
            <v>14</v>
          </cell>
          <cell r="B232" t="str">
            <v>Kunci Selot</v>
          </cell>
          <cell r="C232" t="str">
            <v>Set</v>
          </cell>
          <cell r="D232">
            <v>48300</v>
          </cell>
          <cell r="E232">
            <v>0</v>
          </cell>
          <cell r="F232">
            <v>0</v>
          </cell>
          <cell r="G232">
            <v>0</v>
          </cell>
          <cell r="H232">
            <v>0</v>
          </cell>
          <cell r="I232">
            <v>0</v>
          </cell>
          <cell r="J232">
            <v>0</v>
          </cell>
          <cell r="K232">
            <v>0</v>
          </cell>
          <cell r="L232">
            <v>0</v>
          </cell>
          <cell r="M232">
            <v>0</v>
          </cell>
          <cell r="N232">
            <v>0</v>
          </cell>
          <cell r="O232">
            <v>0</v>
          </cell>
          <cell r="P232">
            <v>0</v>
          </cell>
          <cell r="Q232">
            <v>1</v>
          </cell>
          <cell r="R232">
            <v>48300</v>
          </cell>
          <cell r="S232">
            <v>1</v>
          </cell>
          <cell r="T232">
            <v>48300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1</v>
          </cell>
          <cell r="AX232">
            <v>48300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row>
        <row r="233">
          <cell r="A233">
            <v>15</v>
          </cell>
          <cell r="B233" t="str">
            <v>Engsel jendela</v>
          </cell>
          <cell r="C233" t="str">
            <v>Bh</v>
          </cell>
          <cell r="D233">
            <v>16600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T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row>
        <row r="234">
          <cell r="A234">
            <v>16</v>
          </cell>
          <cell r="B234" t="str">
            <v>Engsel pintu</v>
          </cell>
          <cell r="C234" t="str">
            <v>Bh</v>
          </cell>
          <cell r="D234">
            <v>44395.75</v>
          </cell>
          <cell r="E234">
            <v>4</v>
          </cell>
          <cell r="F234">
            <v>177583</v>
          </cell>
          <cell r="G234">
            <v>0</v>
          </cell>
          <cell r="H234">
            <v>0</v>
          </cell>
          <cell r="I234">
            <v>0</v>
          </cell>
          <cell r="J234">
            <v>0</v>
          </cell>
          <cell r="K234">
            <v>3</v>
          </cell>
          <cell r="L234">
            <v>133187.25</v>
          </cell>
          <cell r="M234">
            <v>4</v>
          </cell>
          <cell r="N234">
            <v>177583</v>
          </cell>
          <cell r="O234">
            <v>0</v>
          </cell>
          <cell r="P234">
            <v>0</v>
          </cell>
          <cell r="Q234">
            <v>2</v>
          </cell>
          <cell r="R234">
            <v>88791.5</v>
          </cell>
          <cell r="S234">
            <v>2</v>
          </cell>
          <cell r="T234">
            <v>88791.5</v>
          </cell>
          <cell r="U234">
            <v>6</v>
          </cell>
          <cell r="V234">
            <v>266374.5</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P234">
            <v>0</v>
          </cell>
          <cell r="AQ234">
            <v>0</v>
          </cell>
          <cell r="AR234">
            <v>0</v>
          </cell>
          <cell r="AS234">
            <v>0</v>
          </cell>
          <cell r="AT234">
            <v>0</v>
          </cell>
          <cell r="AU234">
            <v>0</v>
          </cell>
          <cell r="AV234">
            <v>0</v>
          </cell>
          <cell r="AW234">
            <v>2</v>
          </cell>
          <cell r="AX234">
            <v>88791.5</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v>0</v>
          </cell>
          <cell r="CM234">
            <v>0</v>
          </cell>
          <cell r="CN234">
            <v>0</v>
          </cell>
          <cell r="CO234">
            <v>0</v>
          </cell>
          <cell r="CP234">
            <v>0</v>
          </cell>
        </row>
        <row r="235">
          <cell r="A235">
            <v>17</v>
          </cell>
          <cell r="B235" t="str">
            <v>Engsel Pintu dari pipa besi dia 2 cm</v>
          </cell>
          <cell r="C235" t="str">
            <v>Bh</v>
          </cell>
          <cell r="D235">
            <v>66593.625</v>
          </cell>
          <cell r="E235">
            <v>0</v>
          </cell>
          <cell r="F235">
            <v>0</v>
          </cell>
          <cell r="G235">
            <v>4</v>
          </cell>
          <cell r="H235">
            <v>266374.5</v>
          </cell>
          <cell r="I235">
            <v>2</v>
          </cell>
          <cell r="J235">
            <v>133187.25</v>
          </cell>
          <cell r="K235">
            <v>0</v>
          </cell>
          <cell r="L235">
            <v>0</v>
          </cell>
          <cell r="M235">
            <v>0</v>
          </cell>
          <cell r="N235">
            <v>0</v>
          </cell>
          <cell r="O235">
            <v>0</v>
          </cell>
          <cell r="P235">
            <v>0</v>
          </cell>
          <cell r="Q235">
            <v>0</v>
          </cell>
          <cell r="R235">
            <v>0</v>
          </cell>
          <cell r="T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cell r="BY235">
            <v>0</v>
          </cell>
          <cell r="BZ235">
            <v>0</v>
          </cell>
          <cell r="CA235">
            <v>0</v>
          </cell>
          <cell r="CB235">
            <v>0</v>
          </cell>
          <cell r="CC235">
            <v>0</v>
          </cell>
          <cell r="CD235">
            <v>0</v>
          </cell>
          <cell r="CE235">
            <v>0</v>
          </cell>
          <cell r="CF235">
            <v>0</v>
          </cell>
          <cell r="CG235">
            <v>0</v>
          </cell>
          <cell r="CH235">
            <v>0</v>
          </cell>
          <cell r="CI235">
            <v>0</v>
          </cell>
          <cell r="CJ235">
            <v>0</v>
          </cell>
          <cell r="CK235">
            <v>0</v>
          </cell>
          <cell r="CL235">
            <v>0</v>
          </cell>
          <cell r="CM235">
            <v>0</v>
          </cell>
          <cell r="CN235">
            <v>0</v>
          </cell>
          <cell r="CO235">
            <v>0</v>
          </cell>
          <cell r="CP235">
            <v>0</v>
          </cell>
          <cell r="CQ235">
            <v>0</v>
          </cell>
          <cell r="CR235">
            <v>0</v>
          </cell>
          <cell r="CS235">
            <v>0</v>
          </cell>
          <cell r="CT235">
            <v>0</v>
          </cell>
          <cell r="CU235">
            <v>0</v>
          </cell>
          <cell r="CV235">
            <v>0</v>
          </cell>
          <cell r="CW235">
            <v>0</v>
          </cell>
          <cell r="CX235">
            <v>0</v>
          </cell>
        </row>
        <row r="236">
          <cell r="A236">
            <v>18</v>
          </cell>
          <cell r="B236" t="str">
            <v>Kait/hak angin</v>
          </cell>
          <cell r="C236" t="str">
            <v>Set</v>
          </cell>
          <cell r="D236">
            <v>27000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row>
        <row r="237">
          <cell r="A237">
            <v>19</v>
          </cell>
          <cell r="B237" t="str">
            <v>Grendel pintu kuningan</v>
          </cell>
          <cell r="C237" t="str">
            <v>Bh</v>
          </cell>
          <cell r="D237">
            <v>125000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R237">
            <v>0</v>
          </cell>
          <cell r="CS237">
            <v>0</v>
          </cell>
          <cell r="CT237">
            <v>0</v>
          </cell>
          <cell r="CU237">
            <v>0</v>
          </cell>
          <cell r="CV237">
            <v>0</v>
          </cell>
          <cell r="CW237">
            <v>0</v>
          </cell>
          <cell r="CX237">
            <v>0</v>
          </cell>
        </row>
        <row r="238">
          <cell r="A238">
            <v>20</v>
          </cell>
          <cell r="B238" t="str">
            <v xml:space="preserve">Grendel jendela </v>
          </cell>
          <cell r="C238" t="str">
            <v>Bh</v>
          </cell>
          <cell r="D238">
            <v>8100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0</v>
          </cell>
          <cell r="CG238">
            <v>0</v>
          </cell>
          <cell r="CH238">
            <v>0</v>
          </cell>
          <cell r="CI238">
            <v>0</v>
          </cell>
          <cell r="CJ238">
            <v>0</v>
          </cell>
          <cell r="CK238">
            <v>0</v>
          </cell>
          <cell r="CL238">
            <v>0</v>
          </cell>
          <cell r="CM238">
            <v>0</v>
          </cell>
          <cell r="CN238">
            <v>0</v>
          </cell>
          <cell r="CO238">
            <v>0</v>
          </cell>
          <cell r="CP238">
            <v>0</v>
          </cell>
          <cell r="CQ238">
            <v>0</v>
          </cell>
          <cell r="CR238">
            <v>0</v>
          </cell>
          <cell r="CS238">
            <v>0</v>
          </cell>
          <cell r="CT238">
            <v>0</v>
          </cell>
          <cell r="CU238">
            <v>0</v>
          </cell>
          <cell r="CV238">
            <v>0</v>
          </cell>
          <cell r="CW238">
            <v>0</v>
          </cell>
          <cell r="CX238">
            <v>0</v>
          </cell>
        </row>
        <row r="239">
          <cell r="A239">
            <v>21</v>
          </cell>
          <cell r="B239" t="str">
            <v>Grendel pintu</v>
          </cell>
          <cell r="C239" t="str">
            <v>Bh</v>
          </cell>
          <cell r="D239">
            <v>14200</v>
          </cell>
          <cell r="E239">
            <v>0</v>
          </cell>
          <cell r="F239">
            <v>0</v>
          </cell>
          <cell r="G239">
            <v>0</v>
          </cell>
          <cell r="H239">
            <v>0</v>
          </cell>
          <cell r="I239">
            <v>0</v>
          </cell>
          <cell r="J239">
            <v>0</v>
          </cell>
          <cell r="K239">
            <v>0</v>
          </cell>
          <cell r="L239">
            <v>0</v>
          </cell>
          <cell r="M239">
            <v>0</v>
          </cell>
          <cell r="N239">
            <v>0</v>
          </cell>
          <cell r="O239">
            <v>0</v>
          </cell>
          <cell r="P239">
            <v>0</v>
          </cell>
          <cell r="Q239">
            <v>1</v>
          </cell>
          <cell r="R239">
            <v>14200</v>
          </cell>
          <cell r="S239">
            <v>1</v>
          </cell>
          <cell r="T239">
            <v>14200</v>
          </cell>
          <cell r="U239">
            <v>2</v>
          </cell>
          <cell r="V239">
            <v>28400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P239">
            <v>0</v>
          </cell>
          <cell r="AQ239">
            <v>0</v>
          </cell>
          <cell r="AR239">
            <v>0</v>
          </cell>
          <cell r="AS239">
            <v>0</v>
          </cell>
          <cell r="AT239">
            <v>0</v>
          </cell>
          <cell r="AU239">
            <v>0</v>
          </cell>
          <cell r="AV239">
            <v>0</v>
          </cell>
          <cell r="AW239">
            <v>1</v>
          </cell>
          <cell r="AX239">
            <v>14200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row>
        <row r="240">
          <cell r="A240">
            <v>22</v>
          </cell>
          <cell r="B240" t="str">
            <v>Stripting Knip</v>
          </cell>
          <cell r="C240" t="str">
            <v>Set</v>
          </cell>
          <cell r="D240">
            <v>13700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T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row>
        <row r="241">
          <cell r="A241">
            <v>23</v>
          </cell>
          <cell r="B241" t="str">
            <v>Door Closer</v>
          </cell>
          <cell r="C241" t="str">
            <v>Set</v>
          </cell>
          <cell r="D241">
            <v>260800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1</v>
          </cell>
          <cell r="T241">
            <v>260800</v>
          </cell>
          <cell r="U241">
            <v>1</v>
          </cell>
          <cell r="V241">
            <v>260800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P241">
            <v>0</v>
          </cell>
          <cell r="AQ241">
            <v>0</v>
          </cell>
          <cell r="AR241">
            <v>0</v>
          </cell>
          <cell r="AS241">
            <v>0</v>
          </cell>
          <cell r="AT241">
            <v>0</v>
          </cell>
          <cell r="AU241">
            <v>0</v>
          </cell>
          <cell r="AV241">
            <v>0</v>
          </cell>
          <cell r="AW241">
            <v>1</v>
          </cell>
          <cell r="AX241">
            <v>260800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v>0</v>
          </cell>
          <cell r="CM241">
            <v>0</v>
          </cell>
          <cell r="CN241">
            <v>0</v>
          </cell>
          <cell r="CO241">
            <v>0</v>
          </cell>
          <cell r="CP241">
            <v>0</v>
          </cell>
        </row>
        <row r="242">
          <cell r="A242">
            <v>24</v>
          </cell>
          <cell r="B242" t="str">
            <v>Door Holder</v>
          </cell>
          <cell r="C242" t="str">
            <v>Set</v>
          </cell>
          <cell r="D242">
            <v>500000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T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row>
        <row r="243">
          <cell r="A243">
            <v>25</v>
          </cell>
          <cell r="B243" t="str">
            <v>Door Stop</v>
          </cell>
          <cell r="C243" t="str">
            <v>Set</v>
          </cell>
          <cell r="D243">
            <v>32100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1</v>
          </cell>
          <cell r="T243">
            <v>32100</v>
          </cell>
          <cell r="U243">
            <v>1</v>
          </cell>
          <cell r="V243">
            <v>32100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P243">
            <v>0</v>
          </cell>
          <cell r="AQ243">
            <v>0</v>
          </cell>
          <cell r="AR243">
            <v>0</v>
          </cell>
          <cell r="AS243">
            <v>0</v>
          </cell>
          <cell r="AT243">
            <v>0</v>
          </cell>
          <cell r="AU243">
            <v>0</v>
          </cell>
          <cell r="AV243">
            <v>0</v>
          </cell>
          <cell r="AW243">
            <v>1</v>
          </cell>
          <cell r="AX243">
            <v>32100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0</v>
          </cell>
          <cell r="CN243">
            <v>0</v>
          </cell>
          <cell r="CO243">
            <v>0</v>
          </cell>
          <cell r="CP243">
            <v>0</v>
          </cell>
        </row>
        <row r="244">
          <cell r="A244">
            <v>26</v>
          </cell>
          <cell r="B244" t="str">
            <v>Kaca bening 5 mm</v>
          </cell>
          <cell r="C244" t="str">
            <v>M2</v>
          </cell>
          <cell r="D244">
            <v>66700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T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0.48</v>
          </cell>
          <cell r="AR244">
            <v>32016</v>
          </cell>
          <cell r="AS244">
            <v>0</v>
          </cell>
          <cell r="AT244">
            <v>0</v>
          </cell>
          <cell r="AU244">
            <v>0</v>
          </cell>
          <cell r="AV244">
            <v>0</v>
          </cell>
          <cell r="AW244">
            <v>5.0399999999999993E-2</v>
          </cell>
          <cell r="AX244">
            <v>3361.6799999999994</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row>
        <row r="245">
          <cell r="A245">
            <v>27</v>
          </cell>
          <cell r="B245" t="str">
            <v>Kaca bening 10 mm</v>
          </cell>
          <cell r="C245" t="str">
            <v>M2</v>
          </cell>
          <cell r="D245">
            <v>280895.75</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T245">
            <v>0</v>
          </cell>
          <cell r="V245">
            <v>0</v>
          </cell>
          <cell r="W245">
            <v>1.1875</v>
          </cell>
          <cell r="X245">
            <v>333563.703125</v>
          </cell>
          <cell r="Y245">
            <v>1.1875</v>
          </cell>
          <cell r="Z245">
            <v>333563.703125</v>
          </cell>
          <cell r="AA245">
            <v>1.3174999999999999</v>
          </cell>
          <cell r="AB245">
            <v>370080.15062499995</v>
          </cell>
          <cell r="AC245">
            <v>1.3174999999999999</v>
          </cell>
          <cell r="AD245">
            <v>370080.15062499995</v>
          </cell>
          <cell r="AE245">
            <v>0.90999999999999992</v>
          </cell>
          <cell r="AF245">
            <v>255615.13249999998</v>
          </cell>
          <cell r="AG245">
            <v>0.46810000000000002</v>
          </cell>
          <cell r="AH245">
            <v>131487.300575</v>
          </cell>
          <cell r="AI245">
            <v>0</v>
          </cell>
          <cell r="AJ245">
            <v>0</v>
          </cell>
          <cell r="AK245">
            <v>0.57999999999999996</v>
          </cell>
          <cell r="AL245">
            <v>162919.53499999997</v>
          </cell>
          <cell r="AM245">
            <v>9.1875</v>
          </cell>
          <cell r="AN245">
            <v>2580729.703125</v>
          </cell>
          <cell r="AO245">
            <v>0.495</v>
          </cell>
          <cell r="AP245">
            <v>139043.39624999999</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row>
        <row r="246">
          <cell r="A246">
            <v>28</v>
          </cell>
          <cell r="B246" t="str">
            <v>Kaca Bening 12 mm</v>
          </cell>
          <cell r="C246" t="str">
            <v>M2</v>
          </cell>
          <cell r="D246">
            <v>403787.64062499994</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T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0.84009999999999996</v>
          </cell>
          <cell r="AJ246">
            <v>339221.99688906246</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row>
        <row r="247">
          <cell r="A247">
            <v>29</v>
          </cell>
          <cell r="B247" t="str">
            <v>Besi hollow 4/4</v>
          </cell>
          <cell r="C247" t="str">
            <v>M'</v>
          </cell>
          <cell r="D247">
            <v>48625.000000000051</v>
          </cell>
          <cell r="E247">
            <v>0</v>
          </cell>
          <cell r="F247">
            <v>0</v>
          </cell>
          <cell r="G247">
            <v>6.3140000000000009</v>
          </cell>
          <cell r="H247">
            <v>307018.25000000035</v>
          </cell>
          <cell r="I247">
            <v>5.09</v>
          </cell>
          <cell r="J247">
            <v>247501.25000000026</v>
          </cell>
          <cell r="K247">
            <v>0</v>
          </cell>
          <cell r="L247">
            <v>0</v>
          </cell>
          <cell r="M247">
            <v>0</v>
          </cell>
          <cell r="N247">
            <v>0</v>
          </cell>
          <cell r="O247">
            <v>0</v>
          </cell>
          <cell r="P247">
            <v>0</v>
          </cell>
          <cell r="Q247">
            <v>0</v>
          </cell>
          <cell r="R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row>
        <row r="248">
          <cell r="A248">
            <v>30</v>
          </cell>
          <cell r="B248" t="str">
            <v>Besi hollow 6/6</v>
          </cell>
          <cell r="C248" t="str">
            <v>M'</v>
          </cell>
          <cell r="D248">
            <v>74462.500000000058</v>
          </cell>
          <cell r="E248">
            <v>0</v>
          </cell>
          <cell r="F248">
            <v>0</v>
          </cell>
          <cell r="G248">
            <v>6.3140000000000009</v>
          </cell>
          <cell r="H248">
            <v>470156.22500000044</v>
          </cell>
          <cell r="I248">
            <v>5.09</v>
          </cell>
          <cell r="J248">
            <v>379014.12500000029</v>
          </cell>
          <cell r="K248">
            <v>0</v>
          </cell>
          <cell r="L248">
            <v>0</v>
          </cell>
          <cell r="M248">
            <v>0</v>
          </cell>
          <cell r="N248">
            <v>0</v>
          </cell>
          <cell r="O248">
            <v>0</v>
          </cell>
          <cell r="P248">
            <v>0</v>
          </cell>
          <cell r="Q248">
            <v>0</v>
          </cell>
          <cell r="R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row>
        <row r="249">
          <cell r="A249">
            <v>31</v>
          </cell>
          <cell r="B249" t="str">
            <v>Besi hollow 2.5/5</v>
          </cell>
          <cell r="C249" t="str">
            <v>Kg</v>
          </cell>
          <cell r="D249">
            <v>74462.500000000058</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T249">
            <v>0</v>
          </cell>
          <cell r="U249">
            <v>116.68600000000001</v>
          </cell>
          <cell r="V249">
            <v>8688731.2750000078</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row>
        <row r="250">
          <cell r="A250">
            <v>32</v>
          </cell>
          <cell r="B250" t="str">
            <v>Besi hollow 5/5</v>
          </cell>
          <cell r="C250" t="str">
            <v>Kg</v>
          </cell>
          <cell r="D250">
            <v>74462.500000000058</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row>
        <row r="251">
          <cell r="A251">
            <v>33</v>
          </cell>
          <cell r="B251" t="str">
            <v>Besi hollow 2/2</v>
          </cell>
          <cell r="C251" t="str">
            <v>Kg</v>
          </cell>
          <cell r="D251">
            <v>74462.500000000058</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T251">
            <v>0</v>
          </cell>
          <cell r="U251">
            <v>37.725575999999997</v>
          </cell>
          <cell r="V251">
            <v>2809140.7029000018</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row>
        <row r="252">
          <cell r="A252">
            <v>34</v>
          </cell>
          <cell r="B252" t="str">
            <v>Besi hollow 2/4</v>
          </cell>
          <cell r="C252" t="str">
            <v>Kg</v>
          </cell>
          <cell r="D252">
            <v>74462.500000000058</v>
          </cell>
          <cell r="E252">
            <v>0</v>
          </cell>
          <cell r="F252">
            <v>0</v>
          </cell>
          <cell r="G252">
            <v>0</v>
          </cell>
          <cell r="H252">
            <v>0</v>
          </cell>
          <cell r="I252">
            <v>0</v>
          </cell>
          <cell r="J252">
            <v>0</v>
          </cell>
          <cell r="K252">
            <v>0</v>
          </cell>
          <cell r="L252">
            <v>0</v>
          </cell>
          <cell r="M252">
            <v>0</v>
          </cell>
          <cell r="N252">
            <v>0</v>
          </cell>
          <cell r="O252">
            <v>31.488000000000003</v>
          </cell>
          <cell r="P252">
            <v>2344675.200000002</v>
          </cell>
          <cell r="Q252">
            <v>0</v>
          </cell>
          <cell r="R252">
            <v>0</v>
          </cell>
          <cell r="T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0</v>
          </cell>
          <cell r="CN252">
            <v>0</v>
          </cell>
          <cell r="CO252">
            <v>0</v>
          </cell>
          <cell r="CP252">
            <v>0</v>
          </cell>
          <cell r="CQ252">
            <v>0</v>
          </cell>
          <cell r="CR252">
            <v>0</v>
          </cell>
          <cell r="CS252">
            <v>0</v>
          </cell>
          <cell r="CT252">
            <v>0</v>
          </cell>
          <cell r="CU252">
            <v>0</v>
          </cell>
          <cell r="CV252">
            <v>0</v>
          </cell>
          <cell r="CW252">
            <v>0</v>
          </cell>
          <cell r="CX252">
            <v>0</v>
          </cell>
        </row>
        <row r="253">
          <cell r="A253">
            <v>35</v>
          </cell>
          <cell r="B253" t="str">
            <v>Kaca Tempered 12 mm</v>
          </cell>
          <cell r="C253" t="str">
            <v>M2</v>
          </cell>
          <cell r="D253">
            <v>528395.75</v>
          </cell>
          <cell r="E253">
            <v>4.3049999999999997</v>
          </cell>
          <cell r="F253">
            <v>2274743.7037499999</v>
          </cell>
          <cell r="G253">
            <v>0</v>
          </cell>
          <cell r="H253">
            <v>0</v>
          </cell>
          <cell r="I253">
            <v>0</v>
          </cell>
          <cell r="J253">
            <v>0</v>
          </cell>
          <cell r="K253">
            <v>0</v>
          </cell>
          <cell r="L253">
            <v>0</v>
          </cell>
          <cell r="M253">
            <v>4.3049999999999997</v>
          </cell>
          <cell r="N253">
            <v>2274743.7037499999</v>
          </cell>
          <cell r="O253">
            <v>0</v>
          </cell>
          <cell r="P253">
            <v>0</v>
          </cell>
          <cell r="Q253">
            <v>0</v>
          </cell>
          <cell r="R253">
            <v>0</v>
          </cell>
          <cell r="T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R253">
            <v>0</v>
          </cell>
          <cell r="CS253">
            <v>0</v>
          </cell>
          <cell r="CT253">
            <v>0</v>
          </cell>
          <cell r="CU253">
            <v>0</v>
          </cell>
          <cell r="CV253">
            <v>0</v>
          </cell>
          <cell r="CW253">
            <v>0</v>
          </cell>
          <cell r="CX253">
            <v>0</v>
          </cell>
        </row>
        <row r="254">
          <cell r="A254">
            <v>36</v>
          </cell>
          <cell r="B254" t="str">
            <v>Glass Block</v>
          </cell>
          <cell r="C254" t="str">
            <v>Bh</v>
          </cell>
          <cell r="D254">
            <v>45000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T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row>
        <row r="255">
          <cell r="A255">
            <v>37</v>
          </cell>
          <cell r="B255" t="str">
            <v>Kaca Es</v>
          </cell>
          <cell r="C255" t="str">
            <v>M2</v>
          </cell>
          <cell r="D255">
            <v>66700</v>
          </cell>
          <cell r="E255">
            <v>0</v>
          </cell>
          <cell r="F255">
            <v>0</v>
          </cell>
          <cell r="G255">
            <v>0</v>
          </cell>
          <cell r="H255">
            <v>0</v>
          </cell>
          <cell r="I255">
            <v>0</v>
          </cell>
          <cell r="J255">
            <v>0</v>
          </cell>
          <cell r="K255">
            <v>0</v>
          </cell>
          <cell r="L255">
            <v>0</v>
          </cell>
          <cell r="M255">
            <v>0</v>
          </cell>
          <cell r="N255">
            <v>0</v>
          </cell>
          <cell r="O255">
            <v>0</v>
          </cell>
          <cell r="P255">
            <v>0</v>
          </cell>
          <cell r="Q255">
            <v>3.8399999999999997E-2</v>
          </cell>
          <cell r="R255">
            <v>2561.2799999999997</v>
          </cell>
          <cell r="S255">
            <v>0.126</v>
          </cell>
          <cell r="T255">
            <v>8404.2000000000007</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row>
        <row r="256">
          <cell r="A256">
            <v>38</v>
          </cell>
          <cell r="B256" t="str">
            <v>Krepyak Kaca Nako + Kerangka</v>
          </cell>
          <cell r="C256" t="str">
            <v>M2</v>
          </cell>
          <cell r="D256">
            <v>81300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T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R256">
            <v>0</v>
          </cell>
          <cell r="CS256">
            <v>0</v>
          </cell>
          <cell r="CT256">
            <v>0</v>
          </cell>
          <cell r="CU256">
            <v>0</v>
          </cell>
          <cell r="CV256">
            <v>0</v>
          </cell>
          <cell r="CW256">
            <v>0</v>
          </cell>
          <cell r="CX256">
            <v>0</v>
          </cell>
        </row>
        <row r="257">
          <cell r="A257">
            <v>39</v>
          </cell>
          <cell r="B257" t="str">
            <v>Sticker Efek Kaca Es</v>
          </cell>
          <cell r="C257" t="str">
            <v>M2</v>
          </cell>
          <cell r="D257">
            <v>150000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T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row>
        <row r="258">
          <cell r="A258">
            <v>40</v>
          </cell>
          <cell r="B258" t="str">
            <v>Rel Pintu Dorong</v>
          </cell>
          <cell r="C258" t="str">
            <v>M'</v>
          </cell>
          <cell r="D258">
            <v>275000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T258">
            <v>0</v>
          </cell>
          <cell r="V258">
            <v>0</v>
          </cell>
          <cell r="W258">
            <v>4</v>
          </cell>
          <cell r="X258">
            <v>1100000</v>
          </cell>
          <cell r="Y258">
            <v>4</v>
          </cell>
          <cell r="Z258">
            <v>1100000</v>
          </cell>
          <cell r="AA258">
            <v>6.4</v>
          </cell>
          <cell r="AB258">
            <v>1760000</v>
          </cell>
          <cell r="AC258">
            <v>6.4</v>
          </cell>
          <cell r="AD258">
            <v>1760000</v>
          </cell>
          <cell r="AE258">
            <v>3</v>
          </cell>
          <cell r="AF258">
            <v>825000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row>
        <row r="259">
          <cell r="A259">
            <v>41</v>
          </cell>
          <cell r="B259" t="str">
            <v>Rolling Door</v>
          </cell>
          <cell r="C259" t="str">
            <v>M2</v>
          </cell>
          <cell r="D259">
            <v>358100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T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row>
        <row r="260">
          <cell r="A260">
            <v>42</v>
          </cell>
          <cell r="B260" t="str">
            <v>Roster</v>
          </cell>
          <cell r="C260" t="str">
            <v>M2</v>
          </cell>
          <cell r="D260">
            <v>133850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T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0.96</v>
          </cell>
          <cell r="AZ260">
            <v>128496</v>
          </cell>
          <cell r="BA260">
            <v>0.96</v>
          </cell>
          <cell r="BB260">
            <v>128496</v>
          </cell>
          <cell r="BC260">
            <v>1.28</v>
          </cell>
          <cell r="BD260">
            <v>171328</v>
          </cell>
          <cell r="BE260">
            <v>1.28</v>
          </cell>
          <cell r="BF260">
            <v>171328</v>
          </cell>
          <cell r="BG260">
            <v>0.32000000000000006</v>
          </cell>
          <cell r="BH260">
            <v>42832.000000000007</v>
          </cell>
          <cell r="BI260">
            <v>1.92</v>
          </cell>
          <cell r="BJ260">
            <v>256992</v>
          </cell>
          <cell r="BK260">
            <v>2.8</v>
          </cell>
          <cell r="BL260">
            <v>374780</v>
          </cell>
          <cell r="BM260">
            <v>2.04</v>
          </cell>
          <cell r="BN260">
            <v>273054</v>
          </cell>
          <cell r="BO260">
            <v>0.8</v>
          </cell>
          <cell r="BP260">
            <v>107080</v>
          </cell>
          <cell r="BQ260">
            <v>0.48</v>
          </cell>
          <cell r="BR260">
            <v>64248</v>
          </cell>
          <cell r="BS260">
            <v>1.6</v>
          </cell>
          <cell r="BT260">
            <v>214160</v>
          </cell>
          <cell r="BU260">
            <v>1.4</v>
          </cell>
          <cell r="BV260">
            <v>187390</v>
          </cell>
          <cell r="BW260">
            <v>1.4</v>
          </cell>
          <cell r="BX260">
            <v>187390</v>
          </cell>
          <cell r="BY260">
            <v>0.32000000000000006</v>
          </cell>
          <cell r="BZ260">
            <v>42832.000000000007</v>
          </cell>
          <cell r="CA260">
            <v>0.32000000000000006</v>
          </cell>
          <cell r="CB260">
            <v>42832.000000000007</v>
          </cell>
          <cell r="CC260">
            <v>0.48</v>
          </cell>
          <cell r="CD260">
            <v>64248</v>
          </cell>
          <cell r="CE260">
            <v>0.64000000000000012</v>
          </cell>
          <cell r="CF260">
            <v>85664.000000000015</v>
          </cell>
          <cell r="CG260">
            <v>5.6</v>
          </cell>
          <cell r="CH260">
            <v>749560</v>
          </cell>
          <cell r="CI260">
            <v>3.6</v>
          </cell>
          <cell r="CJ260">
            <v>481860</v>
          </cell>
          <cell r="CK260">
            <v>7.0359999999999987</v>
          </cell>
          <cell r="CL260">
            <v>941768.59999999986</v>
          </cell>
          <cell r="CM260">
            <v>6.58</v>
          </cell>
          <cell r="CN260">
            <v>880733</v>
          </cell>
          <cell r="CO260">
            <v>4.4000000000000004</v>
          </cell>
          <cell r="CP260">
            <v>588940</v>
          </cell>
          <cell r="CQ260">
            <v>3.6</v>
          </cell>
          <cell r="CR260">
            <v>481860</v>
          </cell>
          <cell r="CS260">
            <v>7.0359999999999987</v>
          </cell>
          <cell r="CT260">
            <v>941768.59999999986</v>
          </cell>
          <cell r="CU260">
            <v>6.58</v>
          </cell>
          <cell r="CV260">
            <v>880733</v>
          </cell>
          <cell r="CW260">
            <v>4.4000000000000004</v>
          </cell>
          <cell r="CX260">
            <v>588940</v>
          </cell>
        </row>
        <row r="261">
          <cell r="A261">
            <v>43</v>
          </cell>
          <cell r="B261" t="str">
            <v>Gipsum Board</v>
          </cell>
          <cell r="C261" t="str">
            <v>M2</v>
          </cell>
          <cell r="D261">
            <v>29000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T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0.95</v>
          </cell>
          <cell r="AT261">
            <v>27550</v>
          </cell>
          <cell r="AU261">
            <v>3.3439999999999999</v>
          </cell>
          <cell r="AV261">
            <v>96976</v>
          </cell>
          <cell r="AW261">
            <v>19.399999999999999</v>
          </cell>
          <cell r="AX261">
            <v>562600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0</v>
          </cell>
          <cell r="CN261">
            <v>0</v>
          </cell>
          <cell r="CO261">
            <v>0</v>
          </cell>
          <cell r="CP261">
            <v>0</v>
          </cell>
          <cell r="CQ261">
            <v>0</v>
          </cell>
          <cell r="CR261">
            <v>0</v>
          </cell>
          <cell r="CS261">
            <v>0</v>
          </cell>
          <cell r="CT261">
            <v>0</v>
          </cell>
          <cell r="CU261">
            <v>0</v>
          </cell>
          <cell r="CV261">
            <v>0</v>
          </cell>
          <cell r="CW261">
            <v>0</v>
          </cell>
          <cell r="CX261">
            <v>0</v>
          </cell>
        </row>
        <row r="262">
          <cell r="A262">
            <v>44</v>
          </cell>
          <cell r="B262" t="str">
            <v>List Gipsum</v>
          </cell>
          <cell r="C262" t="str">
            <v>M'</v>
          </cell>
          <cell r="D262">
            <v>17300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T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0</v>
          </cell>
          <cell r="CP262">
            <v>0</v>
          </cell>
          <cell r="CQ262">
            <v>0</v>
          </cell>
          <cell r="CR262">
            <v>0</v>
          </cell>
          <cell r="CS262">
            <v>0</v>
          </cell>
          <cell r="CT262">
            <v>0</v>
          </cell>
          <cell r="CU262">
            <v>0</v>
          </cell>
          <cell r="CV262">
            <v>0</v>
          </cell>
          <cell r="CW262">
            <v>0</v>
          </cell>
          <cell r="CX262">
            <v>0</v>
          </cell>
        </row>
        <row r="263">
          <cell r="A263">
            <v>45</v>
          </cell>
          <cell r="B263" t="str">
            <v>Sealent</v>
          </cell>
          <cell r="C263" t="str">
            <v>M'</v>
          </cell>
          <cell r="D263">
            <v>8400</v>
          </cell>
          <cell r="E263">
            <v>0</v>
          </cell>
          <cell r="F263">
            <v>0</v>
          </cell>
          <cell r="G263">
            <v>0</v>
          </cell>
          <cell r="H263">
            <v>0</v>
          </cell>
          <cell r="I263">
            <v>0</v>
          </cell>
          <cell r="J263">
            <v>0</v>
          </cell>
          <cell r="K263">
            <v>0</v>
          </cell>
          <cell r="L263">
            <v>0</v>
          </cell>
          <cell r="M263">
            <v>0</v>
          </cell>
          <cell r="N263">
            <v>0</v>
          </cell>
          <cell r="O263">
            <v>0</v>
          </cell>
          <cell r="P263">
            <v>0</v>
          </cell>
          <cell r="Q263">
            <v>1.76</v>
          </cell>
          <cell r="R263">
            <v>14784</v>
          </cell>
          <cell r="T263">
            <v>0</v>
          </cell>
          <cell r="V263">
            <v>0</v>
          </cell>
          <cell r="W263">
            <v>12.5</v>
          </cell>
          <cell r="X263">
            <v>105000</v>
          </cell>
          <cell r="Y263">
            <v>12.5</v>
          </cell>
          <cell r="Z263">
            <v>105000</v>
          </cell>
          <cell r="AA263">
            <v>15.899999999999999</v>
          </cell>
          <cell r="AB263">
            <v>133560</v>
          </cell>
          <cell r="AC263">
            <v>15.899999999999999</v>
          </cell>
          <cell r="AD263">
            <v>133560</v>
          </cell>
          <cell r="AE263">
            <v>10.799999999999999</v>
          </cell>
          <cell r="AF263">
            <v>90719.999999999985</v>
          </cell>
          <cell r="AG263">
            <v>7.28</v>
          </cell>
          <cell r="AH263">
            <v>61152</v>
          </cell>
          <cell r="AI263">
            <v>12.08</v>
          </cell>
          <cell r="AJ263">
            <v>101472</v>
          </cell>
          <cell r="AK263">
            <v>3.05</v>
          </cell>
          <cell r="AL263">
            <v>25620</v>
          </cell>
          <cell r="AM263">
            <v>67.374999999999986</v>
          </cell>
          <cell r="AN263">
            <v>565949.99999999988</v>
          </cell>
          <cell r="AO263">
            <v>7.2</v>
          </cell>
          <cell r="AP263">
            <v>60480</v>
          </cell>
          <cell r="AQ263">
            <v>6.4000000000000012</v>
          </cell>
          <cell r="AR263">
            <v>53760.000000000007</v>
          </cell>
          <cell r="AS263">
            <v>0</v>
          </cell>
          <cell r="AT263">
            <v>0</v>
          </cell>
          <cell r="AU263">
            <v>0</v>
          </cell>
          <cell r="AV263">
            <v>0</v>
          </cell>
          <cell r="AW263">
            <v>2.16</v>
          </cell>
          <cell r="AX263">
            <v>18144</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row>
        <row r="264">
          <cell r="A264">
            <v>46</v>
          </cell>
          <cell r="B264" t="str">
            <v>Benangan Kusen</v>
          </cell>
          <cell r="C264" t="str">
            <v>M'</v>
          </cell>
          <cell r="D264">
            <v>4296.0074999999997</v>
          </cell>
          <cell r="E264">
            <v>6.1999999999999993</v>
          </cell>
          <cell r="F264">
            <v>26635.246499999994</v>
          </cell>
          <cell r="G264">
            <v>6.3140000000000009</v>
          </cell>
          <cell r="H264">
            <v>27124.991355000002</v>
          </cell>
          <cell r="I264">
            <v>5.5990000000000002</v>
          </cell>
          <cell r="J264">
            <v>24053.345992499999</v>
          </cell>
          <cell r="K264">
            <v>5.7839999999999998</v>
          </cell>
          <cell r="L264">
            <v>24848.107379999998</v>
          </cell>
          <cell r="M264">
            <v>6.1999999999999993</v>
          </cell>
          <cell r="N264">
            <v>26635.246499999994</v>
          </cell>
          <cell r="O264">
            <v>0</v>
          </cell>
          <cell r="P264">
            <v>0</v>
          </cell>
          <cell r="Q264">
            <v>0</v>
          </cell>
          <cell r="R264">
            <v>0</v>
          </cell>
          <cell r="S264">
            <v>2.2799999999999998</v>
          </cell>
          <cell r="T264">
            <v>9794.8970999999983</v>
          </cell>
          <cell r="U264">
            <v>51.899999999999991</v>
          </cell>
          <cell r="V264">
            <v>222962.78924999994</v>
          </cell>
          <cell r="W264">
            <v>14.399999999999999</v>
          </cell>
          <cell r="X264">
            <v>61862.507999999987</v>
          </cell>
          <cell r="Y264">
            <v>14.399999999999999</v>
          </cell>
          <cell r="Z264">
            <v>61862.507999999987</v>
          </cell>
          <cell r="AA264">
            <v>16</v>
          </cell>
          <cell r="AB264">
            <v>68736.12</v>
          </cell>
          <cell r="AC264">
            <v>16</v>
          </cell>
          <cell r="AD264">
            <v>68736.12</v>
          </cell>
          <cell r="AE264">
            <v>4.8000000000000007</v>
          </cell>
          <cell r="AF264">
            <v>20620.836000000003</v>
          </cell>
          <cell r="AG264">
            <v>8</v>
          </cell>
          <cell r="AH264">
            <v>34368.06</v>
          </cell>
          <cell r="AI264">
            <v>12.799999999999999</v>
          </cell>
          <cell r="AJ264">
            <v>54988.895999999993</v>
          </cell>
          <cell r="AK264">
            <v>8.5</v>
          </cell>
          <cell r="AL264">
            <v>36516.063750000001</v>
          </cell>
          <cell r="AM264">
            <v>30.599999999999998</v>
          </cell>
          <cell r="AN264">
            <v>131457.82949999999</v>
          </cell>
          <cell r="AO264">
            <v>8</v>
          </cell>
          <cell r="AP264">
            <v>34368.06</v>
          </cell>
          <cell r="AQ264">
            <v>6.4</v>
          </cell>
          <cell r="AR264">
            <v>27494.448</v>
          </cell>
          <cell r="AS264">
            <v>0</v>
          </cell>
          <cell r="AT264">
            <v>0</v>
          </cell>
          <cell r="AU264">
            <v>11.12</v>
          </cell>
          <cell r="AV264">
            <v>47771.603399999993</v>
          </cell>
          <cell r="AW264">
            <v>26.86</v>
          </cell>
          <cell r="AX264">
            <v>115390.76144999999</v>
          </cell>
          <cell r="AY264">
            <v>11.2</v>
          </cell>
          <cell r="AZ264">
            <v>48115.283999999992</v>
          </cell>
          <cell r="BA264">
            <v>11.2</v>
          </cell>
          <cell r="BB264">
            <v>48115.283999999992</v>
          </cell>
          <cell r="BC264">
            <v>16</v>
          </cell>
          <cell r="BD264">
            <v>68736.12</v>
          </cell>
          <cell r="BE264">
            <v>16</v>
          </cell>
          <cell r="BF264">
            <v>68736.12</v>
          </cell>
          <cell r="BG264">
            <v>4.8000000000000007</v>
          </cell>
          <cell r="BH264">
            <v>20620.836000000003</v>
          </cell>
          <cell r="BI264">
            <v>18</v>
          </cell>
          <cell r="BJ264">
            <v>77328.134999999995</v>
          </cell>
          <cell r="BK264">
            <v>19.599999999999998</v>
          </cell>
          <cell r="BL264">
            <v>84201.746999999988</v>
          </cell>
          <cell r="BM264">
            <v>60.400000000000006</v>
          </cell>
          <cell r="BN264">
            <v>259478.853</v>
          </cell>
          <cell r="BO264">
            <v>9.6</v>
          </cell>
          <cell r="BP264">
            <v>41241.671999999999</v>
          </cell>
          <cell r="BQ264">
            <v>6.4</v>
          </cell>
          <cell r="BR264">
            <v>27494.448</v>
          </cell>
          <cell r="BS264">
            <v>16.600000000000001</v>
          </cell>
          <cell r="BT264">
            <v>71313.724499999997</v>
          </cell>
          <cell r="BU264">
            <v>14.399999999999999</v>
          </cell>
          <cell r="BV264">
            <v>61862.507999999987</v>
          </cell>
          <cell r="BW264">
            <v>14.399999999999999</v>
          </cell>
          <cell r="BX264">
            <v>61862.507999999987</v>
          </cell>
          <cell r="BY264">
            <v>4.8000000000000007</v>
          </cell>
          <cell r="BZ264">
            <v>20620.836000000003</v>
          </cell>
          <cell r="CA264">
            <v>4.8000000000000007</v>
          </cell>
          <cell r="CB264">
            <v>20620.836000000003</v>
          </cell>
          <cell r="CC264">
            <v>6.4</v>
          </cell>
          <cell r="CD264">
            <v>27494.448</v>
          </cell>
          <cell r="CE264">
            <v>8</v>
          </cell>
          <cell r="CF264">
            <v>34368.06</v>
          </cell>
          <cell r="CG264">
            <v>30.799999999999997</v>
          </cell>
          <cell r="CH264">
            <v>132317.03099999999</v>
          </cell>
          <cell r="CI264">
            <v>22.8</v>
          </cell>
          <cell r="CJ264">
            <v>97948.97099999999</v>
          </cell>
          <cell r="CK264">
            <v>50.839999999999996</v>
          </cell>
          <cell r="CL264">
            <v>218409.02129999996</v>
          </cell>
          <cell r="CM264">
            <v>35.4</v>
          </cell>
          <cell r="CN264">
            <v>152078.66549999997</v>
          </cell>
          <cell r="CO264">
            <v>16.8</v>
          </cell>
          <cell r="CP264">
            <v>72172.925999999992</v>
          </cell>
        </row>
        <row r="265">
          <cell r="A265">
            <v>47</v>
          </cell>
          <cell r="B265" t="str">
            <v xml:space="preserve">Cat Kayu </v>
          </cell>
          <cell r="C265" t="str">
            <v>M2</v>
          </cell>
          <cell r="D265">
            <v>19370.5</v>
          </cell>
          <cell r="E265">
            <v>0</v>
          </cell>
          <cell r="F265">
            <v>0</v>
          </cell>
          <cell r="G265">
            <v>0</v>
          </cell>
          <cell r="H265">
            <v>0</v>
          </cell>
          <cell r="I265">
            <v>0</v>
          </cell>
          <cell r="J265">
            <v>0</v>
          </cell>
          <cell r="K265">
            <v>4.0991999999999997</v>
          </cell>
          <cell r="L265">
            <v>79403.553599999999</v>
          </cell>
          <cell r="M265">
            <v>0</v>
          </cell>
          <cell r="N265">
            <v>0</v>
          </cell>
          <cell r="O265">
            <v>2.88</v>
          </cell>
          <cell r="P265">
            <v>55787.040000000001</v>
          </cell>
          <cell r="Q265">
            <v>1.1420000000000001</v>
          </cell>
          <cell r="R265">
            <v>22121.111000000001</v>
          </cell>
          <cell r="S265">
            <v>2.59</v>
          </cell>
          <cell r="T265">
            <v>50169.594999999994</v>
          </cell>
          <cell r="U265">
            <v>0.48</v>
          </cell>
          <cell r="V265">
            <v>9297.84</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P265">
            <v>0</v>
          </cell>
          <cell r="AQ265">
            <v>0</v>
          </cell>
          <cell r="AR265">
            <v>0</v>
          </cell>
          <cell r="AS265">
            <v>0</v>
          </cell>
          <cell r="AT265">
            <v>0</v>
          </cell>
          <cell r="AU265">
            <v>0</v>
          </cell>
          <cell r="AV265">
            <v>0</v>
          </cell>
          <cell r="AW265">
            <v>3.6</v>
          </cell>
          <cell r="AX265">
            <v>69733.8</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row>
        <row r="266">
          <cell r="A266">
            <v>48</v>
          </cell>
          <cell r="B266" t="str">
            <v>Cat Besi</v>
          </cell>
          <cell r="C266" t="str">
            <v>M2</v>
          </cell>
          <cell r="D266">
            <v>13698</v>
          </cell>
          <cell r="E266">
            <v>0</v>
          </cell>
          <cell r="F266">
            <v>0</v>
          </cell>
          <cell r="G266">
            <v>8.543518139392118</v>
          </cell>
          <cell r="H266">
            <v>117029.11147339323</v>
          </cell>
          <cell r="I266">
            <v>5.6445590696960588</v>
          </cell>
          <cell r="J266">
            <v>77319.170136696615</v>
          </cell>
          <cell r="K266">
            <v>0</v>
          </cell>
          <cell r="L266">
            <v>0</v>
          </cell>
          <cell r="M266">
            <v>0</v>
          </cell>
          <cell r="N266">
            <v>0</v>
          </cell>
          <cell r="O266">
            <v>3.7785600000000001</v>
          </cell>
          <cell r="P266">
            <v>51758.71488</v>
          </cell>
          <cell r="Q266">
            <v>0</v>
          </cell>
          <cell r="R266">
            <v>0</v>
          </cell>
          <cell r="T266">
            <v>0</v>
          </cell>
          <cell r="U266">
            <v>28.369569120000001</v>
          </cell>
          <cell r="V266">
            <v>388606.35780576</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row>
        <row r="267">
          <cell r="A267">
            <v>49</v>
          </cell>
          <cell r="B267" t="str">
            <v>Cat Dinding</v>
          </cell>
          <cell r="C267" t="str">
            <v>M2</v>
          </cell>
          <cell r="D267">
            <v>9900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T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0.95</v>
          </cell>
          <cell r="AT267">
            <v>9405</v>
          </cell>
          <cell r="AU267">
            <v>3.3439999999999999</v>
          </cell>
          <cell r="AV267">
            <v>33105.599999999999</v>
          </cell>
          <cell r="AW267">
            <v>19.399999999999999</v>
          </cell>
          <cell r="AX267">
            <v>192060</v>
          </cell>
          <cell r="AY267">
            <v>1.92</v>
          </cell>
          <cell r="AZ267">
            <v>19008</v>
          </cell>
          <cell r="BA267">
            <v>1.92</v>
          </cell>
          <cell r="BB267">
            <v>19008</v>
          </cell>
          <cell r="BC267">
            <v>2.56</v>
          </cell>
          <cell r="BD267">
            <v>25344</v>
          </cell>
          <cell r="BE267">
            <v>2.56</v>
          </cell>
          <cell r="BF267">
            <v>25344</v>
          </cell>
          <cell r="BG267">
            <v>0.64000000000000012</v>
          </cell>
          <cell r="BH267">
            <v>6336.0000000000009</v>
          </cell>
          <cell r="BI267">
            <v>3.84</v>
          </cell>
          <cell r="BJ267">
            <v>38016</v>
          </cell>
          <cell r="BK267">
            <v>5.6</v>
          </cell>
          <cell r="BL267">
            <v>55440</v>
          </cell>
          <cell r="BM267">
            <v>14.4</v>
          </cell>
          <cell r="BN267">
            <v>142560</v>
          </cell>
          <cell r="BO267">
            <v>1.6</v>
          </cell>
          <cell r="BP267">
            <v>15840</v>
          </cell>
          <cell r="BQ267">
            <v>0.96</v>
          </cell>
          <cell r="BR267">
            <v>9504</v>
          </cell>
          <cell r="BS267">
            <v>3.2</v>
          </cell>
          <cell r="BT267">
            <v>31680</v>
          </cell>
          <cell r="BU267">
            <v>2.8</v>
          </cell>
          <cell r="BV267">
            <v>27720</v>
          </cell>
          <cell r="BW267">
            <v>2.8</v>
          </cell>
          <cell r="BX267">
            <v>27720</v>
          </cell>
          <cell r="BY267">
            <v>0.64000000000000012</v>
          </cell>
          <cell r="BZ267">
            <v>6336.0000000000009</v>
          </cell>
          <cell r="CA267">
            <v>0.64000000000000012</v>
          </cell>
          <cell r="CB267">
            <v>6336.0000000000009</v>
          </cell>
          <cell r="CC267">
            <v>0.96</v>
          </cell>
          <cell r="CD267">
            <v>9504</v>
          </cell>
          <cell r="CE267">
            <v>1.2800000000000002</v>
          </cell>
          <cell r="CF267">
            <v>12672.000000000002</v>
          </cell>
          <cell r="CG267">
            <v>11.2</v>
          </cell>
          <cell r="CH267">
            <v>110880</v>
          </cell>
          <cell r="CI267">
            <v>7.2</v>
          </cell>
          <cell r="CJ267">
            <v>71280</v>
          </cell>
          <cell r="CK267">
            <v>16.799999999999997</v>
          </cell>
          <cell r="CL267">
            <v>166319.99999999997</v>
          </cell>
          <cell r="CM267">
            <v>13.16</v>
          </cell>
          <cell r="CN267">
            <v>130284</v>
          </cell>
          <cell r="CO267">
            <v>8.8000000000000007</v>
          </cell>
          <cell r="CP267">
            <v>87120</v>
          </cell>
          <cell r="CQ267">
            <v>7.2</v>
          </cell>
          <cell r="CR267">
            <v>71280</v>
          </cell>
          <cell r="CS267">
            <v>16.799999999999997</v>
          </cell>
          <cell r="CT267">
            <v>166319.99999999997</v>
          </cell>
          <cell r="CU267">
            <v>13.16</v>
          </cell>
          <cell r="CV267">
            <v>130284</v>
          </cell>
          <cell r="CW267">
            <v>8.8000000000000007</v>
          </cell>
          <cell r="CX267">
            <v>87120</v>
          </cell>
        </row>
        <row r="268">
          <cell r="A268">
            <v>50</v>
          </cell>
          <cell r="B268" t="str">
            <v>Plesteran Camprot</v>
          </cell>
          <cell r="C268" t="str">
            <v>M2</v>
          </cell>
          <cell r="D268">
            <v>14600</v>
          </cell>
          <cell r="E268">
            <v>0</v>
          </cell>
          <cell r="F268">
            <v>0</v>
          </cell>
          <cell r="G268">
            <v>0</v>
          </cell>
          <cell r="H268">
            <v>0</v>
          </cell>
          <cell r="I268">
            <v>0</v>
          </cell>
          <cell r="K268">
            <v>0</v>
          </cell>
          <cell r="M268">
            <v>0</v>
          </cell>
          <cell r="N268">
            <v>0</v>
          </cell>
          <cell r="O268">
            <v>0</v>
          </cell>
          <cell r="P268">
            <v>0</v>
          </cell>
          <cell r="Q268">
            <v>0</v>
          </cell>
          <cell r="R268">
            <v>0</v>
          </cell>
          <cell r="T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row>
        <row r="269">
          <cell r="A269">
            <v>51</v>
          </cell>
          <cell r="B269" t="str">
            <v>Rangka Metal Furring</v>
          </cell>
          <cell r="C269" t="str">
            <v>M'</v>
          </cell>
          <cell r="D269">
            <v>90000</v>
          </cell>
          <cell r="AS269">
            <v>4.05</v>
          </cell>
          <cell r="AT269">
            <v>364500</v>
          </cell>
          <cell r="AU269">
            <v>6.4399999999999995</v>
          </cell>
          <cell r="AV269">
            <v>579600</v>
          </cell>
          <cell r="AW269">
            <v>32.550000000000004</v>
          </cell>
          <cell r="AX269">
            <v>2929500.0000000005</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row>
        <row r="270">
          <cell r="V270">
            <v>0</v>
          </cell>
        </row>
        <row r="271">
          <cell r="B271" t="str">
            <v>Jumlah Harga</v>
          </cell>
          <cell r="F271">
            <v>3776944.5502499999</v>
          </cell>
          <cell r="H271">
            <v>2832088.3359403941</v>
          </cell>
          <cell r="J271">
            <v>1760337.7291291971</v>
          </cell>
          <cell r="L271">
            <v>1690743.9109799999</v>
          </cell>
          <cell r="N271">
            <v>3776944.5502499999</v>
          </cell>
          <cell r="P271">
            <v>4325959.5126400022</v>
          </cell>
          <cell r="R271">
            <v>203957.891</v>
          </cell>
          <cell r="T271">
            <v>687725.19209999987</v>
          </cell>
          <cell r="V271">
            <v>18029296.658107769</v>
          </cell>
          <cell r="X271">
            <v>1778477.1111249998</v>
          </cell>
          <cell r="Z271">
            <v>1778477.1111249998</v>
          </cell>
          <cell r="AB271">
            <v>2510427.1706250003</v>
          </cell>
          <cell r="AD271">
            <v>2510427.1706250003</v>
          </cell>
          <cell r="AF271">
            <v>1191955.9685</v>
          </cell>
          <cell r="AG271">
            <v>0</v>
          </cell>
          <cell r="AH271">
            <v>227007.360575</v>
          </cell>
          <cell r="AI271">
            <v>0</v>
          </cell>
          <cell r="AJ271">
            <v>495682.89288906247</v>
          </cell>
          <cell r="AK271">
            <v>0</v>
          </cell>
          <cell r="AL271">
            <v>340632.49875000003</v>
          </cell>
          <cell r="AM271">
            <v>0</v>
          </cell>
          <cell r="AN271">
            <v>4315205.9326250004</v>
          </cell>
          <cell r="AO271">
            <v>0</v>
          </cell>
          <cell r="AP271">
            <v>233891.45624999999</v>
          </cell>
          <cell r="AQ271">
            <v>0</v>
          </cell>
          <cell r="AR271">
            <v>113270.448</v>
          </cell>
          <cell r="AS271">
            <v>0</v>
          </cell>
          <cell r="AT271">
            <v>401455</v>
          </cell>
          <cell r="AU271">
            <v>0</v>
          </cell>
          <cell r="AV271">
            <v>757453.2034</v>
          </cell>
          <cell r="AW271">
            <v>0</v>
          </cell>
          <cell r="AX271">
            <v>4346861.7414500006</v>
          </cell>
          <cell r="AY271">
            <v>0</v>
          </cell>
          <cell r="AZ271">
            <v>195619.28399999999</v>
          </cell>
          <cell r="BA271">
            <v>0</v>
          </cell>
          <cell r="BB271">
            <v>195619.28399999999</v>
          </cell>
          <cell r="BC271">
            <v>0</v>
          </cell>
          <cell r="BD271">
            <v>265408.12</v>
          </cell>
          <cell r="BE271">
            <v>0</v>
          </cell>
          <cell r="BF271">
            <v>265408.12</v>
          </cell>
          <cell r="BG271">
            <v>0</v>
          </cell>
          <cell r="BH271">
            <v>69788.83600000001</v>
          </cell>
          <cell r="BI271">
            <v>0</v>
          </cell>
          <cell r="BJ271">
            <v>372336.13500000001</v>
          </cell>
          <cell r="BL271">
            <v>514421.74699999997</v>
          </cell>
          <cell r="BM271">
            <v>0</v>
          </cell>
          <cell r="BN271">
            <v>675092.853</v>
          </cell>
          <cell r="BO271">
            <v>0</v>
          </cell>
          <cell r="BP271">
            <v>164161.67199999999</v>
          </cell>
          <cell r="BQ271">
            <v>0</v>
          </cell>
          <cell r="BR271">
            <v>101246.448</v>
          </cell>
          <cell r="BS271">
            <v>0</v>
          </cell>
          <cell r="BT271">
            <v>317153.72450000001</v>
          </cell>
          <cell r="BU271">
            <v>0</v>
          </cell>
          <cell r="BV271">
            <v>276972.50799999997</v>
          </cell>
          <cell r="BW271">
            <v>0</v>
          </cell>
          <cell r="BX271">
            <v>276972.50799999997</v>
          </cell>
          <cell r="BY271">
            <v>0</v>
          </cell>
          <cell r="BZ271">
            <v>69788.83600000001</v>
          </cell>
          <cell r="CA271">
            <v>0</v>
          </cell>
          <cell r="CB271">
            <v>69788.83600000001</v>
          </cell>
          <cell r="CC271">
            <v>0</v>
          </cell>
          <cell r="CD271">
            <v>101246.448</v>
          </cell>
          <cell r="CE271">
            <v>0</v>
          </cell>
          <cell r="CF271">
            <v>132704.06000000003</v>
          </cell>
          <cell r="CG271">
            <v>0</v>
          </cell>
          <cell r="CH271">
            <v>992757.03099999996</v>
          </cell>
          <cell r="CI271">
            <v>0</v>
          </cell>
          <cell r="CJ271">
            <v>651088.97100000002</v>
          </cell>
          <cell r="CK271">
            <v>0</v>
          </cell>
          <cell r="CL271">
            <v>1326497.6212999998</v>
          </cell>
          <cell r="CM271">
            <v>0</v>
          </cell>
          <cell r="CN271">
            <v>1163095.6655000001</v>
          </cell>
          <cell r="CO271">
            <v>0</v>
          </cell>
          <cell r="CP271">
            <v>748232.92599999998</v>
          </cell>
          <cell r="CX271">
            <v>401455</v>
          </cell>
          <cell r="CZ271">
            <v>317153.72450000001</v>
          </cell>
          <cell r="DH271">
            <v>757453.2034</v>
          </cell>
          <cell r="DJ271">
            <v>276972.50799999997</v>
          </cell>
          <cell r="DR271">
            <v>4346861.7414500006</v>
          </cell>
          <cell r="DT271">
            <v>276972.50799999997</v>
          </cell>
          <cell r="EB271">
            <v>195619.28399999999</v>
          </cell>
          <cell r="ED271">
            <v>69788.83600000001</v>
          </cell>
          <cell r="EL271">
            <v>195619.28399999999</v>
          </cell>
          <cell r="EN271">
            <v>69788.83600000001</v>
          </cell>
          <cell r="EV271">
            <v>265408.12</v>
          </cell>
          <cell r="EX271">
            <v>101246.448</v>
          </cell>
          <cell r="FF271">
            <v>265408.12</v>
          </cell>
          <cell r="FH271">
            <v>132704.06000000003</v>
          </cell>
          <cell r="FP271">
            <v>69788.83600000001</v>
          </cell>
          <cell r="FR271">
            <v>992757.03099999996</v>
          </cell>
          <cell r="FZ271">
            <v>372336.13500000001</v>
          </cell>
          <cell r="GB271">
            <v>651088.97100000002</v>
          </cell>
          <cell r="GL271">
            <v>1326497.6212999998</v>
          </cell>
          <cell r="GV271">
            <v>1163095.6655000001</v>
          </cell>
        </row>
        <row r="273">
          <cell r="AF273">
            <v>1191955.9685</v>
          </cell>
          <cell r="AG273">
            <v>0</v>
          </cell>
          <cell r="AH273">
            <v>227007.360575</v>
          </cell>
          <cell r="AI273">
            <v>0</v>
          </cell>
          <cell r="AJ273">
            <v>495682.89288906247</v>
          </cell>
          <cell r="AK273">
            <v>0</v>
          </cell>
          <cell r="AL273">
            <v>340632.49875000003</v>
          </cell>
          <cell r="AM273">
            <v>0</v>
          </cell>
          <cell r="AN273">
            <v>4315205.9326250004</v>
          </cell>
          <cell r="AO273">
            <v>0</v>
          </cell>
          <cell r="AP273">
            <v>233891.45624999999</v>
          </cell>
          <cell r="AQ273">
            <v>0</v>
          </cell>
          <cell r="AR273">
            <v>113270.448</v>
          </cell>
          <cell r="AS273">
            <v>0</v>
          </cell>
          <cell r="AT273">
            <v>401455</v>
          </cell>
          <cell r="AU273">
            <v>0</v>
          </cell>
          <cell r="AV273">
            <v>757453.2034</v>
          </cell>
          <cell r="AW273">
            <v>0</v>
          </cell>
          <cell r="AX273">
            <v>4346861.7414500006</v>
          </cell>
          <cell r="AY273">
            <v>0</v>
          </cell>
          <cell r="AZ273">
            <v>195619.28399999999</v>
          </cell>
          <cell r="BA273">
            <v>0</v>
          </cell>
          <cell r="BB273">
            <v>195619.28399999999</v>
          </cell>
          <cell r="BC273">
            <v>0</v>
          </cell>
          <cell r="BD273">
            <v>265408.12</v>
          </cell>
          <cell r="BE273">
            <v>0</v>
          </cell>
          <cell r="BF273">
            <v>265408.12</v>
          </cell>
          <cell r="BG273">
            <v>0</v>
          </cell>
          <cell r="BH273">
            <v>69788.83600000001</v>
          </cell>
          <cell r="BI273">
            <v>0</v>
          </cell>
          <cell r="BJ273">
            <v>372336.13500000001</v>
          </cell>
        </row>
        <row r="274">
          <cell r="BL274">
            <v>514421.74699999997</v>
          </cell>
          <cell r="BM274">
            <v>0</v>
          </cell>
          <cell r="BN274">
            <v>675092.853</v>
          </cell>
          <cell r="BO274">
            <v>0</v>
          </cell>
          <cell r="BP274">
            <v>164161.67199999999</v>
          </cell>
          <cell r="BQ274">
            <v>0</v>
          </cell>
          <cell r="BR274">
            <v>101246.448</v>
          </cell>
          <cell r="BS274">
            <v>0</v>
          </cell>
          <cell r="BT274">
            <v>317153.72450000001</v>
          </cell>
          <cell r="BU274">
            <v>0</v>
          </cell>
          <cell r="BV274">
            <v>276972.50799999997</v>
          </cell>
          <cell r="BW274">
            <v>0</v>
          </cell>
          <cell r="BX274">
            <v>276972.50799999997</v>
          </cell>
          <cell r="BY274">
            <v>0</v>
          </cell>
          <cell r="BZ274">
            <v>69788.83600000001</v>
          </cell>
          <cell r="CA274">
            <v>0</v>
          </cell>
          <cell r="CB274">
            <v>69788.83600000001</v>
          </cell>
          <cell r="CC274">
            <v>0</v>
          </cell>
          <cell r="CD274">
            <v>101246.448</v>
          </cell>
          <cell r="CE274">
            <v>0</v>
          </cell>
          <cell r="CF274">
            <v>132704.06000000003</v>
          </cell>
          <cell r="CG274">
            <v>0</v>
          </cell>
          <cell r="CH274">
            <v>992757.03099999996</v>
          </cell>
          <cell r="CI274">
            <v>0</v>
          </cell>
          <cell r="CJ274">
            <v>651088.97100000002</v>
          </cell>
          <cell r="CK274">
            <v>0</v>
          </cell>
          <cell r="CL274">
            <v>1326497.6212999998</v>
          </cell>
          <cell r="CM274">
            <v>0</v>
          </cell>
          <cell r="CN274">
            <v>1163095.6655000001</v>
          </cell>
          <cell r="CO274">
            <v>0</v>
          </cell>
          <cell r="CP274">
            <v>748232.92599999998</v>
          </cell>
          <cell r="HF274">
            <v>748232.92599999998</v>
          </cell>
        </row>
        <row r="275">
          <cell r="A275" t="str">
            <v>No.</v>
          </cell>
          <cell r="B275" t="str">
            <v>Item Pekerjaan</v>
          </cell>
          <cell r="C275" t="str">
            <v>Satuan</v>
          </cell>
          <cell r="D275" t="str">
            <v>Harga Satuan</v>
          </cell>
          <cell r="E275" t="str">
            <v>P1</v>
          </cell>
          <cell r="G275" t="str">
            <v>P2</v>
          </cell>
          <cell r="I275" t="str">
            <v>P3</v>
          </cell>
          <cell r="K275" t="str">
            <v>J1</v>
          </cell>
          <cell r="M275" t="str">
            <v>J1'</v>
          </cell>
          <cell r="O275" t="str">
            <v>J2</v>
          </cell>
          <cell r="Q275" t="str">
            <v>J3</v>
          </cell>
          <cell r="S275" t="str">
            <v>J4</v>
          </cell>
          <cell r="U275" t="str">
            <v>J4'</v>
          </cell>
          <cell r="W275" t="str">
            <v>R1</v>
          </cell>
          <cell r="Y275" t="str">
            <v>R2</v>
          </cell>
          <cell r="AA275" t="str">
            <v>R3</v>
          </cell>
        </row>
        <row r="276">
          <cell r="D276" t="str">
            <v>Rp.</v>
          </cell>
          <cell r="E276" t="str">
            <v>Vol.</v>
          </cell>
          <cell r="F276" t="str">
            <v>Jumlah Harga</v>
          </cell>
          <cell r="G276" t="str">
            <v>Vol.</v>
          </cell>
          <cell r="H276" t="str">
            <v>Jumlah Harga</v>
          </cell>
          <cell r="I276" t="str">
            <v>Vol.</v>
          </cell>
          <cell r="J276" t="str">
            <v>Jumlah Harga</v>
          </cell>
          <cell r="K276" t="str">
            <v>Vol.</v>
          </cell>
          <cell r="L276" t="str">
            <v>Jumlah Harga</v>
          </cell>
          <cell r="M276" t="str">
            <v>Vol.</v>
          </cell>
          <cell r="N276" t="str">
            <v>Jumlah Harga</v>
          </cell>
          <cell r="O276" t="str">
            <v>Vol.</v>
          </cell>
          <cell r="P276" t="str">
            <v>Jumlah Harga</v>
          </cell>
          <cell r="Q276" t="str">
            <v>Vol.</v>
          </cell>
          <cell r="R276" t="str">
            <v>Jumlah Harga</v>
          </cell>
          <cell r="S276" t="str">
            <v>Vol.</v>
          </cell>
          <cell r="T276" t="str">
            <v>Jumlah Harga</v>
          </cell>
          <cell r="U276" t="str">
            <v>Vol.</v>
          </cell>
          <cell r="V276" t="str">
            <v>Jumlah Harga</v>
          </cell>
          <cell r="W276" t="str">
            <v>Vol.</v>
          </cell>
          <cell r="X276" t="str">
            <v>Jumlah Harga</v>
          </cell>
          <cell r="Y276" t="str">
            <v>Vol.</v>
          </cell>
          <cell r="Z276" t="str">
            <v>Jumlah Harga</v>
          </cell>
          <cell r="AA276" t="str">
            <v>Vol.</v>
          </cell>
          <cell r="AB276" t="str">
            <v>Jumlah Harga</v>
          </cell>
        </row>
        <row r="277">
          <cell r="A277" t="str">
            <v>V.</v>
          </cell>
          <cell r="B277" t="str">
            <v>UNIT BANGUNAN KANTOR PUSAT</v>
          </cell>
          <cell r="D277" t="str">
            <v>Rp.</v>
          </cell>
          <cell r="E277" t="str">
            <v>Vol.</v>
          </cell>
          <cell r="F277" t="str">
            <v>Jumlah Harga</v>
          </cell>
          <cell r="G277" t="str">
            <v>Vol.</v>
          </cell>
          <cell r="H277" t="str">
            <v>Jumlah Harga</v>
          </cell>
          <cell r="I277" t="str">
            <v>Vol.</v>
          </cell>
          <cell r="J277" t="str">
            <v>Jumlah Harga</v>
          </cell>
          <cell r="K277" t="str">
            <v>Vol.</v>
          </cell>
          <cell r="L277" t="str">
            <v>Jumlah Harga</v>
          </cell>
          <cell r="M277" t="str">
            <v>Vol.</v>
          </cell>
          <cell r="N277" t="str">
            <v>Jumlah Harga</v>
          </cell>
          <cell r="O277" t="str">
            <v>Vol.</v>
          </cell>
          <cell r="P277" t="str">
            <v>Jumlah Harga</v>
          </cell>
          <cell r="Q277" t="str">
            <v>Vol.</v>
          </cell>
          <cell r="R277" t="str">
            <v>Jumlah Harga</v>
          </cell>
          <cell r="S277" t="str">
            <v>Vol.</v>
          </cell>
          <cell r="T277" t="str">
            <v>Jumlah Harga</v>
          </cell>
          <cell r="U277" t="str">
            <v>Vol.</v>
          </cell>
          <cell r="V277" t="str">
            <v>Jumlah Harga</v>
          </cell>
          <cell r="W277" t="str">
            <v>Vol.</v>
          </cell>
          <cell r="X277" t="str">
            <v>Jumlah Harga</v>
          </cell>
          <cell r="Y277" t="str">
            <v>Vol.</v>
          </cell>
          <cell r="Z277" t="str">
            <v>Jumlah Harga</v>
          </cell>
          <cell r="AA277" t="str">
            <v>Vol.</v>
          </cell>
          <cell r="AB277" t="str">
            <v>Jumlah Harga</v>
          </cell>
        </row>
        <row r="278">
          <cell r="A278" t="str">
            <v>V.</v>
          </cell>
          <cell r="B278" t="str">
            <v>UNIT BANGUNAN KANTOR PUSAT</v>
          </cell>
        </row>
        <row r="279">
          <cell r="A279">
            <v>1</v>
          </cell>
          <cell r="B279" t="str">
            <v>Kayu 6/12</v>
          </cell>
          <cell r="C279" t="str">
            <v>M3</v>
          </cell>
          <cell r="D279">
            <v>0</v>
          </cell>
          <cell r="F279">
            <v>0</v>
          </cell>
          <cell r="G279">
            <v>0</v>
          </cell>
          <cell r="H279">
            <v>0</v>
          </cell>
          <cell r="I279">
            <v>3.6144000000000003E-2</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row>
        <row r="280">
          <cell r="A280">
            <v>2</v>
          </cell>
          <cell r="B280" t="str">
            <v>Kayu Slimar 3/10</v>
          </cell>
          <cell r="C280" t="str">
            <v>M3</v>
          </cell>
          <cell r="D280">
            <v>0</v>
          </cell>
          <cell r="F280">
            <v>0</v>
          </cell>
          <cell r="G280">
            <v>0</v>
          </cell>
          <cell r="H280">
            <v>0</v>
          </cell>
          <cell r="I280">
            <v>1.4159999999999999E-2</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row>
        <row r="281">
          <cell r="A281">
            <v>3</v>
          </cell>
          <cell r="B281" t="str">
            <v>Kayu Slimar 3/15</v>
          </cell>
          <cell r="C281" t="str">
            <v>M3</v>
          </cell>
          <cell r="D281">
            <v>0</v>
          </cell>
          <cell r="F281">
            <v>0</v>
          </cell>
          <cell r="G281">
            <v>0</v>
          </cell>
          <cell r="H281">
            <v>0</v>
          </cell>
          <cell r="I281">
            <v>2.6999999999999997E-3</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row>
        <row r="282">
          <cell r="A282">
            <v>4</v>
          </cell>
          <cell r="B282" t="str">
            <v>Kayu Slimar 3/20</v>
          </cell>
          <cell r="C282" t="str">
            <v>M3</v>
          </cell>
          <cell r="D282">
            <v>0</v>
          </cell>
          <cell r="F282">
            <v>0</v>
          </cell>
          <cell r="G282">
            <v>0</v>
          </cell>
          <cell r="H282">
            <v>0</v>
          </cell>
          <cell r="I282">
            <v>3.5999999999999999E-3</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row>
        <row r="283">
          <cell r="A283">
            <v>5</v>
          </cell>
          <cell r="B283" t="str">
            <v>Kayu 2/10</v>
          </cell>
          <cell r="C283" t="str">
            <v>M3</v>
          </cell>
          <cell r="D283">
            <v>0</v>
          </cell>
          <cell r="F283">
            <v>0</v>
          </cell>
          <cell r="G283">
            <v>0</v>
          </cell>
          <cell r="H283">
            <v>0</v>
          </cell>
          <cell r="I283">
            <v>5.4000000000000012E-3</v>
          </cell>
          <cell r="J283">
            <v>0</v>
          </cell>
          <cell r="K283">
            <v>12.399999999999999</v>
          </cell>
          <cell r="L283">
            <v>0</v>
          </cell>
          <cell r="M283">
            <v>12.399999999999999</v>
          </cell>
          <cell r="N283">
            <v>0</v>
          </cell>
          <cell r="O283">
            <v>6.4</v>
          </cell>
          <cell r="P283">
            <v>0</v>
          </cell>
          <cell r="Q283">
            <v>93.25</v>
          </cell>
          <cell r="R283">
            <v>0</v>
          </cell>
          <cell r="S283">
            <v>13.814999999999998</v>
          </cell>
          <cell r="T283">
            <v>0</v>
          </cell>
          <cell r="U283">
            <v>13.814999999999998</v>
          </cell>
          <cell r="V283">
            <v>0</v>
          </cell>
          <cell r="W283">
            <v>0</v>
          </cell>
          <cell r="X283">
            <v>0</v>
          </cell>
          <cell r="Y283">
            <v>0</v>
          </cell>
          <cell r="Z283">
            <v>0</v>
          </cell>
          <cell r="AA283">
            <v>0</v>
          </cell>
          <cell r="AB283">
            <v>0</v>
          </cell>
        </row>
        <row r="284">
          <cell r="A284">
            <v>6</v>
          </cell>
          <cell r="B284" t="str">
            <v>Panil t = 3 cm</v>
          </cell>
          <cell r="C284" t="str">
            <v>M2</v>
          </cell>
          <cell r="D284">
            <v>0</v>
          </cell>
          <cell r="F284">
            <v>0</v>
          </cell>
          <cell r="G284">
            <v>0</v>
          </cell>
          <cell r="H284">
            <v>0</v>
          </cell>
          <cell r="I284">
            <v>0.49500000000000005</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row>
        <row r="285">
          <cell r="A285">
            <v>1</v>
          </cell>
          <cell r="B285" t="str">
            <v>Kusen Aluminium 5/10</v>
          </cell>
          <cell r="C285" t="str">
            <v>M'</v>
          </cell>
          <cell r="D285">
            <v>124948</v>
          </cell>
          <cell r="F285">
            <v>0</v>
          </cell>
          <cell r="G285">
            <v>0</v>
          </cell>
          <cell r="H285">
            <v>0</v>
          </cell>
          <cell r="I285">
            <v>5</v>
          </cell>
          <cell r="J285">
            <v>624740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row>
        <row r="286">
          <cell r="A286">
            <v>2</v>
          </cell>
          <cell r="B286" t="str">
            <v xml:space="preserve">Rangka Daun Jendela Alumunium </v>
          </cell>
          <cell r="C286" t="str">
            <v>M'</v>
          </cell>
          <cell r="D286">
            <v>124948</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row>
        <row r="287">
          <cell r="A287">
            <v>3</v>
          </cell>
          <cell r="B287" t="str">
            <v>Rangka Tiang Sirip Alumunium 1/1 Putih</v>
          </cell>
          <cell r="C287" t="str">
            <v>M'</v>
          </cell>
          <cell r="D287">
            <v>62474</v>
          </cell>
          <cell r="F287">
            <v>0</v>
          </cell>
          <cell r="G287">
            <v>0</v>
          </cell>
          <cell r="H287">
            <v>0</v>
          </cell>
          <cell r="I287">
            <v>0</v>
          </cell>
          <cell r="J287">
            <v>0</v>
          </cell>
          <cell r="K287">
            <v>2.8499999999999996</v>
          </cell>
          <cell r="L287">
            <v>178050.89999999997</v>
          </cell>
          <cell r="M287">
            <v>2.8499999999999996</v>
          </cell>
          <cell r="N287">
            <v>178050.89999999997</v>
          </cell>
          <cell r="O287">
            <v>0</v>
          </cell>
          <cell r="P287">
            <v>0</v>
          </cell>
          <cell r="Q287">
            <v>14.100000000000003</v>
          </cell>
          <cell r="R287">
            <v>880883.40000000026</v>
          </cell>
          <cell r="S287">
            <v>2.12</v>
          </cell>
          <cell r="T287">
            <v>132444.88</v>
          </cell>
          <cell r="U287">
            <v>2.12</v>
          </cell>
          <cell r="V287">
            <v>132444.88</v>
          </cell>
          <cell r="W287">
            <v>0</v>
          </cell>
          <cell r="X287">
            <v>0</v>
          </cell>
          <cell r="Y287">
            <v>0</v>
          </cell>
          <cell r="Z287">
            <v>0</v>
          </cell>
          <cell r="AA287">
            <v>0</v>
          </cell>
          <cell r="AB287">
            <v>0</v>
          </cell>
        </row>
        <row r="288">
          <cell r="A288">
            <v>4</v>
          </cell>
          <cell r="B288" t="str">
            <v>Pasang Shading Sirip Alumunium 0.2/10 +Rangka</v>
          </cell>
          <cell r="C288" t="str">
            <v>M2</v>
          </cell>
          <cell r="D288">
            <v>0</v>
          </cell>
          <cell r="F288">
            <v>0</v>
          </cell>
          <cell r="G288">
            <v>0</v>
          </cell>
          <cell r="H288">
            <v>0</v>
          </cell>
          <cell r="I288">
            <v>0</v>
          </cell>
          <cell r="J288">
            <v>0</v>
          </cell>
          <cell r="K288">
            <v>0.50749999999999995</v>
          </cell>
          <cell r="L288">
            <v>0</v>
          </cell>
          <cell r="M288">
            <v>0.50749999999999995</v>
          </cell>
          <cell r="N288">
            <v>0</v>
          </cell>
          <cell r="O288">
            <v>0</v>
          </cell>
          <cell r="P288">
            <v>0</v>
          </cell>
          <cell r="Q288">
            <v>1.4649999999999999</v>
          </cell>
          <cell r="R288">
            <v>0</v>
          </cell>
          <cell r="S288">
            <v>0.252</v>
          </cell>
          <cell r="T288">
            <v>0</v>
          </cell>
          <cell r="U288">
            <v>0.252</v>
          </cell>
          <cell r="V288">
            <v>0</v>
          </cell>
          <cell r="W288">
            <v>0</v>
          </cell>
          <cell r="X288">
            <v>0</v>
          </cell>
          <cell r="Y288">
            <v>0</v>
          </cell>
          <cell r="Z288">
            <v>0</v>
          </cell>
          <cell r="AA288">
            <v>0</v>
          </cell>
          <cell r="AB288">
            <v>0</v>
          </cell>
        </row>
        <row r="289">
          <cell r="A289">
            <v>5</v>
          </cell>
          <cell r="B289" t="str">
            <v>Daun Pintu Panil Kamper</v>
          </cell>
          <cell r="C289" t="str">
            <v>bh</v>
          </cell>
          <cell r="D289">
            <v>550000</v>
          </cell>
          <cell r="F289">
            <v>0</v>
          </cell>
          <cell r="G289">
            <v>0</v>
          </cell>
          <cell r="H289">
            <v>0</v>
          </cell>
          <cell r="I289">
            <v>1.2</v>
          </cell>
          <cell r="J289">
            <v>660000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row>
        <row r="290">
          <cell r="A290">
            <v>6</v>
          </cell>
          <cell r="B290" t="str">
            <v>Plat besi t = 2 mm</v>
          </cell>
          <cell r="C290" t="str">
            <v>Kg</v>
          </cell>
          <cell r="D290">
            <v>0</v>
          </cell>
          <cell r="F290">
            <v>0</v>
          </cell>
          <cell r="G290">
            <v>57.085200000000007</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row>
        <row r="291">
          <cell r="A291">
            <v>7</v>
          </cell>
          <cell r="B291" t="str">
            <v>C 40.40.2  (pesan khusus)</v>
          </cell>
          <cell r="C291" t="str">
            <v>Kg</v>
          </cell>
          <cell r="D291">
            <v>14122.3</v>
          </cell>
          <cell r="F291">
            <v>0</v>
          </cell>
          <cell r="G291">
            <v>42.56</v>
          </cell>
          <cell r="H291">
            <v>601045.08799999999</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row>
        <row r="292">
          <cell r="A292">
            <v>8</v>
          </cell>
          <cell r="B292" t="str">
            <v>Handle besi dia 16 mm</v>
          </cell>
          <cell r="C292" t="str">
            <v>Set</v>
          </cell>
          <cell r="D292">
            <v>129652.5</v>
          </cell>
          <cell r="F292">
            <v>0</v>
          </cell>
          <cell r="G292">
            <v>1</v>
          </cell>
          <cell r="H292">
            <v>129652.5</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row>
        <row r="293">
          <cell r="A293">
            <v>9</v>
          </cell>
          <cell r="B293" t="str">
            <v>Hendle pintu Stainless</v>
          </cell>
          <cell r="C293" t="str">
            <v>Set</v>
          </cell>
          <cell r="D293">
            <v>261652.5</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row>
        <row r="294">
          <cell r="A294">
            <v>10</v>
          </cell>
          <cell r="B294" t="str">
            <v>Kunci Pintu Handle stainleess (dorma)</v>
          </cell>
          <cell r="C294" t="str">
            <v>Set</v>
          </cell>
          <cell r="D294">
            <v>650000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row>
        <row r="295">
          <cell r="A295">
            <v>11</v>
          </cell>
          <cell r="B295" t="str">
            <v>Kunci tanam Antik</v>
          </cell>
          <cell r="C295" t="str">
            <v>Set</v>
          </cell>
          <cell r="D295">
            <v>265000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row>
        <row r="296">
          <cell r="A296">
            <v>12</v>
          </cell>
          <cell r="B296" t="str">
            <v>Kunci tanam biasa</v>
          </cell>
          <cell r="C296" t="str">
            <v>Set</v>
          </cell>
          <cell r="D296">
            <v>168565</v>
          </cell>
          <cell r="F296">
            <v>0</v>
          </cell>
          <cell r="G296">
            <v>1</v>
          </cell>
          <cell r="H296">
            <v>168565</v>
          </cell>
          <cell r="I296">
            <v>1</v>
          </cell>
          <cell r="J296">
            <v>168565</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row>
        <row r="297">
          <cell r="A297">
            <v>13</v>
          </cell>
          <cell r="B297" t="str">
            <v>Kunci Silinder</v>
          </cell>
          <cell r="C297" t="str">
            <v>Set</v>
          </cell>
          <cell r="D297">
            <v>217900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row>
        <row r="298">
          <cell r="A298">
            <v>14</v>
          </cell>
          <cell r="B298" t="str">
            <v>Kunci Selot</v>
          </cell>
          <cell r="C298" t="str">
            <v>Set</v>
          </cell>
          <cell r="D298">
            <v>48300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row>
        <row r="299">
          <cell r="A299">
            <v>15</v>
          </cell>
          <cell r="B299" t="str">
            <v>Engsel jendela</v>
          </cell>
          <cell r="C299" t="str">
            <v>Bh</v>
          </cell>
          <cell r="D299">
            <v>16600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row>
        <row r="300">
          <cell r="A300">
            <v>16</v>
          </cell>
          <cell r="B300" t="str">
            <v>Engsel pintu</v>
          </cell>
          <cell r="C300" t="str">
            <v>Bh</v>
          </cell>
          <cell r="D300">
            <v>44395.75</v>
          </cell>
          <cell r="F300">
            <v>0</v>
          </cell>
          <cell r="G300">
            <v>0</v>
          </cell>
          <cell r="H300">
            <v>0</v>
          </cell>
          <cell r="I300">
            <v>3</v>
          </cell>
          <cell r="J300">
            <v>133187.25</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row>
        <row r="301">
          <cell r="A301">
            <v>17</v>
          </cell>
          <cell r="B301" t="str">
            <v>Engsel Pintu dari pipa besi dia 2 cm</v>
          </cell>
          <cell r="C301" t="str">
            <v>Bh</v>
          </cell>
          <cell r="D301">
            <v>66593.625</v>
          </cell>
          <cell r="F301">
            <v>0</v>
          </cell>
          <cell r="G301">
            <v>2</v>
          </cell>
          <cell r="H301">
            <v>133187.25</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row>
        <row r="302">
          <cell r="A302">
            <v>18</v>
          </cell>
          <cell r="B302" t="str">
            <v>Kait/hak angin</v>
          </cell>
          <cell r="C302" t="str">
            <v>Set</v>
          </cell>
          <cell r="D302">
            <v>27000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row>
        <row r="303">
          <cell r="A303">
            <v>19</v>
          </cell>
          <cell r="B303" t="str">
            <v>Grendel pintu kuningan</v>
          </cell>
          <cell r="C303" t="str">
            <v>Bh</v>
          </cell>
          <cell r="D303">
            <v>125000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row>
        <row r="304">
          <cell r="A304">
            <v>20</v>
          </cell>
          <cell r="B304" t="str">
            <v xml:space="preserve">Grendel jendela </v>
          </cell>
          <cell r="C304" t="str">
            <v>Bh</v>
          </cell>
          <cell r="D304">
            <v>8100</v>
          </cell>
          <cell r="F304">
            <v>0</v>
          </cell>
          <cell r="G304">
            <v>0</v>
          </cell>
          <cell r="H304">
            <v>0</v>
          </cell>
          <cell r="I304">
            <v>0</v>
          </cell>
          <cell r="J304">
            <v>0</v>
          </cell>
          <cell r="K304">
            <v>0</v>
          </cell>
          <cell r="L304">
            <v>0</v>
          </cell>
          <cell r="M304">
            <v>0</v>
          </cell>
          <cell r="N304">
            <v>0</v>
          </cell>
          <cell r="O304">
            <v>1</v>
          </cell>
          <cell r="P304">
            <v>8100</v>
          </cell>
          <cell r="Q304">
            <v>0</v>
          </cell>
          <cell r="R304">
            <v>0</v>
          </cell>
          <cell r="S304">
            <v>0</v>
          </cell>
          <cell r="T304">
            <v>0</v>
          </cell>
          <cell r="U304">
            <v>0</v>
          </cell>
          <cell r="V304">
            <v>0</v>
          </cell>
          <cell r="W304">
            <v>0</v>
          </cell>
          <cell r="X304">
            <v>0</v>
          </cell>
          <cell r="Y304">
            <v>0</v>
          </cell>
          <cell r="Z304">
            <v>0</v>
          </cell>
          <cell r="AA304">
            <v>0</v>
          </cell>
          <cell r="AB304">
            <v>0</v>
          </cell>
        </row>
        <row r="305">
          <cell r="A305">
            <v>21</v>
          </cell>
          <cell r="B305" t="str">
            <v>Grendel pintu</v>
          </cell>
          <cell r="C305" t="str">
            <v>Bh</v>
          </cell>
          <cell r="D305">
            <v>14200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row>
        <row r="306">
          <cell r="A306">
            <v>22</v>
          </cell>
          <cell r="B306" t="str">
            <v>Stripting Knip</v>
          </cell>
          <cell r="C306" t="str">
            <v>Set</v>
          </cell>
          <cell r="D306">
            <v>13700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row>
        <row r="307">
          <cell r="A307">
            <v>23</v>
          </cell>
          <cell r="B307" t="str">
            <v>Door Closer</v>
          </cell>
          <cell r="C307" t="str">
            <v>Set</v>
          </cell>
          <cell r="D307">
            <v>260800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row>
        <row r="308">
          <cell r="A308">
            <v>24</v>
          </cell>
          <cell r="B308" t="str">
            <v>Door Holder</v>
          </cell>
          <cell r="C308" t="str">
            <v>Set</v>
          </cell>
          <cell r="D308">
            <v>500000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row>
        <row r="309">
          <cell r="A309">
            <v>25</v>
          </cell>
          <cell r="B309" t="str">
            <v>Door Stop</v>
          </cell>
          <cell r="C309" t="str">
            <v>Set</v>
          </cell>
          <cell r="D309">
            <v>32100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row>
        <row r="310">
          <cell r="A310">
            <v>26</v>
          </cell>
          <cell r="B310" t="str">
            <v>Kaca bening 5 mm</v>
          </cell>
          <cell r="C310" t="str">
            <v>M2</v>
          </cell>
          <cell r="D310">
            <v>66700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row>
        <row r="311">
          <cell r="A311">
            <v>27</v>
          </cell>
          <cell r="B311" t="str">
            <v>Kaca bening 10 mm</v>
          </cell>
          <cell r="C311" t="str">
            <v>M2</v>
          </cell>
          <cell r="D311">
            <v>280895.75</v>
          </cell>
          <cell r="F311">
            <v>0</v>
          </cell>
          <cell r="G311">
            <v>0</v>
          </cell>
          <cell r="H311">
            <v>0</v>
          </cell>
          <cell r="I311">
            <v>0</v>
          </cell>
          <cell r="J311">
            <v>0</v>
          </cell>
          <cell r="K311">
            <v>1.1875</v>
          </cell>
          <cell r="L311">
            <v>333563.703125</v>
          </cell>
          <cell r="M311">
            <v>1.1875</v>
          </cell>
          <cell r="N311">
            <v>333563.703125</v>
          </cell>
          <cell r="O311">
            <v>0.64749999999999996</v>
          </cell>
          <cell r="P311">
            <v>181879.99812499998</v>
          </cell>
          <cell r="Q311">
            <v>4.5719999999999992</v>
          </cell>
          <cell r="R311">
            <v>1284255.3689999997</v>
          </cell>
          <cell r="S311">
            <v>1.3035499999999998</v>
          </cell>
          <cell r="T311">
            <v>366161.65491249994</v>
          </cell>
          <cell r="U311">
            <v>1.3035499999999998</v>
          </cell>
          <cell r="V311">
            <v>366161.65491249994</v>
          </cell>
          <cell r="W311">
            <v>0</v>
          </cell>
          <cell r="X311">
            <v>0</v>
          </cell>
          <cell r="Y311">
            <v>0</v>
          </cell>
          <cell r="Z311">
            <v>0</v>
          </cell>
          <cell r="AA311">
            <v>0</v>
          </cell>
          <cell r="AB311">
            <v>0</v>
          </cell>
        </row>
        <row r="312">
          <cell r="A312">
            <v>28</v>
          </cell>
          <cell r="B312" t="str">
            <v>Kaca Bening 12 mm</v>
          </cell>
          <cell r="C312" t="str">
            <v>M2</v>
          </cell>
          <cell r="D312">
            <v>403787.64062499994</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row>
        <row r="313">
          <cell r="A313">
            <v>29</v>
          </cell>
          <cell r="B313" t="str">
            <v>Besi hollow 4/4</v>
          </cell>
          <cell r="C313" t="str">
            <v>M'</v>
          </cell>
          <cell r="D313">
            <v>48625.000000000051</v>
          </cell>
          <cell r="F313">
            <v>0</v>
          </cell>
          <cell r="G313">
            <v>5.09</v>
          </cell>
          <cell r="H313">
            <v>247501.25000000026</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row>
        <row r="314">
          <cell r="A314">
            <v>30</v>
          </cell>
          <cell r="B314" t="str">
            <v>Besi hollow 6/6</v>
          </cell>
          <cell r="C314" t="str">
            <v>M'</v>
          </cell>
          <cell r="D314">
            <v>74462.500000000058</v>
          </cell>
          <cell r="E314">
            <v>1.413793103448276</v>
          </cell>
          <cell r="F314">
            <v>105274.56896551733</v>
          </cell>
          <cell r="G314">
            <v>5.09</v>
          </cell>
          <cell r="H314">
            <v>379014.12500000029</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row>
        <row r="315">
          <cell r="A315">
            <v>31</v>
          </cell>
          <cell r="B315" t="str">
            <v>Besi hollow 2.5/5</v>
          </cell>
          <cell r="C315" t="str">
            <v>Kg</v>
          </cell>
          <cell r="D315">
            <v>74462.500000000058</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row>
        <row r="316">
          <cell r="A316">
            <v>32</v>
          </cell>
          <cell r="B316" t="str">
            <v>Besi hollow 5/5</v>
          </cell>
          <cell r="C316" t="str">
            <v>Kg</v>
          </cell>
          <cell r="D316">
            <v>74462.500000000058</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row>
        <row r="317">
          <cell r="A317">
            <v>33</v>
          </cell>
          <cell r="B317" t="str">
            <v>Besi hollow 2/2</v>
          </cell>
          <cell r="C317" t="str">
            <v>Kg</v>
          </cell>
          <cell r="D317">
            <v>74462.500000000058</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row>
        <row r="318">
          <cell r="A318">
            <v>34</v>
          </cell>
          <cell r="B318" t="str">
            <v>Besi hollow 2/4</v>
          </cell>
          <cell r="C318" t="str">
            <v>Kg</v>
          </cell>
          <cell r="D318">
            <v>74462.500000000058</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row>
        <row r="319">
          <cell r="A319">
            <v>35</v>
          </cell>
          <cell r="B319" t="str">
            <v>Kaca Tempered 12 mm</v>
          </cell>
          <cell r="C319" t="str">
            <v>M2</v>
          </cell>
          <cell r="D319">
            <v>528395.75</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row>
        <row r="320">
          <cell r="A320">
            <v>36</v>
          </cell>
          <cell r="B320" t="str">
            <v>Glass Block</v>
          </cell>
          <cell r="C320" t="str">
            <v>Bh</v>
          </cell>
          <cell r="D320">
            <v>45000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row>
        <row r="321">
          <cell r="A321">
            <v>37</v>
          </cell>
          <cell r="B321" t="str">
            <v>Kaca Es</v>
          </cell>
          <cell r="C321" t="str">
            <v>M2</v>
          </cell>
          <cell r="D321">
            <v>66700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row>
        <row r="322">
          <cell r="A322">
            <v>38</v>
          </cell>
          <cell r="B322" t="str">
            <v>Krepyak Kaca Nako + Kerangka</v>
          </cell>
          <cell r="C322" t="str">
            <v>M2</v>
          </cell>
          <cell r="D322">
            <v>81300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row>
        <row r="323">
          <cell r="A323">
            <v>39</v>
          </cell>
          <cell r="B323" t="str">
            <v>Sticker Efek Kaca Es</v>
          </cell>
          <cell r="C323" t="str">
            <v>M2</v>
          </cell>
          <cell r="D323">
            <v>150000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row>
        <row r="324">
          <cell r="A324">
            <v>40</v>
          </cell>
          <cell r="B324" t="str">
            <v>Rel Pintu Dorong</v>
          </cell>
          <cell r="C324" t="str">
            <v>M'</v>
          </cell>
          <cell r="D324">
            <v>275000</v>
          </cell>
          <cell r="F324">
            <v>0</v>
          </cell>
          <cell r="G324">
            <v>0</v>
          </cell>
          <cell r="H324">
            <v>0</v>
          </cell>
          <cell r="I324">
            <v>0</v>
          </cell>
          <cell r="J324">
            <v>0</v>
          </cell>
          <cell r="K324">
            <v>4</v>
          </cell>
          <cell r="L324">
            <v>1100000</v>
          </cell>
          <cell r="M324">
            <v>4</v>
          </cell>
          <cell r="N324">
            <v>1100000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row>
        <row r="325">
          <cell r="A325">
            <v>41</v>
          </cell>
          <cell r="B325" t="str">
            <v>Rolling Door</v>
          </cell>
          <cell r="C325" t="str">
            <v>M2</v>
          </cell>
          <cell r="D325">
            <v>358100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row>
        <row r="326">
          <cell r="A326">
            <v>42</v>
          </cell>
          <cell r="B326" t="str">
            <v>Roster</v>
          </cell>
          <cell r="C326" t="str">
            <v>M2</v>
          </cell>
          <cell r="D326">
            <v>133850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0.2</v>
          </cell>
          <cell r="X326">
            <v>26770</v>
          </cell>
          <cell r="Y326">
            <v>5.15</v>
          </cell>
          <cell r="Z326">
            <v>689327.5</v>
          </cell>
          <cell r="AA326">
            <v>0.8</v>
          </cell>
          <cell r="AB326">
            <v>107080</v>
          </cell>
        </row>
        <row r="327">
          <cell r="A327">
            <v>43</v>
          </cell>
          <cell r="B327" t="str">
            <v>Gipsum Board</v>
          </cell>
          <cell r="C327" t="str">
            <v>M2</v>
          </cell>
          <cell r="D327">
            <v>29000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row>
        <row r="328">
          <cell r="A328">
            <v>44</v>
          </cell>
          <cell r="B328" t="str">
            <v>List Gipsum</v>
          </cell>
          <cell r="C328" t="str">
            <v>M'</v>
          </cell>
          <cell r="D328">
            <v>17300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row>
        <row r="329">
          <cell r="A329">
            <v>45</v>
          </cell>
          <cell r="B329" t="str">
            <v>Sealent</v>
          </cell>
          <cell r="C329" t="str">
            <v>M'</v>
          </cell>
          <cell r="D329">
            <v>8400</v>
          </cell>
          <cell r="F329">
            <v>0</v>
          </cell>
          <cell r="G329">
            <v>0</v>
          </cell>
          <cell r="H329">
            <v>0</v>
          </cell>
          <cell r="I329">
            <v>0</v>
          </cell>
          <cell r="J329">
            <v>0</v>
          </cell>
          <cell r="K329">
            <v>12.5</v>
          </cell>
          <cell r="L329">
            <v>105000</v>
          </cell>
          <cell r="M329">
            <v>12.5</v>
          </cell>
          <cell r="N329">
            <v>105000</v>
          </cell>
          <cell r="O329">
            <v>9.1999999999999993</v>
          </cell>
          <cell r="P329">
            <v>77280</v>
          </cell>
          <cell r="Q329">
            <v>69.260000000000005</v>
          </cell>
          <cell r="R329">
            <v>581784</v>
          </cell>
          <cell r="S329">
            <v>19.54</v>
          </cell>
          <cell r="T329">
            <v>164136</v>
          </cell>
          <cell r="U329">
            <v>19.54</v>
          </cell>
          <cell r="V329">
            <v>164136</v>
          </cell>
          <cell r="W329">
            <v>0</v>
          </cell>
          <cell r="X329">
            <v>0</v>
          </cell>
          <cell r="Y329">
            <v>0</v>
          </cell>
          <cell r="Z329">
            <v>0</v>
          </cell>
          <cell r="AA329">
            <v>0</v>
          </cell>
          <cell r="AB329">
            <v>0</v>
          </cell>
        </row>
        <row r="330">
          <cell r="A330">
            <v>46</v>
          </cell>
          <cell r="B330" t="str">
            <v>Benangan Kusen</v>
          </cell>
          <cell r="C330" t="str">
            <v>M'</v>
          </cell>
          <cell r="D330">
            <v>4296.0074999999997</v>
          </cell>
          <cell r="F330">
            <v>0</v>
          </cell>
          <cell r="G330">
            <v>5.5990000000000002</v>
          </cell>
          <cell r="H330">
            <v>24053.345992499999</v>
          </cell>
          <cell r="I330">
            <v>5.7839999999999998</v>
          </cell>
          <cell r="J330">
            <v>24848.107379999998</v>
          </cell>
          <cell r="K330">
            <v>14.399999999999999</v>
          </cell>
          <cell r="L330">
            <v>61862.507999999987</v>
          </cell>
          <cell r="M330">
            <v>14.399999999999999</v>
          </cell>
          <cell r="N330">
            <v>61862.507999999987</v>
          </cell>
          <cell r="O330">
            <v>8</v>
          </cell>
          <cell r="P330">
            <v>34368.06</v>
          </cell>
          <cell r="Q330">
            <v>23</v>
          </cell>
          <cell r="R330">
            <v>98808.172499999986</v>
          </cell>
          <cell r="S330">
            <v>14.32</v>
          </cell>
          <cell r="T330">
            <v>61518.827399999995</v>
          </cell>
          <cell r="U330">
            <v>14.32</v>
          </cell>
          <cell r="V330">
            <v>61518.827399999995</v>
          </cell>
          <cell r="W330">
            <v>0.8</v>
          </cell>
          <cell r="X330">
            <v>3436.806</v>
          </cell>
          <cell r="Y330">
            <v>55.800000000000004</v>
          </cell>
          <cell r="Z330">
            <v>239717.21849999999</v>
          </cell>
          <cell r="AA330">
            <v>69.2</v>
          </cell>
          <cell r="AB330">
            <v>297283.71899999998</v>
          </cell>
        </row>
        <row r="331">
          <cell r="A331">
            <v>47</v>
          </cell>
          <cell r="B331" t="str">
            <v xml:space="preserve">Cat Kayu </v>
          </cell>
          <cell r="C331" t="str">
            <v>M2</v>
          </cell>
          <cell r="D331">
            <v>19370.5</v>
          </cell>
          <cell r="F331">
            <v>0</v>
          </cell>
          <cell r="G331">
            <v>0</v>
          </cell>
          <cell r="H331">
            <v>0</v>
          </cell>
          <cell r="I331">
            <v>4.0991999999999997</v>
          </cell>
          <cell r="J331">
            <v>79403.553599999999</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row>
        <row r="332">
          <cell r="A332">
            <v>48</v>
          </cell>
          <cell r="B332" t="str">
            <v>Cat Besi</v>
          </cell>
          <cell r="C332" t="str">
            <v>M2</v>
          </cell>
          <cell r="D332">
            <v>13698</v>
          </cell>
          <cell r="F332">
            <v>0</v>
          </cell>
          <cell r="G332">
            <v>5.6445590696960588</v>
          </cell>
          <cell r="H332">
            <v>77319.170136696615</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row>
        <row r="333">
          <cell r="A333">
            <v>49</v>
          </cell>
          <cell r="B333" t="str">
            <v>Cat Dinding</v>
          </cell>
          <cell r="C333" t="str">
            <v>M2</v>
          </cell>
          <cell r="D333">
            <v>9900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0.4</v>
          </cell>
          <cell r="X333">
            <v>3960</v>
          </cell>
          <cell r="Y333">
            <v>10.3</v>
          </cell>
          <cell r="Z333">
            <v>101970</v>
          </cell>
          <cell r="AA333">
            <v>13.025</v>
          </cell>
          <cell r="AB333">
            <v>128947.5</v>
          </cell>
        </row>
        <row r="334">
          <cell r="A334">
            <v>50</v>
          </cell>
          <cell r="B334" t="str">
            <v>Plesteran Camprot</v>
          </cell>
          <cell r="C334" t="str">
            <v>M2</v>
          </cell>
          <cell r="D334">
            <v>14600</v>
          </cell>
          <cell r="F334">
            <v>0</v>
          </cell>
          <cell r="G334">
            <v>0</v>
          </cell>
          <cell r="H334">
            <v>0</v>
          </cell>
          <cell r="I334">
            <v>0</v>
          </cell>
          <cell r="K334">
            <v>0</v>
          </cell>
          <cell r="M334">
            <v>0</v>
          </cell>
          <cell r="N334">
            <v>0</v>
          </cell>
          <cell r="O334">
            <v>0</v>
          </cell>
          <cell r="P334">
            <v>0</v>
          </cell>
          <cell r="Q334">
            <v>0</v>
          </cell>
          <cell r="R334">
            <v>0</v>
          </cell>
          <cell r="S334">
            <v>0</v>
          </cell>
          <cell r="T334">
            <v>0</v>
          </cell>
          <cell r="U334">
            <v>0</v>
          </cell>
          <cell r="V334">
            <v>0</v>
          </cell>
          <cell r="W334">
            <v>0</v>
          </cell>
          <cell r="X334">
            <v>0</v>
          </cell>
          <cell r="Y334">
            <v>1.6</v>
          </cell>
          <cell r="Z334">
            <v>23360</v>
          </cell>
          <cell r="AA334">
            <v>0.8</v>
          </cell>
          <cell r="AB334">
            <v>11680</v>
          </cell>
        </row>
        <row r="335">
          <cell r="M335">
            <v>0</v>
          </cell>
          <cell r="N335">
            <v>0</v>
          </cell>
          <cell r="O335">
            <v>0</v>
          </cell>
          <cell r="P335">
            <v>0</v>
          </cell>
          <cell r="Q335">
            <v>0</v>
          </cell>
          <cell r="R335">
            <v>0</v>
          </cell>
          <cell r="S335">
            <v>0</v>
          </cell>
          <cell r="T335">
            <v>0</v>
          </cell>
          <cell r="U335">
            <v>0</v>
          </cell>
          <cell r="V335">
            <v>0</v>
          </cell>
          <cell r="W335">
            <v>0</v>
          </cell>
          <cell r="X335">
            <v>0</v>
          </cell>
          <cell r="Y335">
            <v>1.6</v>
          </cell>
          <cell r="Z335">
            <v>23360</v>
          </cell>
          <cell r="AA335">
            <v>0.8</v>
          </cell>
          <cell r="AB335">
            <v>11680</v>
          </cell>
        </row>
        <row r="336">
          <cell r="B336" t="str">
            <v>Jumlah Harga</v>
          </cell>
          <cell r="F336">
            <v>105274.56896551733</v>
          </cell>
          <cell r="H336">
            <v>1760337.7291291971</v>
          </cell>
          <cell r="J336">
            <v>1690743.9109799999</v>
          </cell>
          <cell r="L336">
            <v>1778477.1111249998</v>
          </cell>
          <cell r="N336">
            <v>1778477.1111249998</v>
          </cell>
          <cell r="P336">
            <v>301628.05812499998</v>
          </cell>
          <cell r="R336">
            <v>2845730.9414999997</v>
          </cell>
          <cell r="T336">
            <v>724261.3623124999</v>
          </cell>
          <cell r="V336">
            <v>724261.3623124999</v>
          </cell>
          <cell r="X336">
            <v>34166.805999999997</v>
          </cell>
          <cell r="Z336">
            <v>1054374.7185</v>
          </cell>
          <cell r="AB336">
            <v>544991.21900000004</v>
          </cell>
        </row>
        <row r="338">
          <cell r="Z338">
            <v>1054374.7185</v>
          </cell>
        </row>
        <row r="339">
          <cell r="AB339">
            <v>544991.21900000004</v>
          </cell>
        </row>
        <row r="340">
          <cell r="A340" t="str">
            <v>No.</v>
          </cell>
          <cell r="B340" t="str">
            <v>Item Pekerjaan</v>
          </cell>
          <cell r="C340" t="str">
            <v>Satuan</v>
          </cell>
          <cell r="D340" t="str">
            <v>Harga Satuan</v>
          </cell>
          <cell r="E340" t="str">
            <v>P1A</v>
          </cell>
          <cell r="G340" t="str">
            <v>P1B</v>
          </cell>
          <cell r="I340" t="str">
            <v>P2</v>
          </cell>
          <cell r="K340" t="str">
            <v>P3A</v>
          </cell>
          <cell r="M340" t="str">
            <v>P3B</v>
          </cell>
          <cell r="O340" t="str">
            <v>P4A</v>
          </cell>
          <cell r="Q340" t="str">
            <v>P4B</v>
          </cell>
          <cell r="S340" t="str">
            <v>J2A</v>
          </cell>
          <cell r="U340" t="str">
            <v>J2B</v>
          </cell>
          <cell r="W340" t="str">
            <v>J3</v>
          </cell>
          <cell r="Y340" t="str">
            <v>J4</v>
          </cell>
          <cell r="AA340" t="str">
            <v>J5 atau J8</v>
          </cell>
          <cell r="AC340" t="str">
            <v>BV1</v>
          </cell>
          <cell r="AE340" t="str">
            <v>BV2</v>
          </cell>
        </row>
        <row r="341">
          <cell r="D341" t="str">
            <v>Rp.</v>
          </cell>
          <cell r="E341" t="str">
            <v>Vol.</v>
          </cell>
          <cell r="F341" t="str">
            <v>Jumlah Harga</v>
          </cell>
          <cell r="G341" t="str">
            <v>Vol.</v>
          </cell>
          <cell r="H341" t="str">
            <v>Jumlah Harga</v>
          </cell>
          <cell r="I341" t="str">
            <v>Vol.</v>
          </cell>
          <cell r="J341" t="str">
            <v>Jumlah Harga</v>
          </cell>
          <cell r="K341" t="str">
            <v>Vol.</v>
          </cell>
          <cell r="L341" t="str">
            <v>Jumlah Harga</v>
          </cell>
          <cell r="M341" t="str">
            <v>Vol.</v>
          </cell>
          <cell r="N341" t="str">
            <v>Jumlah Harga</v>
          </cell>
          <cell r="O341" t="str">
            <v>Vol.</v>
          </cell>
          <cell r="P341" t="str">
            <v>Jumlah Harga</v>
          </cell>
          <cell r="Q341" t="str">
            <v>Vol.</v>
          </cell>
          <cell r="R341" t="str">
            <v>Jumlah Harga</v>
          </cell>
          <cell r="S341" t="str">
            <v>Vol.</v>
          </cell>
          <cell r="T341" t="str">
            <v>Jumlah Harga</v>
          </cell>
          <cell r="U341" t="str">
            <v>Vol.</v>
          </cell>
          <cell r="V341" t="str">
            <v>Jumlah Harga</v>
          </cell>
          <cell r="W341" t="str">
            <v>Vol.</v>
          </cell>
          <cell r="X341" t="str">
            <v>Jumlah Harga</v>
          </cell>
          <cell r="Y341" t="str">
            <v>Vol.</v>
          </cell>
          <cell r="Z341" t="str">
            <v>Jumlah Harga</v>
          </cell>
          <cell r="AA341" t="str">
            <v>Vol.</v>
          </cell>
          <cell r="AB341" t="str">
            <v>Jumlah Harga</v>
          </cell>
          <cell r="AC341" t="str">
            <v>Vol.</v>
          </cell>
          <cell r="AD341" t="str">
            <v>Jumlah Harga</v>
          </cell>
          <cell r="AE341" t="str">
            <v>Vol.</v>
          </cell>
          <cell r="AF341" t="str">
            <v>Jumlah Harga</v>
          </cell>
        </row>
        <row r="342">
          <cell r="A342" t="str">
            <v>VI.</v>
          </cell>
          <cell r="B342" t="str">
            <v>UNIT BANGUNAN ASRAMA</v>
          </cell>
          <cell r="D342" t="str">
            <v>Rp.</v>
          </cell>
          <cell r="E342" t="str">
            <v>Vol.</v>
          </cell>
          <cell r="F342" t="str">
            <v>Jumlah Harga</v>
          </cell>
          <cell r="G342" t="str">
            <v>Vol.</v>
          </cell>
          <cell r="H342" t="str">
            <v>Jumlah Harga</v>
          </cell>
          <cell r="I342" t="str">
            <v>Vol.</v>
          </cell>
          <cell r="J342" t="str">
            <v>Jumlah Harga</v>
          </cell>
          <cell r="K342" t="str">
            <v>Vol.</v>
          </cell>
          <cell r="L342" t="str">
            <v>Jumlah Harga</v>
          </cell>
          <cell r="M342" t="str">
            <v>Vol.</v>
          </cell>
          <cell r="N342" t="str">
            <v>Jumlah Harga</v>
          </cell>
          <cell r="O342" t="str">
            <v>Vol.</v>
          </cell>
          <cell r="P342" t="str">
            <v>Jumlah Harga</v>
          </cell>
          <cell r="Q342" t="str">
            <v>Vol.</v>
          </cell>
          <cell r="R342" t="str">
            <v>Jumlah Harga</v>
          </cell>
          <cell r="S342" t="str">
            <v>Vol.</v>
          </cell>
          <cell r="T342" t="str">
            <v>Jumlah Harga</v>
          </cell>
          <cell r="U342" t="str">
            <v>Vol.</v>
          </cell>
          <cell r="V342" t="str">
            <v>Jumlah Harga</v>
          </cell>
          <cell r="W342" t="str">
            <v>Vol.</v>
          </cell>
          <cell r="X342" t="str">
            <v>Jumlah Harga</v>
          </cell>
          <cell r="Y342" t="str">
            <v>Vol.</v>
          </cell>
          <cell r="Z342" t="str">
            <v>Jumlah Harga</v>
          </cell>
          <cell r="AA342" t="str">
            <v>Vol.</v>
          </cell>
          <cell r="AB342" t="str">
            <v>Jumlah Harga</v>
          </cell>
          <cell r="AC342" t="str">
            <v>Vol.</v>
          </cell>
          <cell r="AD342" t="str">
            <v>Jumlah Harga</v>
          </cell>
          <cell r="AE342" t="str">
            <v>Vol.</v>
          </cell>
          <cell r="AF342" t="str">
            <v>Jumlah Harga</v>
          </cell>
        </row>
        <row r="343">
          <cell r="A343" t="str">
            <v>VI.</v>
          </cell>
          <cell r="B343" t="str">
            <v>UNIT BANGUNAN ASRAMA</v>
          </cell>
        </row>
        <row r="344">
          <cell r="A344">
            <v>1</v>
          </cell>
          <cell r="B344" t="str">
            <v>Kayu 6/12</v>
          </cell>
          <cell r="C344" t="str">
            <v>M3</v>
          </cell>
          <cell r="D344">
            <v>0</v>
          </cell>
          <cell r="E344">
            <v>1.12E-2</v>
          </cell>
          <cell r="F344">
            <v>0</v>
          </cell>
          <cell r="G344">
            <v>1.12E-2</v>
          </cell>
          <cell r="H344">
            <v>0</v>
          </cell>
          <cell r="I344">
            <v>0</v>
          </cell>
          <cell r="J344">
            <v>0</v>
          </cell>
          <cell r="K344">
            <v>3.6144000000000003E-2</v>
          </cell>
          <cell r="L344">
            <v>0</v>
          </cell>
          <cell r="M344">
            <v>3.6144000000000003E-2</v>
          </cell>
          <cell r="N344">
            <v>0</v>
          </cell>
          <cell r="O344">
            <v>8.0000000000000002E-3</v>
          </cell>
          <cell r="P344">
            <v>0</v>
          </cell>
          <cell r="Q344">
            <v>8.0000000000000002E-3</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row>
        <row r="345">
          <cell r="A345">
            <v>2</v>
          </cell>
          <cell r="B345" t="str">
            <v>Kayu Slimar 3/10</v>
          </cell>
          <cell r="C345" t="str">
            <v>M3</v>
          </cell>
          <cell r="D345">
            <v>0</v>
          </cell>
          <cell r="E345">
            <v>3.2000000000000002E-3</v>
          </cell>
          <cell r="F345">
            <v>0</v>
          </cell>
          <cell r="G345">
            <v>3.2000000000000002E-3</v>
          </cell>
          <cell r="H345">
            <v>0</v>
          </cell>
          <cell r="I345">
            <v>0</v>
          </cell>
          <cell r="J345">
            <v>0</v>
          </cell>
          <cell r="K345">
            <v>1.4159999999999999E-2</v>
          </cell>
          <cell r="L345">
            <v>0</v>
          </cell>
          <cell r="M345">
            <v>1.4159999999999999E-2</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row>
        <row r="346">
          <cell r="A346">
            <v>3</v>
          </cell>
          <cell r="B346" t="str">
            <v>Kayu Slimar 3/15</v>
          </cell>
          <cell r="C346" t="str">
            <v>M3</v>
          </cell>
          <cell r="D346">
            <v>0</v>
          </cell>
          <cell r="E346">
            <v>3.2</v>
          </cell>
          <cell r="F346">
            <v>0</v>
          </cell>
          <cell r="G346">
            <v>3.2</v>
          </cell>
          <cell r="H346">
            <v>0</v>
          </cell>
          <cell r="I346">
            <v>0</v>
          </cell>
          <cell r="J346">
            <v>0</v>
          </cell>
          <cell r="K346">
            <v>2.6999999999999997E-3</v>
          </cell>
          <cell r="L346">
            <v>0</v>
          </cell>
          <cell r="M346">
            <v>2.6999999999999997E-3</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row>
        <row r="347">
          <cell r="A347">
            <v>4</v>
          </cell>
          <cell r="B347" t="str">
            <v>Kayu Slimar 3/20</v>
          </cell>
          <cell r="C347" t="str">
            <v>M3</v>
          </cell>
          <cell r="D347">
            <v>0</v>
          </cell>
          <cell r="E347">
            <v>3.2</v>
          </cell>
          <cell r="F347">
            <v>0</v>
          </cell>
          <cell r="G347">
            <v>3.2</v>
          </cell>
          <cell r="H347">
            <v>0</v>
          </cell>
          <cell r="I347">
            <v>0</v>
          </cell>
          <cell r="J347">
            <v>0</v>
          </cell>
          <cell r="K347">
            <v>3.5999999999999999E-3</v>
          </cell>
          <cell r="L347">
            <v>0</v>
          </cell>
          <cell r="M347">
            <v>3.5999999999999999E-3</v>
          </cell>
          <cell r="N347">
            <v>0</v>
          </cell>
          <cell r="O347">
            <v>1.32</v>
          </cell>
          <cell r="P347">
            <v>0</v>
          </cell>
          <cell r="Q347">
            <v>1.32</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row>
        <row r="348">
          <cell r="A348">
            <v>5</v>
          </cell>
          <cell r="B348" t="str">
            <v>Kayu 2/10</v>
          </cell>
          <cell r="C348" t="str">
            <v>M3</v>
          </cell>
          <cell r="D348">
            <v>0</v>
          </cell>
          <cell r="E348">
            <v>5</v>
          </cell>
          <cell r="F348">
            <v>0</v>
          </cell>
          <cell r="G348">
            <v>5</v>
          </cell>
          <cell r="H348">
            <v>0</v>
          </cell>
          <cell r="I348">
            <v>0</v>
          </cell>
          <cell r="J348">
            <v>0</v>
          </cell>
          <cell r="K348">
            <v>5.4000000000000012E-3</v>
          </cell>
          <cell r="L348">
            <v>0</v>
          </cell>
          <cell r="M348">
            <v>5.4000000000000012E-3</v>
          </cell>
          <cell r="N348">
            <v>0</v>
          </cell>
          <cell r="O348">
            <v>3.8</v>
          </cell>
          <cell r="P348">
            <v>0</v>
          </cell>
          <cell r="Q348">
            <v>3.8</v>
          </cell>
          <cell r="R348">
            <v>0</v>
          </cell>
          <cell r="S348">
            <v>10.85</v>
          </cell>
          <cell r="T348">
            <v>0</v>
          </cell>
          <cell r="U348">
            <v>10.85</v>
          </cell>
          <cell r="V348">
            <v>0</v>
          </cell>
          <cell r="W348">
            <v>0</v>
          </cell>
          <cell r="X348">
            <v>0</v>
          </cell>
          <cell r="Y348">
            <v>4.5999999999999996</v>
          </cell>
          <cell r="Z348">
            <v>0</v>
          </cell>
          <cell r="AA348">
            <v>3.5999999999999996</v>
          </cell>
          <cell r="AB348">
            <v>0</v>
          </cell>
          <cell r="AC348">
            <v>4</v>
          </cell>
          <cell r="AD348">
            <v>0</v>
          </cell>
          <cell r="AE348">
            <v>4</v>
          </cell>
          <cell r="AF348">
            <v>0</v>
          </cell>
        </row>
        <row r="349">
          <cell r="A349">
            <v>6</v>
          </cell>
          <cell r="B349" t="str">
            <v>Panil t = 3 cm</v>
          </cell>
          <cell r="C349" t="str">
            <v>M2</v>
          </cell>
          <cell r="D349">
            <v>0</v>
          </cell>
          <cell r="E349">
            <v>0</v>
          </cell>
          <cell r="F349">
            <v>0</v>
          </cell>
          <cell r="G349">
            <v>0</v>
          </cell>
          <cell r="H349">
            <v>0</v>
          </cell>
          <cell r="I349">
            <v>0</v>
          </cell>
          <cell r="J349">
            <v>0</v>
          </cell>
          <cell r="K349">
            <v>0.49500000000000005</v>
          </cell>
          <cell r="L349">
            <v>0</v>
          </cell>
          <cell r="M349">
            <v>0.49500000000000005</v>
          </cell>
          <cell r="N349">
            <v>0</v>
          </cell>
          <cell r="O349">
            <v>0</v>
          </cell>
          <cell r="P349">
            <v>0</v>
          </cell>
          <cell r="Q349">
            <v>0</v>
          </cell>
          <cell r="R349">
            <v>0</v>
          </cell>
          <cell r="S349">
            <v>0</v>
          </cell>
          <cell r="T349">
            <v>0</v>
          </cell>
          <cell r="U349">
            <v>0</v>
          </cell>
          <cell r="V349">
            <v>0</v>
          </cell>
          <cell r="W349">
            <v>6.66</v>
          </cell>
          <cell r="X349">
            <v>0</v>
          </cell>
          <cell r="Y349">
            <v>0</v>
          </cell>
          <cell r="Z349">
            <v>0</v>
          </cell>
          <cell r="AA349">
            <v>0</v>
          </cell>
          <cell r="AB349">
            <v>0</v>
          </cell>
          <cell r="AC349">
            <v>0</v>
          </cell>
          <cell r="AD349">
            <v>0</v>
          </cell>
          <cell r="AE349">
            <v>0</v>
          </cell>
          <cell r="AF349">
            <v>0</v>
          </cell>
        </row>
        <row r="350">
          <cell r="A350">
            <v>1</v>
          </cell>
          <cell r="B350" t="str">
            <v>Kusen Aluminium 5/10</v>
          </cell>
          <cell r="C350" t="str">
            <v>M'</v>
          </cell>
          <cell r="D350">
            <v>124948</v>
          </cell>
          <cell r="E350">
            <v>0</v>
          </cell>
          <cell r="F350">
            <v>0</v>
          </cell>
          <cell r="G350">
            <v>0</v>
          </cell>
          <cell r="H350">
            <v>0</v>
          </cell>
          <cell r="I350">
            <v>6.1999999999999993</v>
          </cell>
          <cell r="J350">
            <v>774677.59999999986</v>
          </cell>
          <cell r="K350">
            <v>5</v>
          </cell>
          <cell r="L350">
            <v>624740</v>
          </cell>
          <cell r="M350">
            <v>5</v>
          </cell>
          <cell r="N350">
            <v>624740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row>
        <row r="351">
          <cell r="A351">
            <v>2</v>
          </cell>
          <cell r="B351" t="str">
            <v xml:space="preserve">Rangka Daun Jendela Alumunium </v>
          </cell>
          <cell r="C351" t="str">
            <v>M'</v>
          </cell>
          <cell r="D351">
            <v>124948</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7</v>
          </cell>
          <cell r="T351">
            <v>874636</v>
          </cell>
          <cell r="U351">
            <v>7</v>
          </cell>
          <cell r="V351">
            <v>874636</v>
          </cell>
          <cell r="W351">
            <v>0</v>
          </cell>
          <cell r="X351">
            <v>0</v>
          </cell>
          <cell r="Y351">
            <v>4.2</v>
          </cell>
          <cell r="Z351">
            <v>524781.6</v>
          </cell>
          <cell r="AA351">
            <v>3.2</v>
          </cell>
          <cell r="AB351">
            <v>399833.60000000003</v>
          </cell>
          <cell r="AC351">
            <v>0</v>
          </cell>
          <cell r="AD351">
            <v>0</v>
          </cell>
          <cell r="AE351">
            <v>0</v>
          </cell>
          <cell r="AF351">
            <v>0</v>
          </cell>
        </row>
        <row r="352">
          <cell r="A352">
            <v>3</v>
          </cell>
          <cell r="B352" t="str">
            <v>Rangka Tiang Sirip Alumunium 1/1 Putih</v>
          </cell>
          <cell r="C352" t="str">
            <v>M'</v>
          </cell>
          <cell r="D352">
            <v>62474</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2.6</v>
          </cell>
          <cell r="T352">
            <v>162432.4</v>
          </cell>
          <cell r="U352">
            <v>2.6</v>
          </cell>
          <cell r="V352">
            <v>162432.4</v>
          </cell>
          <cell r="W352">
            <v>0</v>
          </cell>
          <cell r="X352">
            <v>0</v>
          </cell>
          <cell r="Y352">
            <v>0</v>
          </cell>
          <cell r="Z352">
            <v>0</v>
          </cell>
          <cell r="AA352">
            <v>0</v>
          </cell>
          <cell r="AB352">
            <v>0</v>
          </cell>
          <cell r="AC352">
            <v>0</v>
          </cell>
          <cell r="AD352">
            <v>0</v>
          </cell>
          <cell r="AE352">
            <v>0</v>
          </cell>
          <cell r="AF352">
            <v>0</v>
          </cell>
        </row>
        <row r="353">
          <cell r="A353">
            <v>4</v>
          </cell>
          <cell r="B353" t="str">
            <v>Pasang Shading Sirip Alumunium 0.2/10 +Rangka</v>
          </cell>
          <cell r="C353" t="str">
            <v>M2</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0.26250000000000001</v>
          </cell>
          <cell r="T353">
            <v>0</v>
          </cell>
          <cell r="U353">
            <v>0.26250000000000001</v>
          </cell>
          <cell r="V353">
            <v>0</v>
          </cell>
          <cell r="W353">
            <v>0</v>
          </cell>
          <cell r="X353">
            <v>0</v>
          </cell>
          <cell r="Y353">
            <v>0</v>
          </cell>
          <cell r="Z353">
            <v>0</v>
          </cell>
          <cell r="AA353">
            <v>0</v>
          </cell>
          <cell r="AB353">
            <v>0</v>
          </cell>
          <cell r="AC353">
            <v>0</v>
          </cell>
          <cell r="AD353">
            <v>0</v>
          </cell>
          <cell r="AE353">
            <v>0</v>
          </cell>
          <cell r="AF353">
            <v>0</v>
          </cell>
        </row>
        <row r="354">
          <cell r="A354">
            <v>5</v>
          </cell>
          <cell r="B354" t="str">
            <v>Daun Pintu Panil Kamper</v>
          </cell>
          <cell r="C354" t="str">
            <v>bh</v>
          </cell>
          <cell r="D354">
            <v>550000</v>
          </cell>
          <cell r="E354">
            <v>1.2E-2</v>
          </cell>
          <cell r="F354">
            <v>6600</v>
          </cell>
          <cell r="G354">
            <v>1.2E-2</v>
          </cell>
          <cell r="H354">
            <v>6600</v>
          </cell>
          <cell r="I354">
            <v>0</v>
          </cell>
          <cell r="J354">
            <v>0</v>
          </cell>
          <cell r="K354">
            <v>1.2</v>
          </cell>
          <cell r="L354">
            <v>660000</v>
          </cell>
          <cell r="M354">
            <v>1.2</v>
          </cell>
          <cell r="N354">
            <v>660000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row>
        <row r="355">
          <cell r="A355">
            <v>6</v>
          </cell>
          <cell r="B355" t="str">
            <v>Plat besi t = 2 mm</v>
          </cell>
          <cell r="C355" t="str">
            <v>Kg</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row>
        <row r="356">
          <cell r="A356">
            <v>7</v>
          </cell>
          <cell r="B356" t="str">
            <v>C 40.40.2  (pesan khusus)</v>
          </cell>
          <cell r="C356" t="str">
            <v>Kg</v>
          </cell>
          <cell r="D356">
            <v>14122.3</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row>
        <row r="357">
          <cell r="A357">
            <v>8</v>
          </cell>
          <cell r="B357" t="str">
            <v>Handle besi dia 16 mm</v>
          </cell>
          <cell r="C357" t="str">
            <v>Set</v>
          </cell>
          <cell r="D357">
            <v>129652.5</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row>
        <row r="358">
          <cell r="A358">
            <v>9</v>
          </cell>
          <cell r="B358" t="str">
            <v>Hendle pintu Stainless</v>
          </cell>
          <cell r="C358" t="str">
            <v>Set</v>
          </cell>
          <cell r="D358">
            <v>261652.5</v>
          </cell>
          <cell r="E358">
            <v>0</v>
          </cell>
          <cell r="F358">
            <v>0</v>
          </cell>
          <cell r="G358">
            <v>0</v>
          </cell>
          <cell r="H358">
            <v>0</v>
          </cell>
          <cell r="I358">
            <v>2</v>
          </cell>
          <cell r="J358">
            <v>523305</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row>
        <row r="359">
          <cell r="A359">
            <v>10</v>
          </cell>
          <cell r="B359" t="str">
            <v>Kunci Pintu Handle stainleess (dorma)</v>
          </cell>
          <cell r="C359" t="str">
            <v>Set</v>
          </cell>
          <cell r="D359">
            <v>650000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row>
        <row r="360">
          <cell r="A360">
            <v>11</v>
          </cell>
          <cell r="B360" t="str">
            <v>Kunci tanam Antik</v>
          </cell>
          <cell r="C360" t="str">
            <v>Set</v>
          </cell>
          <cell r="D360">
            <v>265000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row>
        <row r="361">
          <cell r="A361">
            <v>12</v>
          </cell>
          <cell r="B361" t="str">
            <v>Kunci tanam biasa</v>
          </cell>
          <cell r="C361" t="str">
            <v>Set</v>
          </cell>
          <cell r="D361">
            <v>168565</v>
          </cell>
          <cell r="E361">
            <v>1</v>
          </cell>
          <cell r="F361">
            <v>168565</v>
          </cell>
          <cell r="G361">
            <v>1</v>
          </cell>
          <cell r="H361">
            <v>168565</v>
          </cell>
          <cell r="I361">
            <v>0</v>
          </cell>
          <cell r="J361">
            <v>0</v>
          </cell>
          <cell r="K361">
            <v>1</v>
          </cell>
          <cell r="L361">
            <v>168565</v>
          </cell>
          <cell r="M361">
            <v>1</v>
          </cell>
          <cell r="N361">
            <v>168565</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row>
        <row r="362">
          <cell r="A362">
            <v>13</v>
          </cell>
          <cell r="B362" t="str">
            <v>Kunci Silinder</v>
          </cell>
          <cell r="C362" t="str">
            <v>Set</v>
          </cell>
          <cell r="D362">
            <v>217900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row>
        <row r="363">
          <cell r="A363">
            <v>14</v>
          </cell>
          <cell r="B363" t="str">
            <v>Kunci Selot</v>
          </cell>
          <cell r="C363" t="str">
            <v>Set</v>
          </cell>
          <cell r="D363">
            <v>48300</v>
          </cell>
          <cell r="E363">
            <v>1</v>
          </cell>
          <cell r="F363">
            <v>48300</v>
          </cell>
          <cell r="G363">
            <v>1</v>
          </cell>
          <cell r="H363">
            <v>48300</v>
          </cell>
          <cell r="I363">
            <v>0</v>
          </cell>
          <cell r="J363">
            <v>0</v>
          </cell>
          <cell r="K363">
            <v>0</v>
          </cell>
          <cell r="L363">
            <v>0</v>
          </cell>
          <cell r="M363">
            <v>0</v>
          </cell>
          <cell r="N363">
            <v>0</v>
          </cell>
          <cell r="O363">
            <v>1</v>
          </cell>
          <cell r="P363">
            <v>48300</v>
          </cell>
          <cell r="Q363">
            <v>1</v>
          </cell>
          <cell r="R363">
            <v>48300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row>
        <row r="364">
          <cell r="A364">
            <v>15</v>
          </cell>
          <cell r="B364" t="str">
            <v>Engsel jendela</v>
          </cell>
          <cell r="C364" t="str">
            <v>Bh</v>
          </cell>
          <cell r="D364">
            <v>16600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4</v>
          </cell>
          <cell r="T364">
            <v>66400</v>
          </cell>
          <cell r="U364">
            <v>4</v>
          </cell>
          <cell r="V364">
            <v>66400</v>
          </cell>
          <cell r="W364">
            <v>0</v>
          </cell>
          <cell r="X364">
            <v>0</v>
          </cell>
          <cell r="Y364">
            <v>2</v>
          </cell>
          <cell r="Z364">
            <v>33200</v>
          </cell>
          <cell r="AA364">
            <v>2</v>
          </cell>
          <cell r="AB364">
            <v>33200</v>
          </cell>
          <cell r="AC364">
            <v>0</v>
          </cell>
          <cell r="AD364">
            <v>0</v>
          </cell>
          <cell r="AE364">
            <v>0</v>
          </cell>
          <cell r="AF364">
            <v>0</v>
          </cell>
        </row>
        <row r="365">
          <cell r="A365">
            <v>16</v>
          </cell>
          <cell r="B365" t="str">
            <v>Engsel pintu</v>
          </cell>
          <cell r="C365" t="str">
            <v>Bh</v>
          </cell>
          <cell r="D365">
            <v>44395.75</v>
          </cell>
          <cell r="E365">
            <v>2</v>
          </cell>
          <cell r="F365">
            <v>88791.5</v>
          </cell>
          <cell r="G365">
            <v>2</v>
          </cell>
          <cell r="H365">
            <v>88791.5</v>
          </cell>
          <cell r="I365">
            <v>4</v>
          </cell>
          <cell r="J365">
            <v>177583</v>
          </cell>
          <cell r="K365">
            <v>3</v>
          </cell>
          <cell r="L365">
            <v>133187.25</v>
          </cell>
          <cell r="M365">
            <v>3</v>
          </cell>
          <cell r="N365">
            <v>133187.25</v>
          </cell>
          <cell r="O365">
            <v>2</v>
          </cell>
          <cell r="P365">
            <v>88791.5</v>
          </cell>
          <cell r="Q365">
            <v>2</v>
          </cell>
          <cell r="R365">
            <v>88791.5</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row>
        <row r="366">
          <cell r="A366">
            <v>17</v>
          </cell>
          <cell r="B366" t="str">
            <v>Engsel Pintu dari pipa besi dia 2 cm</v>
          </cell>
          <cell r="C366" t="str">
            <v>Bh</v>
          </cell>
          <cell r="D366">
            <v>66593.625</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row>
        <row r="367">
          <cell r="A367">
            <v>18</v>
          </cell>
          <cell r="B367" t="str">
            <v>Kait/hak angin</v>
          </cell>
          <cell r="C367" t="str">
            <v>Set</v>
          </cell>
          <cell r="D367">
            <v>27000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6</v>
          </cell>
          <cell r="T367">
            <v>162000</v>
          </cell>
          <cell r="U367">
            <v>6</v>
          </cell>
          <cell r="V367">
            <v>162000</v>
          </cell>
          <cell r="W367">
            <v>0</v>
          </cell>
          <cell r="X367">
            <v>0</v>
          </cell>
          <cell r="Y367">
            <v>2</v>
          </cell>
          <cell r="Z367">
            <v>54000</v>
          </cell>
          <cell r="AA367">
            <v>2</v>
          </cell>
          <cell r="AB367">
            <v>54000</v>
          </cell>
          <cell r="AC367">
            <v>0</v>
          </cell>
          <cell r="AD367">
            <v>0</v>
          </cell>
          <cell r="AE367">
            <v>0</v>
          </cell>
          <cell r="AF367">
            <v>0</v>
          </cell>
        </row>
        <row r="368">
          <cell r="A368">
            <v>19</v>
          </cell>
          <cell r="B368" t="str">
            <v>Grendel pintu kuningan</v>
          </cell>
          <cell r="C368" t="str">
            <v>Bh</v>
          </cell>
          <cell r="D368">
            <v>125000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row>
        <row r="369">
          <cell r="A369">
            <v>20</v>
          </cell>
          <cell r="B369" t="str">
            <v xml:space="preserve">Grendel jendela </v>
          </cell>
          <cell r="C369" t="str">
            <v>Bh</v>
          </cell>
          <cell r="D369">
            <v>8100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v>
          </cell>
          <cell r="T369">
            <v>24300</v>
          </cell>
          <cell r="U369">
            <v>3</v>
          </cell>
          <cell r="V369">
            <v>24300</v>
          </cell>
          <cell r="W369">
            <v>0</v>
          </cell>
          <cell r="X369">
            <v>0</v>
          </cell>
          <cell r="Y369">
            <v>1</v>
          </cell>
          <cell r="Z369">
            <v>8100</v>
          </cell>
          <cell r="AA369">
            <v>1</v>
          </cell>
          <cell r="AB369">
            <v>8100</v>
          </cell>
          <cell r="AC369">
            <v>0</v>
          </cell>
          <cell r="AD369">
            <v>0</v>
          </cell>
          <cell r="AE369">
            <v>0</v>
          </cell>
          <cell r="AF369">
            <v>0</v>
          </cell>
        </row>
        <row r="370">
          <cell r="A370">
            <v>21</v>
          </cell>
          <cell r="B370" t="str">
            <v>Grendel pintu</v>
          </cell>
          <cell r="C370" t="str">
            <v>Bh</v>
          </cell>
          <cell r="D370">
            <v>14200</v>
          </cell>
          <cell r="E370">
            <v>1</v>
          </cell>
          <cell r="F370">
            <v>14200</v>
          </cell>
          <cell r="G370">
            <v>1</v>
          </cell>
          <cell r="H370">
            <v>14200</v>
          </cell>
          <cell r="I370">
            <v>0</v>
          </cell>
          <cell r="J370">
            <v>0</v>
          </cell>
          <cell r="K370">
            <v>0</v>
          </cell>
          <cell r="L370">
            <v>0</v>
          </cell>
          <cell r="M370">
            <v>0</v>
          </cell>
          <cell r="N370">
            <v>0</v>
          </cell>
          <cell r="O370">
            <v>1</v>
          </cell>
          <cell r="P370">
            <v>14200</v>
          </cell>
          <cell r="Q370">
            <v>1</v>
          </cell>
          <cell r="R370">
            <v>14200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row>
        <row r="371">
          <cell r="A371">
            <v>22</v>
          </cell>
          <cell r="B371" t="str">
            <v>Stripting Knip</v>
          </cell>
          <cell r="C371" t="str">
            <v>Set</v>
          </cell>
          <cell r="D371">
            <v>13700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row>
        <row r="372">
          <cell r="A372">
            <v>23</v>
          </cell>
          <cell r="B372" t="str">
            <v>Door Closer</v>
          </cell>
          <cell r="C372" t="str">
            <v>Set</v>
          </cell>
          <cell r="D372">
            <v>260800</v>
          </cell>
          <cell r="E372">
            <v>1</v>
          </cell>
          <cell r="F372">
            <v>260800</v>
          </cell>
          <cell r="G372">
            <v>1</v>
          </cell>
          <cell r="H372">
            <v>260800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row>
        <row r="373">
          <cell r="A373">
            <v>24</v>
          </cell>
          <cell r="B373" t="str">
            <v>Door Holder</v>
          </cell>
          <cell r="C373" t="str">
            <v>Set</v>
          </cell>
          <cell r="D373">
            <v>500000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row>
        <row r="374">
          <cell r="A374">
            <v>25</v>
          </cell>
          <cell r="B374" t="str">
            <v>Door Stop</v>
          </cell>
          <cell r="C374" t="str">
            <v>Set</v>
          </cell>
          <cell r="D374">
            <v>32100</v>
          </cell>
          <cell r="E374">
            <v>1</v>
          </cell>
          <cell r="F374">
            <v>32100</v>
          </cell>
          <cell r="G374">
            <v>1</v>
          </cell>
          <cell r="H374">
            <v>32100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row>
        <row r="375">
          <cell r="A375">
            <v>26</v>
          </cell>
          <cell r="B375" t="str">
            <v>Kaca bening 5 mm</v>
          </cell>
          <cell r="C375" t="str">
            <v>M2</v>
          </cell>
          <cell r="D375">
            <v>66700</v>
          </cell>
          <cell r="E375">
            <v>5.0399999999999993E-2</v>
          </cell>
          <cell r="F375">
            <v>3361.6799999999994</v>
          </cell>
          <cell r="G375">
            <v>5.0399999999999993E-2</v>
          </cell>
          <cell r="H375">
            <v>3361.6799999999994</v>
          </cell>
          <cell r="I375">
            <v>0</v>
          </cell>
          <cell r="J375">
            <v>0</v>
          </cell>
          <cell r="K375">
            <v>0</v>
          </cell>
          <cell r="L375">
            <v>0</v>
          </cell>
          <cell r="M375">
            <v>0</v>
          </cell>
          <cell r="N375">
            <v>0</v>
          </cell>
          <cell r="O375">
            <v>0</v>
          </cell>
          <cell r="P375">
            <v>0</v>
          </cell>
          <cell r="Q375">
            <v>0</v>
          </cell>
          <cell r="R375">
            <v>0</v>
          </cell>
          <cell r="S375">
            <v>0.25919999999999999</v>
          </cell>
          <cell r="T375">
            <v>17288.64</v>
          </cell>
          <cell r="U375">
            <v>0.25919999999999999</v>
          </cell>
          <cell r="V375">
            <v>17288.64</v>
          </cell>
          <cell r="W375">
            <v>0</v>
          </cell>
          <cell r="X375">
            <v>0</v>
          </cell>
          <cell r="Y375">
            <v>0</v>
          </cell>
          <cell r="Z375">
            <v>0</v>
          </cell>
          <cell r="AA375">
            <v>0</v>
          </cell>
          <cell r="AB375">
            <v>0</v>
          </cell>
          <cell r="AC375">
            <v>0</v>
          </cell>
          <cell r="AD375">
            <v>0</v>
          </cell>
          <cell r="AE375">
            <v>0.4</v>
          </cell>
          <cell r="AF375">
            <v>26680</v>
          </cell>
        </row>
        <row r="376">
          <cell r="A376">
            <v>27</v>
          </cell>
          <cell r="B376" t="str">
            <v>Kaca bening 10 mm</v>
          </cell>
          <cell r="C376" t="str">
            <v>M2</v>
          </cell>
          <cell r="D376">
            <v>280895.75</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1.1326000000000001</v>
          </cell>
          <cell r="T376">
            <v>318142.52645</v>
          </cell>
          <cell r="U376">
            <v>1.1326000000000001</v>
          </cell>
          <cell r="V376">
            <v>318142.52645</v>
          </cell>
          <cell r="W376">
            <v>2.8839999999999999</v>
          </cell>
          <cell r="X376">
            <v>810103.34299999999</v>
          </cell>
          <cell r="Y376">
            <v>0.50749999999999995</v>
          </cell>
          <cell r="Z376">
            <v>142554.59312499998</v>
          </cell>
          <cell r="AA376">
            <v>0.33249999999999996</v>
          </cell>
          <cell r="AB376">
            <v>93397.836874999994</v>
          </cell>
          <cell r="AC376">
            <v>0</v>
          </cell>
          <cell r="AD376">
            <v>0</v>
          </cell>
          <cell r="AE376">
            <v>0</v>
          </cell>
          <cell r="AF376">
            <v>0</v>
          </cell>
        </row>
        <row r="377">
          <cell r="A377">
            <v>28</v>
          </cell>
          <cell r="B377" t="str">
            <v>Kaca Bening 12 mm</v>
          </cell>
          <cell r="C377" t="str">
            <v>M2</v>
          </cell>
          <cell r="D377">
            <v>403787.64062499994</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row>
        <row r="378">
          <cell r="A378">
            <v>29</v>
          </cell>
          <cell r="B378" t="str">
            <v>Besi hollow 4/4</v>
          </cell>
          <cell r="C378" t="str">
            <v>M'</v>
          </cell>
          <cell r="D378">
            <v>48625.000000000051</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row>
        <row r="379">
          <cell r="A379">
            <v>30</v>
          </cell>
          <cell r="B379" t="str">
            <v>Besi hollow 6/6</v>
          </cell>
          <cell r="C379" t="str">
            <v>M'</v>
          </cell>
          <cell r="D379">
            <v>74462.500000000058</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row>
        <row r="380">
          <cell r="A380">
            <v>31</v>
          </cell>
          <cell r="B380" t="str">
            <v>Besi hollow 2.5/5</v>
          </cell>
          <cell r="C380" t="str">
            <v>Kg</v>
          </cell>
          <cell r="D380">
            <v>74462.500000000058</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row>
        <row r="381">
          <cell r="A381">
            <v>32</v>
          </cell>
          <cell r="B381" t="str">
            <v>Besi hollow 5/5</v>
          </cell>
          <cell r="C381" t="str">
            <v>Kg</v>
          </cell>
          <cell r="D381">
            <v>74462.500000000058</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row>
        <row r="382">
          <cell r="A382">
            <v>33</v>
          </cell>
          <cell r="B382" t="str">
            <v>Besi hollow 2/2</v>
          </cell>
          <cell r="C382" t="str">
            <v>Kg</v>
          </cell>
          <cell r="D382">
            <v>74462.500000000058</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row>
        <row r="383">
          <cell r="A383">
            <v>34</v>
          </cell>
          <cell r="B383" t="str">
            <v>Besi hollow 2/4</v>
          </cell>
          <cell r="C383" t="str">
            <v>Kg</v>
          </cell>
          <cell r="D383">
            <v>74462.500000000058</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row>
        <row r="384">
          <cell r="A384">
            <v>35</v>
          </cell>
          <cell r="B384" t="str">
            <v>Kaca Tempered 12 mm</v>
          </cell>
          <cell r="C384" t="str">
            <v>M2</v>
          </cell>
          <cell r="D384">
            <v>528395.75</v>
          </cell>
          <cell r="E384">
            <v>4.3049999999999997</v>
          </cell>
          <cell r="F384">
            <v>2274743.7037499999</v>
          </cell>
          <cell r="G384">
            <v>4.3049999999999997</v>
          </cell>
          <cell r="H384">
            <v>2274743.7037499999</v>
          </cell>
          <cell r="I384">
            <v>4.3049999999999997</v>
          </cell>
          <cell r="J384">
            <v>2274743.7037499999</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row>
        <row r="385">
          <cell r="A385">
            <v>36</v>
          </cell>
          <cell r="B385" t="str">
            <v>Glass Block</v>
          </cell>
          <cell r="C385" t="str">
            <v>Bh</v>
          </cell>
          <cell r="D385">
            <v>45000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row>
        <row r="386">
          <cell r="A386">
            <v>37</v>
          </cell>
          <cell r="B386" t="str">
            <v>Kaca Es</v>
          </cell>
          <cell r="C386" t="str">
            <v>M2</v>
          </cell>
          <cell r="D386">
            <v>66700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0.4</v>
          </cell>
          <cell r="AD386">
            <v>26680</v>
          </cell>
          <cell r="AE386">
            <v>0</v>
          </cell>
          <cell r="AF386">
            <v>0</v>
          </cell>
        </row>
        <row r="387">
          <cell r="A387">
            <v>38</v>
          </cell>
          <cell r="B387" t="str">
            <v>Krepyak Kaca Nako + Kerangka</v>
          </cell>
          <cell r="C387" t="str">
            <v>M2</v>
          </cell>
          <cell r="D387">
            <v>81300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row>
        <row r="388">
          <cell r="A388">
            <v>39</v>
          </cell>
          <cell r="B388" t="str">
            <v>Sticker Efek Kaca Es</v>
          </cell>
          <cell r="C388" t="str">
            <v>M2</v>
          </cell>
          <cell r="D388">
            <v>150000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row>
        <row r="389">
          <cell r="A389">
            <v>40</v>
          </cell>
          <cell r="B389" t="str">
            <v>Rel Pintu Dorong</v>
          </cell>
          <cell r="C389" t="str">
            <v>M'</v>
          </cell>
          <cell r="D389">
            <v>275000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row>
        <row r="390">
          <cell r="A390">
            <v>41</v>
          </cell>
          <cell r="B390" t="str">
            <v>Rolling Door</v>
          </cell>
          <cell r="C390" t="str">
            <v>M2</v>
          </cell>
          <cell r="D390">
            <v>358100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row>
        <row r="391">
          <cell r="A391">
            <v>42</v>
          </cell>
          <cell r="B391" t="str">
            <v>Roster</v>
          </cell>
          <cell r="C391" t="str">
            <v>M2</v>
          </cell>
          <cell r="D391">
            <v>133850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row>
        <row r="392">
          <cell r="A392">
            <v>43</v>
          </cell>
          <cell r="B392" t="str">
            <v>Gipsum Board</v>
          </cell>
          <cell r="C392" t="str">
            <v>M2</v>
          </cell>
          <cell r="D392">
            <v>29000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row>
        <row r="393">
          <cell r="A393">
            <v>44</v>
          </cell>
          <cell r="B393" t="str">
            <v>List Gipsum</v>
          </cell>
          <cell r="C393" t="str">
            <v>M'</v>
          </cell>
          <cell r="D393">
            <v>17300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row>
        <row r="394">
          <cell r="A394">
            <v>45</v>
          </cell>
          <cell r="B394" t="str">
            <v>Sealent</v>
          </cell>
          <cell r="C394" t="str">
            <v>M'</v>
          </cell>
          <cell r="D394">
            <v>8400</v>
          </cell>
          <cell r="E394">
            <v>2.16</v>
          </cell>
          <cell r="F394">
            <v>18144</v>
          </cell>
          <cell r="G394">
            <v>2.16</v>
          </cell>
          <cell r="H394">
            <v>18144</v>
          </cell>
          <cell r="I394">
            <v>0</v>
          </cell>
          <cell r="J394">
            <v>0</v>
          </cell>
          <cell r="K394">
            <v>0</v>
          </cell>
          <cell r="L394">
            <v>0</v>
          </cell>
          <cell r="M394">
            <v>0</v>
          </cell>
          <cell r="N394">
            <v>0</v>
          </cell>
          <cell r="O394">
            <v>0</v>
          </cell>
          <cell r="P394">
            <v>0</v>
          </cell>
          <cell r="Q394">
            <v>0</v>
          </cell>
          <cell r="R394">
            <v>0</v>
          </cell>
          <cell r="S394">
            <v>18.080000000000002</v>
          </cell>
          <cell r="T394">
            <v>151872.00000000003</v>
          </cell>
          <cell r="U394">
            <v>18.080000000000002</v>
          </cell>
          <cell r="V394">
            <v>151872.00000000003</v>
          </cell>
          <cell r="W394">
            <v>19.439999999999998</v>
          </cell>
          <cell r="X394">
            <v>163295.99999999997</v>
          </cell>
          <cell r="Y394">
            <v>7.1999999999999993</v>
          </cell>
          <cell r="Z394">
            <v>60479.999999999993</v>
          </cell>
          <cell r="AA394">
            <v>5.1999999999999993</v>
          </cell>
          <cell r="AB394">
            <v>43679.999999999993</v>
          </cell>
          <cell r="AC394">
            <v>7.1999999999999993</v>
          </cell>
          <cell r="AD394">
            <v>60479.999999999993</v>
          </cell>
          <cell r="AE394">
            <v>7.1999999999999993</v>
          </cell>
          <cell r="AF394">
            <v>60479.999999999993</v>
          </cell>
        </row>
        <row r="395">
          <cell r="A395">
            <v>46</v>
          </cell>
          <cell r="B395" t="str">
            <v>Benangan Kusen</v>
          </cell>
          <cell r="C395" t="str">
            <v>M'</v>
          </cell>
          <cell r="D395">
            <v>4296.0074999999997</v>
          </cell>
          <cell r="E395">
            <v>9.8000000000000007</v>
          </cell>
          <cell r="F395">
            <v>42100.873500000002</v>
          </cell>
          <cell r="G395">
            <v>9.8000000000000007</v>
          </cell>
          <cell r="H395">
            <v>42100.873500000002</v>
          </cell>
          <cell r="I395">
            <v>6.1999999999999993</v>
          </cell>
          <cell r="J395">
            <v>26635.246499999994</v>
          </cell>
          <cell r="K395">
            <v>5.7839999999999998</v>
          </cell>
          <cell r="L395">
            <v>24848.107379999998</v>
          </cell>
          <cell r="M395">
            <v>5.7839999999999998</v>
          </cell>
          <cell r="N395">
            <v>24848.107379999998</v>
          </cell>
          <cell r="O395">
            <v>7.6</v>
          </cell>
          <cell r="P395">
            <v>32649.656999999996</v>
          </cell>
          <cell r="Q395">
            <v>7.6</v>
          </cell>
          <cell r="R395">
            <v>32649.656999999996</v>
          </cell>
          <cell r="S395">
            <v>13.600000000000001</v>
          </cell>
          <cell r="T395">
            <v>58425.702000000005</v>
          </cell>
          <cell r="U395">
            <v>13.600000000000001</v>
          </cell>
          <cell r="V395">
            <v>58425.702000000005</v>
          </cell>
          <cell r="W395">
            <v>10.120000000000001</v>
          </cell>
          <cell r="X395">
            <v>43475.5959</v>
          </cell>
          <cell r="Y395">
            <v>9.1999999999999993</v>
          </cell>
          <cell r="Z395">
            <v>39523.268999999993</v>
          </cell>
          <cell r="AA395">
            <v>7.1999999999999993</v>
          </cell>
          <cell r="AB395">
            <v>30931.253999999994</v>
          </cell>
          <cell r="AC395">
            <v>16</v>
          </cell>
          <cell r="AD395">
            <v>68736.12</v>
          </cell>
          <cell r="AE395">
            <v>16</v>
          </cell>
          <cell r="AF395">
            <v>68736.12</v>
          </cell>
        </row>
        <row r="396">
          <cell r="A396">
            <v>47</v>
          </cell>
          <cell r="B396" t="str">
            <v xml:space="preserve">Cat Kayu </v>
          </cell>
          <cell r="C396" t="str">
            <v>M2</v>
          </cell>
          <cell r="D396">
            <v>19370.5</v>
          </cell>
          <cell r="E396">
            <v>3.2720000000000002</v>
          </cell>
          <cell r="F396">
            <v>63380.276000000005</v>
          </cell>
          <cell r="G396">
            <v>3.2720000000000002</v>
          </cell>
          <cell r="H396">
            <v>63380.276000000005</v>
          </cell>
          <cell r="I396">
            <v>0</v>
          </cell>
          <cell r="J396">
            <v>0</v>
          </cell>
          <cell r="K396">
            <v>4.0991999999999997</v>
          </cell>
          <cell r="L396">
            <v>79403.553599999999</v>
          </cell>
          <cell r="M396">
            <v>4.0991999999999997</v>
          </cell>
          <cell r="N396">
            <v>79403.553599999999</v>
          </cell>
          <cell r="O396">
            <v>1.3960000000000001</v>
          </cell>
          <cell r="P396">
            <v>27041.218000000001</v>
          </cell>
          <cell r="Q396">
            <v>1.3960000000000001</v>
          </cell>
          <cell r="R396">
            <v>27041.218000000001</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row>
        <row r="397">
          <cell r="A397">
            <v>48</v>
          </cell>
          <cell r="B397" t="str">
            <v>Cat Besi</v>
          </cell>
          <cell r="C397" t="str">
            <v>M2</v>
          </cell>
          <cell r="D397">
            <v>13698</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row>
        <row r="398">
          <cell r="A398">
            <v>49</v>
          </cell>
          <cell r="B398" t="str">
            <v>Cat Dinding</v>
          </cell>
          <cell r="C398" t="str">
            <v>M2</v>
          </cell>
          <cell r="D398">
            <v>9900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row>
        <row r="399">
          <cell r="A399">
            <v>50</v>
          </cell>
          <cell r="B399" t="str">
            <v>Plesteran Camprot</v>
          </cell>
          <cell r="C399" t="str">
            <v>M2</v>
          </cell>
          <cell r="D399">
            <v>14600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row>
        <row r="400">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row>
        <row r="401">
          <cell r="B401" t="str">
            <v>Jumlah Harga</v>
          </cell>
          <cell r="F401">
            <v>3021087.0332500003</v>
          </cell>
          <cell r="H401">
            <v>3021087.0332500003</v>
          </cell>
          <cell r="J401">
            <v>3776944.5502499999</v>
          </cell>
          <cell r="L401">
            <v>1690743.9109799999</v>
          </cell>
          <cell r="N401">
            <v>1690743.9109799999</v>
          </cell>
          <cell r="P401">
            <v>210982.375</v>
          </cell>
          <cell r="R401">
            <v>210982.375</v>
          </cell>
          <cell r="T401">
            <v>1835497.2684499999</v>
          </cell>
          <cell r="V401">
            <v>1835497.2684499999</v>
          </cell>
          <cell r="X401">
            <v>1016874.9389</v>
          </cell>
          <cell r="Z401">
            <v>862639.46212499996</v>
          </cell>
          <cell r="AB401">
            <v>663142.69087499997</v>
          </cell>
          <cell r="AD401">
            <v>155896.12</v>
          </cell>
          <cell r="AF401">
            <v>155896.12</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row>
        <row r="402">
          <cell r="L402" t="str">
            <v>P3A ASR = P4 SD</v>
          </cell>
        </row>
        <row r="403">
          <cell r="AF403">
            <v>155896.12</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row>
        <row r="404">
          <cell r="L404" t="str">
            <v>P3A ASR = P4 SD</v>
          </cell>
        </row>
        <row r="405">
          <cell r="A405" t="str">
            <v>No.</v>
          </cell>
          <cell r="B405" t="str">
            <v>Item Pekerjaan</v>
          </cell>
          <cell r="C405" t="str">
            <v>Satuan</v>
          </cell>
          <cell r="D405" t="str">
            <v>Harga Satuan</v>
          </cell>
          <cell r="E405" t="str">
            <v>P1</v>
          </cell>
          <cell r="G405" t="str">
            <v>P2</v>
          </cell>
          <cell r="I405" t="str">
            <v>P3</v>
          </cell>
          <cell r="K405" t="str">
            <v>P4</v>
          </cell>
          <cell r="M405" t="str">
            <v>J1</v>
          </cell>
          <cell r="O405" t="str">
            <v>BV1</v>
          </cell>
          <cell r="Q405" t="str">
            <v>R2B</v>
          </cell>
          <cell r="S405" t="str">
            <v>R2A</v>
          </cell>
          <cell r="U405" t="str">
            <v>R1</v>
          </cell>
        </row>
        <row r="406">
          <cell r="D406" t="str">
            <v>Rp.</v>
          </cell>
          <cell r="E406" t="str">
            <v>Vol.</v>
          </cell>
          <cell r="F406" t="str">
            <v>Jumlah Harga</v>
          </cell>
          <cell r="G406" t="str">
            <v>Vol.</v>
          </cell>
          <cell r="H406" t="str">
            <v>Jumlah Harga</v>
          </cell>
          <cell r="I406" t="str">
            <v>Vol.</v>
          </cell>
          <cell r="J406" t="str">
            <v>Jumlah Harga</v>
          </cell>
          <cell r="K406" t="str">
            <v>Vol.</v>
          </cell>
          <cell r="L406" t="str">
            <v>Jumlah Harga</v>
          </cell>
          <cell r="M406" t="str">
            <v>Vol.</v>
          </cell>
          <cell r="N406" t="str">
            <v>Jumlah Harga</v>
          </cell>
          <cell r="O406" t="str">
            <v>Vol.</v>
          </cell>
          <cell r="P406" t="str">
            <v>Jumlah Harga</v>
          </cell>
          <cell r="Q406" t="str">
            <v>Vol.</v>
          </cell>
          <cell r="R406" t="str">
            <v>Jumlah Harga</v>
          </cell>
          <cell r="S406" t="str">
            <v>Vol.</v>
          </cell>
          <cell r="T406" t="str">
            <v>Jumlah Harga</v>
          </cell>
          <cell r="U406" t="str">
            <v>Vol.</v>
          </cell>
          <cell r="V406" t="str">
            <v>Jumlah Harga</v>
          </cell>
        </row>
        <row r="407">
          <cell r="A407" t="str">
            <v>VII.</v>
          </cell>
          <cell r="B407" t="str">
            <v>UNIT BANGUNAN GSG</v>
          </cell>
          <cell r="D407" t="str">
            <v>Rp.</v>
          </cell>
          <cell r="E407" t="str">
            <v>Vol.</v>
          </cell>
          <cell r="F407" t="str">
            <v>Jumlah Harga</v>
          </cell>
          <cell r="G407" t="str">
            <v>Vol.</v>
          </cell>
          <cell r="H407" t="str">
            <v>Jumlah Harga</v>
          </cell>
          <cell r="I407" t="str">
            <v>Vol.</v>
          </cell>
          <cell r="J407" t="str">
            <v>Jumlah Harga</v>
          </cell>
          <cell r="K407" t="str">
            <v>Vol.</v>
          </cell>
          <cell r="L407" t="str">
            <v>Jumlah Harga</v>
          </cell>
          <cell r="M407" t="str">
            <v>Vol.</v>
          </cell>
          <cell r="N407" t="str">
            <v>Jumlah Harga</v>
          </cell>
          <cell r="O407" t="str">
            <v>Vol.</v>
          </cell>
          <cell r="P407" t="str">
            <v>Jumlah Harga</v>
          </cell>
          <cell r="Q407" t="str">
            <v>Vol.</v>
          </cell>
          <cell r="R407" t="str">
            <v>Jumlah Harga</v>
          </cell>
          <cell r="S407" t="str">
            <v>Vol.</v>
          </cell>
          <cell r="T407" t="str">
            <v>Jumlah Harga</v>
          </cell>
          <cell r="U407" t="str">
            <v>Vol.</v>
          </cell>
          <cell r="V407" t="str">
            <v>Jumlah Harga</v>
          </cell>
        </row>
        <row r="408">
          <cell r="A408" t="str">
            <v>VII.</v>
          </cell>
          <cell r="B408" t="str">
            <v>UNIT BANGUNAN GSG</v>
          </cell>
        </row>
        <row r="409">
          <cell r="A409">
            <v>1</v>
          </cell>
          <cell r="B409" t="str">
            <v>Kayu 6/12</v>
          </cell>
          <cell r="C409" t="str">
            <v>M3</v>
          </cell>
          <cell r="D409">
            <v>0</v>
          </cell>
          <cell r="E409">
            <v>1.0200000000000001E-2</v>
          </cell>
          <cell r="F409">
            <v>0</v>
          </cell>
          <cell r="G409">
            <v>1.12E-2</v>
          </cell>
          <cell r="H409">
            <v>0</v>
          </cell>
          <cell r="I409">
            <v>3.6144000000000003E-2</v>
          </cell>
          <cell r="J409">
            <v>0</v>
          </cell>
          <cell r="K409">
            <v>5.2800000000000007E-2</v>
          </cell>
          <cell r="L409">
            <v>0</v>
          </cell>
          <cell r="N409">
            <v>0</v>
          </cell>
          <cell r="P409">
            <v>0</v>
          </cell>
          <cell r="R409">
            <v>0</v>
          </cell>
          <cell r="T409">
            <v>0</v>
          </cell>
          <cell r="V409">
            <v>0</v>
          </cell>
        </row>
        <row r="410">
          <cell r="A410">
            <v>2</v>
          </cell>
          <cell r="B410" t="str">
            <v>Kayu Slimar 3/10</v>
          </cell>
          <cell r="C410" t="str">
            <v>M3</v>
          </cell>
          <cell r="D410">
            <v>0</v>
          </cell>
          <cell r="E410">
            <v>5.1200000000000002E-2</v>
          </cell>
          <cell r="F410">
            <v>0</v>
          </cell>
          <cell r="G410">
            <v>3.2000000000000002E-3</v>
          </cell>
          <cell r="H410">
            <v>0</v>
          </cell>
          <cell r="I410">
            <v>1.4159999999999999E-2</v>
          </cell>
          <cell r="J410">
            <v>0</v>
          </cell>
          <cell r="K410">
            <v>1.4400000000000001E-2</v>
          </cell>
          <cell r="L410">
            <v>0</v>
          </cell>
          <cell r="N410">
            <v>0</v>
          </cell>
          <cell r="P410">
            <v>0</v>
          </cell>
          <cell r="R410">
            <v>0</v>
          </cell>
          <cell r="T410">
            <v>0</v>
          </cell>
          <cell r="V410">
            <v>0</v>
          </cell>
        </row>
        <row r="411">
          <cell r="A411">
            <v>3</v>
          </cell>
          <cell r="B411" t="str">
            <v>Kayu Slimar 3/15</v>
          </cell>
          <cell r="C411" t="str">
            <v>M3</v>
          </cell>
          <cell r="D411">
            <v>0</v>
          </cell>
          <cell r="E411">
            <v>13.84</v>
          </cell>
          <cell r="F411">
            <v>0</v>
          </cell>
          <cell r="G411">
            <v>3.2</v>
          </cell>
          <cell r="H411">
            <v>0</v>
          </cell>
          <cell r="I411">
            <v>2.6999999999999997E-3</v>
          </cell>
          <cell r="J411">
            <v>0</v>
          </cell>
          <cell r="L411">
            <v>0</v>
          </cell>
          <cell r="N411">
            <v>0</v>
          </cell>
          <cell r="P411">
            <v>0</v>
          </cell>
          <cell r="R411">
            <v>0</v>
          </cell>
          <cell r="T411">
            <v>0</v>
          </cell>
          <cell r="V411">
            <v>0</v>
          </cell>
        </row>
        <row r="412">
          <cell r="A412">
            <v>4</v>
          </cell>
          <cell r="B412" t="str">
            <v>Kayu Slimar 3/20</v>
          </cell>
          <cell r="C412" t="str">
            <v>M3</v>
          </cell>
          <cell r="D412">
            <v>0</v>
          </cell>
          <cell r="E412">
            <v>7.99</v>
          </cell>
          <cell r="F412">
            <v>0</v>
          </cell>
          <cell r="G412">
            <v>3.2</v>
          </cell>
          <cell r="H412">
            <v>0</v>
          </cell>
          <cell r="I412">
            <v>3.5999999999999999E-3</v>
          </cell>
          <cell r="J412">
            <v>0</v>
          </cell>
          <cell r="K412">
            <v>17.28</v>
          </cell>
          <cell r="L412">
            <v>0</v>
          </cell>
          <cell r="N412">
            <v>0</v>
          </cell>
          <cell r="P412">
            <v>0</v>
          </cell>
          <cell r="R412">
            <v>0</v>
          </cell>
          <cell r="T412">
            <v>0</v>
          </cell>
          <cell r="V412">
            <v>0</v>
          </cell>
        </row>
        <row r="413">
          <cell r="A413">
            <v>5</v>
          </cell>
          <cell r="B413" t="str">
            <v>Kayu 2/10</v>
          </cell>
          <cell r="C413" t="str">
            <v>M3</v>
          </cell>
          <cell r="D413">
            <v>0</v>
          </cell>
          <cell r="E413">
            <v>6.6</v>
          </cell>
          <cell r="F413">
            <v>0</v>
          </cell>
          <cell r="G413">
            <v>5</v>
          </cell>
          <cell r="H413">
            <v>0</v>
          </cell>
          <cell r="I413">
            <v>5.4000000000000012E-3</v>
          </cell>
          <cell r="J413">
            <v>0</v>
          </cell>
          <cell r="L413">
            <v>0</v>
          </cell>
          <cell r="M413">
            <v>4.92</v>
          </cell>
          <cell r="N413">
            <v>0</v>
          </cell>
          <cell r="O413">
            <v>2.2000000000000002</v>
          </cell>
          <cell r="P413">
            <v>0</v>
          </cell>
          <cell r="R413">
            <v>0</v>
          </cell>
          <cell r="T413">
            <v>0</v>
          </cell>
          <cell r="V413">
            <v>0</v>
          </cell>
        </row>
        <row r="414">
          <cell r="A414">
            <v>6</v>
          </cell>
          <cell r="B414" t="str">
            <v>Panil t = 3 cm</v>
          </cell>
          <cell r="C414" t="str">
            <v>M2</v>
          </cell>
          <cell r="D414">
            <v>0</v>
          </cell>
          <cell r="F414">
            <v>0</v>
          </cell>
          <cell r="G414">
            <v>0</v>
          </cell>
          <cell r="H414">
            <v>0</v>
          </cell>
          <cell r="I414">
            <v>0.49500000000000005</v>
          </cell>
          <cell r="J414">
            <v>0</v>
          </cell>
          <cell r="L414">
            <v>0</v>
          </cell>
          <cell r="N414">
            <v>0</v>
          </cell>
          <cell r="P414">
            <v>0</v>
          </cell>
          <cell r="R414">
            <v>0</v>
          </cell>
          <cell r="T414">
            <v>0</v>
          </cell>
          <cell r="V414">
            <v>0</v>
          </cell>
        </row>
        <row r="415">
          <cell r="A415">
            <v>1</v>
          </cell>
          <cell r="B415" t="str">
            <v>Kusen Aluminium 5/10</v>
          </cell>
          <cell r="C415" t="str">
            <v>M'</v>
          </cell>
          <cell r="D415">
            <v>124948</v>
          </cell>
          <cell r="F415">
            <v>0</v>
          </cell>
          <cell r="G415">
            <v>0</v>
          </cell>
          <cell r="H415">
            <v>0</v>
          </cell>
          <cell r="I415">
            <v>5</v>
          </cell>
          <cell r="J415">
            <v>624740</v>
          </cell>
          <cell r="L415">
            <v>0</v>
          </cell>
          <cell r="N415">
            <v>0</v>
          </cell>
          <cell r="P415">
            <v>0</v>
          </cell>
          <cell r="R415">
            <v>0</v>
          </cell>
          <cell r="T415">
            <v>0</v>
          </cell>
          <cell r="V415">
            <v>0</v>
          </cell>
        </row>
        <row r="416">
          <cell r="A416">
            <v>2</v>
          </cell>
          <cell r="B416" t="str">
            <v xml:space="preserve">Rangka Daun Jendela Alumunium </v>
          </cell>
          <cell r="C416" t="str">
            <v>M'</v>
          </cell>
          <cell r="D416">
            <v>124948</v>
          </cell>
          <cell r="F416">
            <v>0</v>
          </cell>
          <cell r="G416">
            <v>0</v>
          </cell>
          <cell r="H416">
            <v>0</v>
          </cell>
          <cell r="I416">
            <v>0</v>
          </cell>
          <cell r="J416">
            <v>0</v>
          </cell>
          <cell r="L416">
            <v>0</v>
          </cell>
          <cell r="N416">
            <v>0</v>
          </cell>
          <cell r="P416">
            <v>0</v>
          </cell>
          <cell r="R416">
            <v>0</v>
          </cell>
          <cell r="T416">
            <v>0</v>
          </cell>
          <cell r="V416">
            <v>0</v>
          </cell>
        </row>
        <row r="417">
          <cell r="A417">
            <v>3</v>
          </cell>
          <cell r="B417" t="str">
            <v>Rangka Tiang Sirip Alumunium 1/1 Putih</v>
          </cell>
          <cell r="C417" t="str">
            <v>M'</v>
          </cell>
          <cell r="D417">
            <v>62474</v>
          </cell>
          <cell r="F417">
            <v>0</v>
          </cell>
          <cell r="G417">
            <v>0</v>
          </cell>
          <cell r="H417">
            <v>0</v>
          </cell>
          <cell r="I417">
            <v>0</v>
          </cell>
          <cell r="J417">
            <v>0</v>
          </cell>
          <cell r="L417">
            <v>0</v>
          </cell>
          <cell r="N417">
            <v>0</v>
          </cell>
          <cell r="P417">
            <v>0</v>
          </cell>
          <cell r="R417">
            <v>0</v>
          </cell>
          <cell r="T417">
            <v>0</v>
          </cell>
          <cell r="V417">
            <v>0</v>
          </cell>
        </row>
        <row r="418">
          <cell r="A418">
            <v>4</v>
          </cell>
          <cell r="B418" t="str">
            <v>Pasang Shading Sirip Alumunium 0.2/10 +Rangka</v>
          </cell>
          <cell r="C418" t="str">
            <v>M2</v>
          </cell>
          <cell r="D418">
            <v>0</v>
          </cell>
          <cell r="F418">
            <v>0</v>
          </cell>
          <cell r="G418">
            <v>0</v>
          </cell>
          <cell r="H418">
            <v>0</v>
          </cell>
          <cell r="I418">
            <v>0</v>
          </cell>
          <cell r="J418">
            <v>0</v>
          </cell>
          <cell r="L418">
            <v>0</v>
          </cell>
          <cell r="N418">
            <v>0</v>
          </cell>
          <cell r="P418">
            <v>0</v>
          </cell>
          <cell r="R418">
            <v>0</v>
          </cell>
          <cell r="T418">
            <v>0</v>
          </cell>
          <cell r="V418">
            <v>0</v>
          </cell>
        </row>
        <row r="419">
          <cell r="A419">
            <v>5</v>
          </cell>
          <cell r="B419" t="str">
            <v>Daun Pintu Panil Kamper</v>
          </cell>
          <cell r="C419" t="str">
            <v>bh</v>
          </cell>
          <cell r="D419">
            <v>550000</v>
          </cell>
          <cell r="F419">
            <v>0</v>
          </cell>
          <cell r="G419">
            <v>1.2E-2</v>
          </cell>
          <cell r="H419">
            <v>6600</v>
          </cell>
          <cell r="I419">
            <v>1.2</v>
          </cell>
          <cell r="J419">
            <v>660000</v>
          </cell>
          <cell r="L419">
            <v>0</v>
          </cell>
          <cell r="N419">
            <v>0</v>
          </cell>
          <cell r="P419">
            <v>0</v>
          </cell>
          <cell r="R419">
            <v>0</v>
          </cell>
          <cell r="T419">
            <v>0</v>
          </cell>
          <cell r="V419">
            <v>0</v>
          </cell>
        </row>
        <row r="420">
          <cell r="A420">
            <v>6</v>
          </cell>
          <cell r="B420" t="str">
            <v>Plat besi t = 2 mm</v>
          </cell>
          <cell r="C420" t="str">
            <v>Kg</v>
          </cell>
          <cell r="D420">
            <v>0</v>
          </cell>
          <cell r="F420">
            <v>0</v>
          </cell>
          <cell r="G420">
            <v>0</v>
          </cell>
          <cell r="H420">
            <v>0</v>
          </cell>
          <cell r="I420">
            <v>0</v>
          </cell>
          <cell r="J420">
            <v>0</v>
          </cell>
          <cell r="L420">
            <v>0</v>
          </cell>
          <cell r="N420">
            <v>0</v>
          </cell>
          <cell r="P420">
            <v>0</v>
          </cell>
          <cell r="R420">
            <v>0</v>
          </cell>
          <cell r="T420">
            <v>0</v>
          </cell>
          <cell r="V420">
            <v>0</v>
          </cell>
        </row>
        <row r="421">
          <cell r="A421">
            <v>7</v>
          </cell>
          <cell r="B421" t="str">
            <v>C 40.40.2  (pesan khusus)</v>
          </cell>
          <cell r="C421" t="str">
            <v>Kg</v>
          </cell>
          <cell r="D421">
            <v>14122.3</v>
          </cell>
          <cell r="F421">
            <v>0</v>
          </cell>
          <cell r="G421">
            <v>0</v>
          </cell>
          <cell r="H421">
            <v>0</v>
          </cell>
          <cell r="I421">
            <v>0</v>
          </cell>
          <cell r="J421">
            <v>0</v>
          </cell>
          <cell r="L421">
            <v>0</v>
          </cell>
          <cell r="N421">
            <v>0</v>
          </cell>
          <cell r="P421">
            <v>0</v>
          </cell>
          <cell r="R421">
            <v>0</v>
          </cell>
          <cell r="T421">
            <v>0</v>
          </cell>
          <cell r="V421">
            <v>0</v>
          </cell>
        </row>
        <row r="422">
          <cell r="A422">
            <v>8</v>
          </cell>
          <cell r="B422" t="str">
            <v>Handle besi dia 16 mm</v>
          </cell>
          <cell r="C422" t="str">
            <v>Set</v>
          </cell>
          <cell r="D422">
            <v>129652.5</v>
          </cell>
          <cell r="F422">
            <v>0</v>
          </cell>
          <cell r="G422">
            <v>0</v>
          </cell>
          <cell r="H422">
            <v>0</v>
          </cell>
          <cell r="I422">
            <v>0</v>
          </cell>
          <cell r="J422">
            <v>0</v>
          </cell>
          <cell r="L422">
            <v>0</v>
          </cell>
          <cell r="N422">
            <v>0</v>
          </cell>
          <cell r="P422">
            <v>0</v>
          </cell>
          <cell r="R422">
            <v>0</v>
          </cell>
          <cell r="T422">
            <v>0</v>
          </cell>
          <cell r="V422">
            <v>0</v>
          </cell>
        </row>
        <row r="423">
          <cell r="A423">
            <v>9</v>
          </cell>
          <cell r="B423" t="str">
            <v>Hendle pintu Stainless</v>
          </cell>
          <cell r="C423" t="str">
            <v>Set</v>
          </cell>
          <cell r="D423">
            <v>261652.5</v>
          </cell>
          <cell r="E423">
            <v>2</v>
          </cell>
          <cell r="F423">
            <v>523305</v>
          </cell>
          <cell r="G423">
            <v>0</v>
          </cell>
          <cell r="H423">
            <v>0</v>
          </cell>
          <cell r="I423">
            <v>0</v>
          </cell>
          <cell r="J423">
            <v>0</v>
          </cell>
          <cell r="L423">
            <v>0</v>
          </cell>
          <cell r="N423">
            <v>0</v>
          </cell>
          <cell r="P423">
            <v>0</v>
          </cell>
          <cell r="R423">
            <v>0</v>
          </cell>
          <cell r="T423">
            <v>0</v>
          </cell>
          <cell r="V423">
            <v>0</v>
          </cell>
        </row>
        <row r="424">
          <cell r="A424">
            <v>10</v>
          </cell>
          <cell r="B424" t="str">
            <v>Kunci Pintu Handle stainleess (dorma)</v>
          </cell>
          <cell r="C424" t="str">
            <v>Set</v>
          </cell>
          <cell r="D424">
            <v>650000</v>
          </cell>
          <cell r="E424">
            <v>1</v>
          </cell>
          <cell r="F424">
            <v>650000</v>
          </cell>
          <cell r="G424">
            <v>0</v>
          </cell>
          <cell r="H424">
            <v>0</v>
          </cell>
          <cell r="I424">
            <v>0</v>
          </cell>
          <cell r="J424">
            <v>0</v>
          </cell>
          <cell r="L424">
            <v>0</v>
          </cell>
          <cell r="N424">
            <v>0</v>
          </cell>
          <cell r="P424">
            <v>0</v>
          </cell>
          <cell r="R424">
            <v>0</v>
          </cell>
          <cell r="T424">
            <v>0</v>
          </cell>
          <cell r="V424">
            <v>0</v>
          </cell>
        </row>
        <row r="425">
          <cell r="A425">
            <v>11</v>
          </cell>
          <cell r="B425" t="str">
            <v>Kunci tanam Antik</v>
          </cell>
          <cell r="C425" t="str">
            <v>Set</v>
          </cell>
          <cell r="D425">
            <v>265000</v>
          </cell>
          <cell r="F425">
            <v>0</v>
          </cell>
          <cell r="G425">
            <v>0</v>
          </cell>
          <cell r="H425">
            <v>0</v>
          </cell>
          <cell r="I425">
            <v>0</v>
          </cell>
          <cell r="J425">
            <v>0</v>
          </cell>
          <cell r="L425">
            <v>0</v>
          </cell>
          <cell r="N425">
            <v>0</v>
          </cell>
          <cell r="P425">
            <v>0</v>
          </cell>
          <cell r="R425">
            <v>0</v>
          </cell>
          <cell r="T425">
            <v>0</v>
          </cell>
          <cell r="V425">
            <v>0</v>
          </cell>
        </row>
        <row r="426">
          <cell r="A426">
            <v>12</v>
          </cell>
          <cell r="B426" t="str">
            <v>Kunci tanam biasa</v>
          </cell>
          <cell r="C426" t="str">
            <v>Set</v>
          </cell>
          <cell r="D426">
            <v>168565</v>
          </cell>
          <cell r="E426">
            <v>2</v>
          </cell>
          <cell r="F426">
            <v>337130</v>
          </cell>
          <cell r="G426">
            <v>1</v>
          </cell>
          <cell r="H426">
            <v>168565</v>
          </cell>
          <cell r="I426">
            <v>1</v>
          </cell>
          <cell r="J426">
            <v>168565</v>
          </cell>
          <cell r="K426">
            <v>2</v>
          </cell>
          <cell r="L426">
            <v>337130</v>
          </cell>
          <cell r="N426">
            <v>0</v>
          </cell>
          <cell r="P426">
            <v>0</v>
          </cell>
          <cell r="R426">
            <v>0</v>
          </cell>
          <cell r="T426">
            <v>0</v>
          </cell>
          <cell r="V426">
            <v>0</v>
          </cell>
        </row>
        <row r="427">
          <cell r="A427">
            <v>13</v>
          </cell>
          <cell r="B427" t="str">
            <v>Kunci Silinder</v>
          </cell>
          <cell r="C427" t="str">
            <v>Set</v>
          </cell>
          <cell r="D427">
            <v>217900</v>
          </cell>
          <cell r="F427">
            <v>0</v>
          </cell>
          <cell r="G427">
            <v>0</v>
          </cell>
          <cell r="H427">
            <v>0</v>
          </cell>
          <cell r="I427">
            <v>0</v>
          </cell>
          <cell r="J427">
            <v>0</v>
          </cell>
          <cell r="L427">
            <v>0</v>
          </cell>
          <cell r="N427">
            <v>0</v>
          </cell>
          <cell r="P427">
            <v>0</v>
          </cell>
          <cell r="R427">
            <v>0</v>
          </cell>
          <cell r="T427">
            <v>0</v>
          </cell>
          <cell r="V427">
            <v>0</v>
          </cell>
        </row>
        <row r="428">
          <cell r="A428">
            <v>14</v>
          </cell>
          <cell r="B428" t="str">
            <v>Kunci Selot</v>
          </cell>
          <cell r="C428" t="str">
            <v>Set</v>
          </cell>
          <cell r="D428">
            <v>48300</v>
          </cell>
          <cell r="F428">
            <v>0</v>
          </cell>
          <cell r="G428">
            <v>1</v>
          </cell>
          <cell r="H428">
            <v>48300</v>
          </cell>
          <cell r="I428">
            <v>0</v>
          </cell>
          <cell r="J428">
            <v>0</v>
          </cell>
          <cell r="K428">
            <v>1</v>
          </cell>
          <cell r="L428">
            <v>48300</v>
          </cell>
          <cell r="N428">
            <v>0</v>
          </cell>
          <cell r="P428">
            <v>0</v>
          </cell>
          <cell r="R428">
            <v>0</v>
          </cell>
          <cell r="T428">
            <v>0</v>
          </cell>
          <cell r="V428">
            <v>0</v>
          </cell>
        </row>
        <row r="429">
          <cell r="A429">
            <v>15</v>
          </cell>
          <cell r="B429" t="str">
            <v>Engsel jendela</v>
          </cell>
          <cell r="C429" t="str">
            <v>Bh</v>
          </cell>
          <cell r="D429">
            <v>16600</v>
          </cell>
          <cell r="F429">
            <v>0</v>
          </cell>
          <cell r="G429">
            <v>0</v>
          </cell>
          <cell r="H429">
            <v>0</v>
          </cell>
          <cell r="I429">
            <v>0</v>
          </cell>
          <cell r="J429">
            <v>0</v>
          </cell>
          <cell r="L429">
            <v>0</v>
          </cell>
          <cell r="N429">
            <v>0</v>
          </cell>
          <cell r="P429">
            <v>0</v>
          </cell>
          <cell r="R429">
            <v>0</v>
          </cell>
          <cell r="T429">
            <v>0</v>
          </cell>
          <cell r="V429">
            <v>0</v>
          </cell>
        </row>
        <row r="430">
          <cell r="A430">
            <v>16</v>
          </cell>
          <cell r="B430" t="str">
            <v>Engsel pintu</v>
          </cell>
          <cell r="C430" t="str">
            <v>Bh</v>
          </cell>
          <cell r="D430">
            <v>44395.75</v>
          </cell>
          <cell r="E430">
            <v>4</v>
          </cell>
          <cell r="F430">
            <v>177583</v>
          </cell>
          <cell r="G430">
            <v>2</v>
          </cell>
          <cell r="H430">
            <v>88791.5</v>
          </cell>
          <cell r="I430">
            <v>3</v>
          </cell>
          <cell r="J430">
            <v>133187.25</v>
          </cell>
          <cell r="K430">
            <v>8</v>
          </cell>
          <cell r="L430">
            <v>355166</v>
          </cell>
          <cell r="N430">
            <v>0</v>
          </cell>
          <cell r="P430">
            <v>0</v>
          </cell>
          <cell r="R430">
            <v>0</v>
          </cell>
          <cell r="T430">
            <v>0</v>
          </cell>
          <cell r="V430">
            <v>0</v>
          </cell>
        </row>
        <row r="431">
          <cell r="A431">
            <v>17</v>
          </cell>
          <cell r="B431" t="str">
            <v>Engsel Pintu dari pipa besi dia 2 cm</v>
          </cell>
          <cell r="C431" t="str">
            <v>Bh</v>
          </cell>
          <cell r="D431">
            <v>66593.625</v>
          </cell>
          <cell r="F431">
            <v>0</v>
          </cell>
          <cell r="G431">
            <v>0</v>
          </cell>
          <cell r="H431">
            <v>0</v>
          </cell>
          <cell r="I431">
            <v>0</v>
          </cell>
          <cell r="J431">
            <v>0</v>
          </cell>
          <cell r="L431">
            <v>0</v>
          </cell>
          <cell r="N431">
            <v>0</v>
          </cell>
          <cell r="P431">
            <v>0</v>
          </cell>
          <cell r="R431">
            <v>0</v>
          </cell>
          <cell r="T431">
            <v>0</v>
          </cell>
          <cell r="V431">
            <v>0</v>
          </cell>
        </row>
        <row r="432">
          <cell r="A432">
            <v>18</v>
          </cell>
          <cell r="B432" t="str">
            <v>Kait/hak angin</v>
          </cell>
          <cell r="C432" t="str">
            <v>Set</v>
          </cell>
          <cell r="D432">
            <v>27000</v>
          </cell>
          <cell r="F432">
            <v>0</v>
          </cell>
          <cell r="G432">
            <v>0</v>
          </cell>
          <cell r="H432">
            <v>0</v>
          </cell>
          <cell r="I432">
            <v>0</v>
          </cell>
          <cell r="J432">
            <v>0</v>
          </cell>
          <cell r="L432">
            <v>0</v>
          </cell>
          <cell r="N432">
            <v>0</v>
          </cell>
          <cell r="P432">
            <v>0</v>
          </cell>
          <cell r="R432">
            <v>0</v>
          </cell>
          <cell r="T432">
            <v>0</v>
          </cell>
          <cell r="V432">
            <v>0</v>
          </cell>
        </row>
        <row r="433">
          <cell r="A433">
            <v>19</v>
          </cell>
          <cell r="B433" t="str">
            <v>Grendel pintu kuningan</v>
          </cell>
          <cell r="C433" t="str">
            <v>Bh</v>
          </cell>
          <cell r="D433">
            <v>125000</v>
          </cell>
          <cell r="F433">
            <v>0</v>
          </cell>
          <cell r="G433">
            <v>0</v>
          </cell>
          <cell r="H433">
            <v>0</v>
          </cell>
          <cell r="I433">
            <v>0</v>
          </cell>
          <cell r="J433">
            <v>0</v>
          </cell>
          <cell r="L433">
            <v>0</v>
          </cell>
          <cell r="N433">
            <v>0</v>
          </cell>
          <cell r="P433">
            <v>0</v>
          </cell>
          <cell r="R433">
            <v>0</v>
          </cell>
          <cell r="T433">
            <v>0</v>
          </cell>
          <cell r="V433">
            <v>0</v>
          </cell>
        </row>
        <row r="434">
          <cell r="A434">
            <v>20</v>
          </cell>
          <cell r="B434" t="str">
            <v xml:space="preserve">Grendel jendela </v>
          </cell>
          <cell r="C434" t="str">
            <v>Bh</v>
          </cell>
          <cell r="D434">
            <v>8100</v>
          </cell>
          <cell r="F434">
            <v>0</v>
          </cell>
          <cell r="G434">
            <v>0</v>
          </cell>
          <cell r="H434">
            <v>0</v>
          </cell>
          <cell r="I434">
            <v>0</v>
          </cell>
          <cell r="J434">
            <v>0</v>
          </cell>
          <cell r="L434">
            <v>0</v>
          </cell>
          <cell r="N434">
            <v>0</v>
          </cell>
          <cell r="P434">
            <v>0</v>
          </cell>
          <cell r="R434">
            <v>0</v>
          </cell>
          <cell r="T434">
            <v>0</v>
          </cell>
          <cell r="V434">
            <v>0</v>
          </cell>
        </row>
        <row r="435">
          <cell r="A435">
            <v>21</v>
          </cell>
          <cell r="B435" t="str">
            <v>Grendel pintu</v>
          </cell>
          <cell r="C435" t="str">
            <v>Bh</v>
          </cell>
          <cell r="D435">
            <v>14200</v>
          </cell>
          <cell r="E435">
            <v>2</v>
          </cell>
          <cell r="F435">
            <v>28400</v>
          </cell>
          <cell r="G435">
            <v>1</v>
          </cell>
          <cell r="H435">
            <v>14200</v>
          </cell>
          <cell r="I435">
            <v>0</v>
          </cell>
          <cell r="J435">
            <v>0</v>
          </cell>
          <cell r="K435">
            <v>2</v>
          </cell>
          <cell r="L435">
            <v>28400</v>
          </cell>
          <cell r="N435">
            <v>0</v>
          </cell>
          <cell r="P435">
            <v>0</v>
          </cell>
          <cell r="R435">
            <v>0</v>
          </cell>
          <cell r="T435">
            <v>0</v>
          </cell>
          <cell r="V435">
            <v>0</v>
          </cell>
        </row>
        <row r="436">
          <cell r="A436">
            <v>22</v>
          </cell>
          <cell r="B436" t="str">
            <v>Stripting Knip</v>
          </cell>
          <cell r="C436" t="str">
            <v>Set</v>
          </cell>
          <cell r="D436">
            <v>13700</v>
          </cell>
          <cell r="F436">
            <v>0</v>
          </cell>
          <cell r="G436">
            <v>0</v>
          </cell>
          <cell r="H436">
            <v>0</v>
          </cell>
          <cell r="I436">
            <v>0</v>
          </cell>
          <cell r="J436">
            <v>0</v>
          </cell>
          <cell r="L436">
            <v>0</v>
          </cell>
          <cell r="N436">
            <v>0</v>
          </cell>
          <cell r="P436">
            <v>0</v>
          </cell>
          <cell r="R436">
            <v>0</v>
          </cell>
          <cell r="T436">
            <v>0</v>
          </cell>
          <cell r="V436">
            <v>0</v>
          </cell>
        </row>
        <row r="437">
          <cell r="A437">
            <v>23</v>
          </cell>
          <cell r="B437" t="str">
            <v>Door Closer</v>
          </cell>
          <cell r="C437" t="str">
            <v>Set</v>
          </cell>
          <cell r="D437">
            <v>260800</v>
          </cell>
          <cell r="E437">
            <v>2</v>
          </cell>
          <cell r="F437">
            <v>521600</v>
          </cell>
          <cell r="G437">
            <v>1</v>
          </cell>
          <cell r="H437">
            <v>260800</v>
          </cell>
          <cell r="I437">
            <v>0</v>
          </cell>
          <cell r="J437">
            <v>0</v>
          </cell>
          <cell r="K437">
            <v>2</v>
          </cell>
          <cell r="L437">
            <v>521600</v>
          </cell>
          <cell r="N437">
            <v>0</v>
          </cell>
          <cell r="P437">
            <v>0</v>
          </cell>
          <cell r="R437">
            <v>0</v>
          </cell>
          <cell r="T437">
            <v>0</v>
          </cell>
          <cell r="V437">
            <v>0</v>
          </cell>
        </row>
        <row r="438">
          <cell r="A438">
            <v>24</v>
          </cell>
          <cell r="B438" t="str">
            <v>Door Holder</v>
          </cell>
          <cell r="C438" t="str">
            <v>Set</v>
          </cell>
          <cell r="D438">
            <v>500000</v>
          </cell>
          <cell r="F438">
            <v>0</v>
          </cell>
          <cell r="G438">
            <v>0</v>
          </cell>
          <cell r="H438">
            <v>0</v>
          </cell>
          <cell r="I438">
            <v>0</v>
          </cell>
          <cell r="J438">
            <v>0</v>
          </cell>
          <cell r="L438">
            <v>0</v>
          </cell>
          <cell r="N438">
            <v>0</v>
          </cell>
          <cell r="P438">
            <v>0</v>
          </cell>
          <cell r="R438">
            <v>0</v>
          </cell>
          <cell r="T438">
            <v>0</v>
          </cell>
          <cell r="V438">
            <v>0</v>
          </cell>
        </row>
        <row r="439">
          <cell r="A439">
            <v>25</v>
          </cell>
          <cell r="B439" t="str">
            <v>Door Stop</v>
          </cell>
          <cell r="C439" t="str">
            <v>Set</v>
          </cell>
          <cell r="D439">
            <v>32100</v>
          </cell>
          <cell r="E439">
            <v>2</v>
          </cell>
          <cell r="F439">
            <v>64200</v>
          </cell>
          <cell r="G439">
            <v>1</v>
          </cell>
          <cell r="H439">
            <v>32100</v>
          </cell>
          <cell r="I439">
            <v>0</v>
          </cell>
          <cell r="J439">
            <v>0</v>
          </cell>
          <cell r="K439">
            <v>2</v>
          </cell>
          <cell r="L439">
            <v>64200</v>
          </cell>
          <cell r="N439">
            <v>0</v>
          </cell>
          <cell r="P439">
            <v>0</v>
          </cell>
          <cell r="R439">
            <v>0</v>
          </cell>
          <cell r="T439">
            <v>0</v>
          </cell>
          <cell r="V439">
            <v>0</v>
          </cell>
        </row>
        <row r="440">
          <cell r="A440">
            <v>26</v>
          </cell>
          <cell r="B440" t="str">
            <v>Kaca bening 5 mm</v>
          </cell>
          <cell r="C440" t="str">
            <v>M2</v>
          </cell>
          <cell r="D440">
            <v>66700</v>
          </cell>
          <cell r="F440">
            <v>0</v>
          </cell>
          <cell r="G440">
            <v>5.0399999999999993E-2</v>
          </cell>
          <cell r="H440">
            <v>3361.6799999999994</v>
          </cell>
          <cell r="I440">
            <v>0</v>
          </cell>
          <cell r="J440">
            <v>0</v>
          </cell>
          <cell r="L440">
            <v>0</v>
          </cell>
          <cell r="M440">
            <v>0.28799999999999998</v>
          </cell>
          <cell r="N440">
            <v>19209.599999999999</v>
          </cell>
          <cell r="O440">
            <v>0.24</v>
          </cell>
          <cell r="P440">
            <v>16008</v>
          </cell>
          <cell r="R440">
            <v>0</v>
          </cell>
          <cell r="T440">
            <v>0</v>
          </cell>
          <cell r="V440">
            <v>0</v>
          </cell>
        </row>
        <row r="441">
          <cell r="A441">
            <v>27</v>
          </cell>
          <cell r="B441" t="str">
            <v>Kaca bening 10 mm</v>
          </cell>
          <cell r="C441" t="str">
            <v>M2</v>
          </cell>
          <cell r="D441">
            <v>280895.75</v>
          </cell>
          <cell r="E441">
            <v>0.34100000000000008</v>
          </cell>
          <cell r="F441">
            <v>95785.450750000018</v>
          </cell>
          <cell r="G441">
            <v>0</v>
          </cell>
          <cell r="H441">
            <v>0</v>
          </cell>
          <cell r="I441">
            <v>0</v>
          </cell>
          <cell r="J441">
            <v>0</v>
          </cell>
          <cell r="L441">
            <v>0</v>
          </cell>
          <cell r="N441">
            <v>0</v>
          </cell>
          <cell r="P441">
            <v>0</v>
          </cell>
          <cell r="R441">
            <v>0</v>
          </cell>
          <cell r="T441">
            <v>0</v>
          </cell>
          <cell r="V441">
            <v>0</v>
          </cell>
        </row>
        <row r="442">
          <cell r="A442">
            <v>28</v>
          </cell>
          <cell r="B442" t="str">
            <v>Kaca Bening 12 mm</v>
          </cell>
          <cell r="C442" t="str">
            <v>M2</v>
          </cell>
          <cell r="D442">
            <v>403787.64062499994</v>
          </cell>
          <cell r="F442">
            <v>0</v>
          </cell>
          <cell r="G442">
            <v>0</v>
          </cell>
          <cell r="H442">
            <v>0</v>
          </cell>
          <cell r="I442">
            <v>0</v>
          </cell>
          <cell r="J442">
            <v>0</v>
          </cell>
          <cell r="L442">
            <v>0</v>
          </cell>
          <cell r="N442">
            <v>0</v>
          </cell>
          <cell r="P442">
            <v>0</v>
          </cell>
          <cell r="R442">
            <v>0</v>
          </cell>
          <cell r="T442">
            <v>0</v>
          </cell>
          <cell r="V442">
            <v>0</v>
          </cell>
        </row>
        <row r="443">
          <cell r="A443">
            <v>29</v>
          </cell>
          <cell r="B443" t="str">
            <v>Besi hollow 4/4</v>
          </cell>
          <cell r="C443" t="str">
            <v>M'</v>
          </cell>
          <cell r="D443">
            <v>48625.000000000051</v>
          </cell>
          <cell r="F443">
            <v>0</v>
          </cell>
          <cell r="G443">
            <v>0</v>
          </cell>
          <cell r="H443">
            <v>0</v>
          </cell>
          <cell r="I443">
            <v>0</v>
          </cell>
          <cell r="J443">
            <v>0</v>
          </cell>
          <cell r="L443">
            <v>0</v>
          </cell>
          <cell r="N443">
            <v>0</v>
          </cell>
          <cell r="P443">
            <v>0</v>
          </cell>
          <cell r="R443">
            <v>0</v>
          </cell>
          <cell r="T443">
            <v>0</v>
          </cell>
          <cell r="V443">
            <v>0</v>
          </cell>
        </row>
        <row r="444">
          <cell r="A444">
            <v>30</v>
          </cell>
          <cell r="B444" t="str">
            <v>Besi hollow 6/6</v>
          </cell>
          <cell r="C444" t="str">
            <v>M'</v>
          </cell>
          <cell r="D444">
            <v>74462.500000000058</v>
          </cell>
          <cell r="F444">
            <v>0</v>
          </cell>
          <cell r="G444">
            <v>0</v>
          </cell>
          <cell r="H444">
            <v>0</v>
          </cell>
          <cell r="I444">
            <v>0</v>
          </cell>
          <cell r="J444">
            <v>0</v>
          </cell>
          <cell r="L444">
            <v>0</v>
          </cell>
          <cell r="N444">
            <v>0</v>
          </cell>
          <cell r="P444">
            <v>0</v>
          </cell>
          <cell r="R444">
            <v>0</v>
          </cell>
          <cell r="T444">
            <v>0</v>
          </cell>
          <cell r="V444">
            <v>0</v>
          </cell>
        </row>
        <row r="445">
          <cell r="A445">
            <v>31</v>
          </cell>
          <cell r="B445" t="str">
            <v>Besi hollow 2.5/5</v>
          </cell>
          <cell r="C445" t="str">
            <v>Kg</v>
          </cell>
          <cell r="D445">
            <v>74462.500000000058</v>
          </cell>
          <cell r="F445">
            <v>0</v>
          </cell>
          <cell r="G445">
            <v>0</v>
          </cell>
          <cell r="H445">
            <v>0</v>
          </cell>
          <cell r="I445">
            <v>0</v>
          </cell>
          <cell r="J445">
            <v>0</v>
          </cell>
          <cell r="L445">
            <v>0</v>
          </cell>
          <cell r="N445">
            <v>0</v>
          </cell>
          <cell r="P445">
            <v>0</v>
          </cell>
          <cell r="R445">
            <v>0</v>
          </cell>
          <cell r="T445">
            <v>0</v>
          </cell>
          <cell r="V445">
            <v>0</v>
          </cell>
        </row>
        <row r="446">
          <cell r="A446">
            <v>32</v>
          </cell>
          <cell r="B446" t="str">
            <v>Besi hollow 5/5</v>
          </cell>
          <cell r="C446" t="str">
            <v>Kg</v>
          </cell>
          <cell r="D446">
            <v>74462.500000000058</v>
          </cell>
          <cell r="F446">
            <v>0</v>
          </cell>
          <cell r="G446">
            <v>0</v>
          </cell>
          <cell r="H446">
            <v>0</v>
          </cell>
          <cell r="I446">
            <v>0</v>
          </cell>
          <cell r="J446">
            <v>0</v>
          </cell>
          <cell r="L446">
            <v>0</v>
          </cell>
          <cell r="N446">
            <v>0</v>
          </cell>
          <cell r="P446">
            <v>0</v>
          </cell>
          <cell r="R446">
            <v>0</v>
          </cell>
          <cell r="T446">
            <v>0</v>
          </cell>
          <cell r="V446">
            <v>0</v>
          </cell>
        </row>
        <row r="447">
          <cell r="A447">
            <v>33</v>
          </cell>
          <cell r="B447" t="str">
            <v>Besi hollow 2/2</v>
          </cell>
          <cell r="C447" t="str">
            <v>Kg</v>
          </cell>
          <cell r="D447">
            <v>74462.500000000058</v>
          </cell>
          <cell r="F447">
            <v>0</v>
          </cell>
          <cell r="G447">
            <v>0</v>
          </cell>
          <cell r="H447">
            <v>0</v>
          </cell>
          <cell r="I447">
            <v>0</v>
          </cell>
          <cell r="J447">
            <v>0</v>
          </cell>
          <cell r="L447">
            <v>0</v>
          </cell>
          <cell r="N447">
            <v>0</v>
          </cell>
          <cell r="P447">
            <v>0</v>
          </cell>
          <cell r="R447">
            <v>0</v>
          </cell>
          <cell r="T447">
            <v>0</v>
          </cell>
          <cell r="V447">
            <v>0</v>
          </cell>
        </row>
        <row r="448">
          <cell r="A448">
            <v>34</v>
          </cell>
          <cell r="B448" t="str">
            <v>Besi hollow 2/4</v>
          </cell>
          <cell r="C448" t="str">
            <v>Kg</v>
          </cell>
          <cell r="D448">
            <v>74462.500000000058</v>
          </cell>
          <cell r="F448">
            <v>0</v>
          </cell>
          <cell r="G448">
            <v>0</v>
          </cell>
          <cell r="H448">
            <v>0</v>
          </cell>
          <cell r="I448">
            <v>0</v>
          </cell>
          <cell r="J448">
            <v>0</v>
          </cell>
          <cell r="L448">
            <v>0</v>
          </cell>
          <cell r="N448">
            <v>0</v>
          </cell>
          <cell r="P448">
            <v>0</v>
          </cell>
          <cell r="R448">
            <v>0</v>
          </cell>
          <cell r="T448">
            <v>0</v>
          </cell>
          <cell r="V448">
            <v>0</v>
          </cell>
        </row>
        <row r="449">
          <cell r="A449">
            <v>35</v>
          </cell>
          <cell r="B449" t="str">
            <v>Kaca Tempered 12 mm</v>
          </cell>
          <cell r="C449" t="str">
            <v>M2</v>
          </cell>
          <cell r="D449">
            <v>528395.75</v>
          </cell>
          <cell r="F449">
            <v>0</v>
          </cell>
          <cell r="G449">
            <v>4.3049999999999997</v>
          </cell>
          <cell r="H449">
            <v>2274743.7037499999</v>
          </cell>
          <cell r="I449">
            <v>0</v>
          </cell>
          <cell r="J449">
            <v>0</v>
          </cell>
          <cell r="L449">
            <v>0</v>
          </cell>
          <cell r="N449">
            <v>0</v>
          </cell>
          <cell r="P449">
            <v>0</v>
          </cell>
          <cell r="R449">
            <v>0</v>
          </cell>
          <cell r="T449">
            <v>0</v>
          </cell>
          <cell r="V449">
            <v>0</v>
          </cell>
        </row>
        <row r="450">
          <cell r="A450">
            <v>36</v>
          </cell>
          <cell r="B450" t="str">
            <v>Glass Block</v>
          </cell>
          <cell r="C450" t="str">
            <v>Bh</v>
          </cell>
          <cell r="D450">
            <v>45000</v>
          </cell>
          <cell r="F450">
            <v>0</v>
          </cell>
          <cell r="G450">
            <v>0</v>
          </cell>
          <cell r="H450">
            <v>0</v>
          </cell>
          <cell r="I450">
            <v>0</v>
          </cell>
          <cell r="J450">
            <v>0</v>
          </cell>
          <cell r="L450">
            <v>0</v>
          </cell>
          <cell r="N450">
            <v>0</v>
          </cell>
          <cell r="P450">
            <v>0</v>
          </cell>
          <cell r="R450">
            <v>0</v>
          </cell>
          <cell r="T450">
            <v>0</v>
          </cell>
          <cell r="V450">
            <v>0</v>
          </cell>
        </row>
        <row r="451">
          <cell r="A451">
            <v>37</v>
          </cell>
          <cell r="B451" t="str">
            <v>Kaca Es</v>
          </cell>
          <cell r="C451" t="str">
            <v>M2</v>
          </cell>
          <cell r="D451">
            <v>66700</v>
          </cell>
          <cell r="F451">
            <v>0</v>
          </cell>
          <cell r="G451">
            <v>0</v>
          </cell>
          <cell r="H451">
            <v>0</v>
          </cell>
          <cell r="I451">
            <v>0</v>
          </cell>
          <cell r="J451">
            <v>0</v>
          </cell>
          <cell r="L451">
            <v>0</v>
          </cell>
          <cell r="N451">
            <v>0</v>
          </cell>
          <cell r="P451">
            <v>0</v>
          </cell>
          <cell r="R451">
            <v>0</v>
          </cell>
          <cell r="T451">
            <v>0</v>
          </cell>
          <cell r="V451">
            <v>0</v>
          </cell>
        </row>
        <row r="452">
          <cell r="A452">
            <v>38</v>
          </cell>
          <cell r="B452" t="str">
            <v>Krepyak Kaca Nako + Kerangka</v>
          </cell>
          <cell r="C452" t="str">
            <v>M2</v>
          </cell>
          <cell r="D452">
            <v>81300</v>
          </cell>
          <cell r="F452">
            <v>0</v>
          </cell>
          <cell r="G452">
            <v>0</v>
          </cell>
          <cell r="H452">
            <v>0</v>
          </cell>
          <cell r="I452">
            <v>0</v>
          </cell>
          <cell r="J452">
            <v>0</v>
          </cell>
          <cell r="L452">
            <v>0</v>
          </cell>
          <cell r="N452">
            <v>0</v>
          </cell>
          <cell r="P452">
            <v>0</v>
          </cell>
          <cell r="R452">
            <v>0</v>
          </cell>
          <cell r="T452">
            <v>0</v>
          </cell>
          <cell r="V452">
            <v>0</v>
          </cell>
        </row>
        <row r="453">
          <cell r="A453">
            <v>39</v>
          </cell>
          <cell r="B453" t="str">
            <v>Sticker Efek Kaca Es</v>
          </cell>
          <cell r="C453" t="str">
            <v>M2</v>
          </cell>
          <cell r="D453">
            <v>150000</v>
          </cell>
          <cell r="F453">
            <v>0</v>
          </cell>
          <cell r="G453">
            <v>0</v>
          </cell>
          <cell r="H453">
            <v>0</v>
          </cell>
          <cell r="I453">
            <v>0</v>
          </cell>
          <cell r="J453">
            <v>0</v>
          </cell>
          <cell r="L453">
            <v>0</v>
          </cell>
          <cell r="N453">
            <v>0</v>
          </cell>
          <cell r="P453">
            <v>0</v>
          </cell>
          <cell r="R453">
            <v>0</v>
          </cell>
          <cell r="T453">
            <v>0</v>
          </cell>
          <cell r="V453">
            <v>0</v>
          </cell>
        </row>
        <row r="454">
          <cell r="A454">
            <v>40</v>
          </cell>
          <cell r="B454" t="str">
            <v>Rel Pintu Dorong</v>
          </cell>
          <cell r="C454" t="str">
            <v>M'</v>
          </cell>
          <cell r="D454">
            <v>275000</v>
          </cell>
          <cell r="F454">
            <v>0</v>
          </cell>
          <cell r="G454">
            <v>0</v>
          </cell>
          <cell r="H454">
            <v>0</v>
          </cell>
          <cell r="I454">
            <v>0</v>
          </cell>
          <cell r="J454">
            <v>0</v>
          </cell>
          <cell r="K454">
            <v>7.2</v>
          </cell>
          <cell r="L454">
            <v>1980000</v>
          </cell>
          <cell r="N454">
            <v>0</v>
          </cell>
          <cell r="P454">
            <v>0</v>
          </cell>
          <cell r="R454">
            <v>0</v>
          </cell>
          <cell r="T454">
            <v>0</v>
          </cell>
          <cell r="V454">
            <v>0</v>
          </cell>
        </row>
        <row r="455">
          <cell r="A455">
            <v>41</v>
          </cell>
          <cell r="B455" t="str">
            <v>Rolling Door</v>
          </cell>
          <cell r="C455" t="str">
            <v>M2</v>
          </cell>
          <cell r="D455">
            <v>358100</v>
          </cell>
          <cell r="F455">
            <v>0</v>
          </cell>
          <cell r="G455">
            <v>0</v>
          </cell>
          <cell r="H455">
            <v>0</v>
          </cell>
          <cell r="I455">
            <v>0</v>
          </cell>
          <cell r="J455">
            <v>0</v>
          </cell>
          <cell r="L455">
            <v>0</v>
          </cell>
          <cell r="N455">
            <v>0</v>
          </cell>
          <cell r="P455">
            <v>0</v>
          </cell>
          <cell r="R455">
            <v>0</v>
          </cell>
          <cell r="T455">
            <v>0</v>
          </cell>
          <cell r="V455">
            <v>0</v>
          </cell>
        </row>
        <row r="456">
          <cell r="A456">
            <v>42</v>
          </cell>
          <cell r="B456" t="str">
            <v>Roster</v>
          </cell>
          <cell r="C456" t="str">
            <v>M2</v>
          </cell>
          <cell r="D456">
            <v>133850</v>
          </cell>
          <cell r="F456">
            <v>0</v>
          </cell>
          <cell r="G456">
            <v>0</v>
          </cell>
          <cell r="H456">
            <v>0</v>
          </cell>
          <cell r="I456">
            <v>0</v>
          </cell>
          <cell r="J456">
            <v>0</v>
          </cell>
          <cell r="L456">
            <v>0</v>
          </cell>
          <cell r="N456">
            <v>0</v>
          </cell>
          <cell r="P456">
            <v>0</v>
          </cell>
          <cell r="Q456">
            <v>0.25919999999999999</v>
          </cell>
          <cell r="R456">
            <v>34693.919999999998</v>
          </cell>
          <cell r="S456">
            <v>0.25919999999999999</v>
          </cell>
          <cell r="T456">
            <v>34693.919999999998</v>
          </cell>
          <cell r="U456">
            <v>0.12959999999999999</v>
          </cell>
          <cell r="V456">
            <v>17346.96</v>
          </cell>
        </row>
        <row r="457">
          <cell r="A457">
            <v>43</v>
          </cell>
          <cell r="B457" t="str">
            <v>Gipsum Board</v>
          </cell>
          <cell r="C457" t="str">
            <v>M2</v>
          </cell>
          <cell r="D457">
            <v>29000</v>
          </cell>
          <cell r="F457">
            <v>0</v>
          </cell>
          <cell r="G457">
            <v>0</v>
          </cell>
          <cell r="H457">
            <v>0</v>
          </cell>
          <cell r="I457">
            <v>0</v>
          </cell>
          <cell r="J457">
            <v>0</v>
          </cell>
          <cell r="L457">
            <v>0</v>
          </cell>
          <cell r="N457">
            <v>0</v>
          </cell>
          <cell r="P457">
            <v>0</v>
          </cell>
          <cell r="R457">
            <v>0</v>
          </cell>
          <cell r="T457">
            <v>0</v>
          </cell>
          <cell r="V457">
            <v>0</v>
          </cell>
        </row>
        <row r="458">
          <cell r="A458">
            <v>44</v>
          </cell>
          <cell r="B458" t="str">
            <v>List Gipsum</v>
          </cell>
          <cell r="C458" t="str">
            <v>M'</v>
          </cell>
          <cell r="D458">
            <v>17300</v>
          </cell>
          <cell r="F458">
            <v>0</v>
          </cell>
          <cell r="G458">
            <v>0</v>
          </cell>
          <cell r="H458">
            <v>0</v>
          </cell>
          <cell r="I458">
            <v>0</v>
          </cell>
          <cell r="J458">
            <v>0</v>
          </cell>
          <cell r="L458">
            <v>0</v>
          </cell>
          <cell r="N458">
            <v>0</v>
          </cell>
          <cell r="P458">
            <v>0</v>
          </cell>
          <cell r="R458">
            <v>0</v>
          </cell>
          <cell r="T458">
            <v>0</v>
          </cell>
          <cell r="V458">
            <v>0</v>
          </cell>
        </row>
        <row r="459">
          <cell r="A459">
            <v>45</v>
          </cell>
          <cell r="B459" t="str">
            <v>Sealent</v>
          </cell>
          <cell r="C459" t="str">
            <v>M'</v>
          </cell>
          <cell r="D459">
            <v>8400</v>
          </cell>
          <cell r="E459">
            <v>14.520000000000003</v>
          </cell>
          <cell r="F459">
            <v>121968.00000000003</v>
          </cell>
          <cell r="G459">
            <v>2.16</v>
          </cell>
          <cell r="H459">
            <v>18144</v>
          </cell>
          <cell r="I459">
            <v>0</v>
          </cell>
          <cell r="J459">
            <v>0</v>
          </cell>
          <cell r="L459">
            <v>0</v>
          </cell>
          <cell r="M459">
            <v>1.1519999999999999</v>
          </cell>
          <cell r="N459">
            <v>9676.7999999999993</v>
          </cell>
          <cell r="O459">
            <v>6.4</v>
          </cell>
          <cell r="P459">
            <v>53760</v>
          </cell>
          <cell r="R459">
            <v>0</v>
          </cell>
          <cell r="T459">
            <v>0</v>
          </cell>
          <cell r="V459">
            <v>0</v>
          </cell>
        </row>
        <row r="460">
          <cell r="A460">
            <v>46</v>
          </cell>
          <cell r="B460" t="str">
            <v>Benangan Kusen</v>
          </cell>
          <cell r="C460" t="str">
            <v>M'</v>
          </cell>
          <cell r="D460">
            <v>4296.0074999999997</v>
          </cell>
          <cell r="E460">
            <v>13.2</v>
          </cell>
          <cell r="F460">
            <v>56707.298999999992</v>
          </cell>
          <cell r="G460">
            <v>9.8000000000000007</v>
          </cell>
          <cell r="H460">
            <v>42100.873500000002</v>
          </cell>
          <cell r="I460">
            <v>5.7839999999999998</v>
          </cell>
          <cell r="J460">
            <v>24848.107379999998</v>
          </cell>
          <cell r="K460">
            <v>28</v>
          </cell>
          <cell r="L460">
            <v>120288.20999999999</v>
          </cell>
          <cell r="M460">
            <v>8.92</v>
          </cell>
          <cell r="N460">
            <v>38320.386899999998</v>
          </cell>
          <cell r="O460">
            <v>4.4000000000000004</v>
          </cell>
          <cell r="P460">
            <v>18902.433000000001</v>
          </cell>
          <cell r="Q460">
            <v>6.4</v>
          </cell>
          <cell r="R460">
            <v>27494.448</v>
          </cell>
          <cell r="S460">
            <v>6.4</v>
          </cell>
          <cell r="T460">
            <v>27494.448</v>
          </cell>
          <cell r="U460">
            <v>3.2</v>
          </cell>
          <cell r="V460">
            <v>13747.224</v>
          </cell>
        </row>
        <row r="461">
          <cell r="A461">
            <v>47</v>
          </cell>
          <cell r="B461" t="str">
            <v xml:space="preserve">Cat Kayu </v>
          </cell>
          <cell r="C461" t="str">
            <v>M2</v>
          </cell>
          <cell r="D461">
            <v>19370.5</v>
          </cell>
          <cell r="E461">
            <v>7.99</v>
          </cell>
          <cell r="F461">
            <v>154770.29500000001</v>
          </cell>
          <cell r="G461">
            <v>3.2720000000000002</v>
          </cell>
          <cell r="H461">
            <v>63380.276000000005</v>
          </cell>
          <cell r="I461">
            <v>4.0991999999999997</v>
          </cell>
          <cell r="J461">
            <v>79403.553599999999</v>
          </cell>
          <cell r="K461">
            <v>17.28</v>
          </cell>
          <cell r="L461">
            <v>334722.24000000005</v>
          </cell>
          <cell r="N461">
            <v>0</v>
          </cell>
          <cell r="P461">
            <v>0</v>
          </cell>
          <cell r="R461">
            <v>0</v>
          </cell>
          <cell r="T461">
            <v>0</v>
          </cell>
          <cell r="V461">
            <v>0</v>
          </cell>
        </row>
        <row r="462">
          <cell r="A462">
            <v>48</v>
          </cell>
          <cell r="B462" t="str">
            <v>Cat Besi</v>
          </cell>
          <cell r="C462" t="str">
            <v>M2</v>
          </cell>
          <cell r="D462">
            <v>13698</v>
          </cell>
          <cell r="F462">
            <v>0</v>
          </cell>
          <cell r="G462">
            <v>0</v>
          </cell>
          <cell r="H462">
            <v>0</v>
          </cell>
          <cell r="I462">
            <v>0</v>
          </cell>
          <cell r="J462">
            <v>0</v>
          </cell>
          <cell r="L462">
            <v>0</v>
          </cell>
          <cell r="N462">
            <v>0</v>
          </cell>
          <cell r="P462">
            <v>0</v>
          </cell>
          <cell r="R462">
            <v>0</v>
          </cell>
          <cell r="T462">
            <v>0</v>
          </cell>
          <cell r="V462">
            <v>0</v>
          </cell>
        </row>
        <row r="463">
          <cell r="A463">
            <v>49</v>
          </cell>
          <cell r="B463" t="str">
            <v>Cat Dinding</v>
          </cell>
          <cell r="C463" t="str">
            <v>M2</v>
          </cell>
          <cell r="D463">
            <v>9900</v>
          </cell>
          <cell r="F463">
            <v>0</v>
          </cell>
          <cell r="G463">
            <v>0</v>
          </cell>
          <cell r="H463">
            <v>0</v>
          </cell>
          <cell r="I463">
            <v>0</v>
          </cell>
          <cell r="J463">
            <v>0</v>
          </cell>
          <cell r="L463">
            <v>0</v>
          </cell>
          <cell r="N463">
            <v>0</v>
          </cell>
          <cell r="P463">
            <v>0</v>
          </cell>
          <cell r="Q463">
            <v>0.64000000000000012</v>
          </cell>
          <cell r="R463">
            <v>6336.0000000000009</v>
          </cell>
          <cell r="S463">
            <v>0.64000000000000012</v>
          </cell>
          <cell r="T463">
            <v>6336.0000000000009</v>
          </cell>
          <cell r="U463">
            <v>0.32000000000000006</v>
          </cell>
          <cell r="V463">
            <v>3168.0000000000005</v>
          </cell>
        </row>
        <row r="464">
          <cell r="A464">
            <v>50</v>
          </cell>
          <cell r="B464" t="str">
            <v>Plesteran Camprot</v>
          </cell>
          <cell r="C464" t="str">
            <v>M2</v>
          </cell>
          <cell r="D464">
            <v>14600</v>
          </cell>
          <cell r="F464">
            <v>0</v>
          </cell>
          <cell r="G464">
            <v>0</v>
          </cell>
          <cell r="H464">
            <v>0</v>
          </cell>
          <cell r="I464">
            <v>0</v>
          </cell>
          <cell r="J464">
            <v>0</v>
          </cell>
          <cell r="L464">
            <v>0</v>
          </cell>
          <cell r="N464">
            <v>0</v>
          </cell>
          <cell r="P464">
            <v>0</v>
          </cell>
          <cell r="R464">
            <v>0</v>
          </cell>
          <cell r="T464">
            <v>0</v>
          </cell>
        </row>
        <row r="465">
          <cell r="T465">
            <v>0</v>
          </cell>
        </row>
        <row r="466">
          <cell r="B466" t="str">
            <v>Jumlah Harga</v>
          </cell>
          <cell r="F466">
            <v>2731449.0447499999</v>
          </cell>
          <cell r="H466">
            <v>3021087.0332500003</v>
          </cell>
          <cell r="J466">
            <v>1690743.9109799999</v>
          </cell>
          <cell r="L466">
            <v>3789806.45</v>
          </cell>
          <cell r="N466">
            <v>67206.786899999992</v>
          </cell>
          <cell r="P466">
            <v>88670.433000000005</v>
          </cell>
          <cell r="R466">
            <v>68524.368000000002</v>
          </cell>
          <cell r="T466">
            <v>68524.368000000002</v>
          </cell>
          <cell r="V466">
            <v>34262.184000000001</v>
          </cell>
        </row>
        <row r="467">
          <cell r="L467" t="str">
            <v>Rev Kaca 8 Jd 5</v>
          </cell>
        </row>
        <row r="468">
          <cell r="V468">
            <v>34262.184000000001</v>
          </cell>
        </row>
        <row r="469">
          <cell r="L469" t="str">
            <v>Rev Kaca 8 Jd 5</v>
          </cell>
        </row>
        <row r="470">
          <cell r="A470" t="str">
            <v>No.</v>
          </cell>
          <cell r="B470" t="str">
            <v>Item Pekerjaan</v>
          </cell>
          <cell r="C470" t="str">
            <v>Satuan</v>
          </cell>
          <cell r="D470" t="str">
            <v>Harga Satuan</v>
          </cell>
          <cell r="E470" t="str">
            <v>P1</v>
          </cell>
          <cell r="G470" t="str">
            <v>P2</v>
          </cell>
          <cell r="I470" t="str">
            <v>P3</v>
          </cell>
          <cell r="K470" t="str">
            <v>P4</v>
          </cell>
          <cell r="M470" t="str">
            <v>J1/BV</v>
          </cell>
          <cell r="O470" t="str">
            <v>BV1</v>
          </cell>
          <cell r="Q470" t="str">
            <v>BV1'</v>
          </cell>
          <cell r="S470" t="str">
            <v>R1</v>
          </cell>
          <cell r="U470" t="str">
            <v>R2</v>
          </cell>
          <cell r="W470" t="str">
            <v>R3</v>
          </cell>
          <cell r="Y470" t="str">
            <v>J1</v>
          </cell>
        </row>
        <row r="471">
          <cell r="D471" t="str">
            <v>Rp.</v>
          </cell>
          <cell r="E471" t="str">
            <v>Vol.</v>
          </cell>
          <cell r="F471" t="str">
            <v>Jumlah Harga</v>
          </cell>
          <cell r="G471" t="str">
            <v>Vol.</v>
          </cell>
          <cell r="H471" t="str">
            <v>Jumlah Harga</v>
          </cell>
          <cell r="I471" t="str">
            <v>Vol.</v>
          </cell>
          <cell r="J471" t="str">
            <v>Jumlah Harga</v>
          </cell>
          <cell r="K471" t="str">
            <v>Vol.</v>
          </cell>
          <cell r="L471" t="str">
            <v>Jumlah Harga</v>
          </cell>
          <cell r="M471" t="str">
            <v>Vol.</v>
          </cell>
          <cell r="N471" t="str">
            <v>Jumlah Harga</v>
          </cell>
          <cell r="O471" t="str">
            <v>Vol.</v>
          </cell>
          <cell r="P471" t="str">
            <v>Jumlah Harga</v>
          </cell>
          <cell r="Q471" t="str">
            <v>Vol.</v>
          </cell>
          <cell r="R471" t="str">
            <v>Jumlah Harga</v>
          </cell>
          <cell r="S471" t="str">
            <v>Vol.</v>
          </cell>
          <cell r="T471" t="str">
            <v>Jumlah Harga</v>
          </cell>
          <cell r="U471" t="str">
            <v>Vol.</v>
          </cell>
          <cell r="V471" t="str">
            <v>Jumlah Harga</v>
          </cell>
          <cell r="W471" t="str">
            <v>Vol.</v>
          </cell>
          <cell r="X471" t="str">
            <v>Jumlah Harga</v>
          </cell>
          <cell r="Y471" t="str">
            <v>Vol.</v>
          </cell>
          <cell r="Z471" t="str">
            <v>Jumlah Harga</v>
          </cell>
        </row>
        <row r="472">
          <cell r="A472" t="str">
            <v>VIII.</v>
          </cell>
          <cell r="B472" t="str">
            <v>UNIT BANGUNAN MASJID</v>
          </cell>
          <cell r="D472" t="str">
            <v>Rp.</v>
          </cell>
          <cell r="E472" t="str">
            <v>Vol.</v>
          </cell>
          <cell r="F472" t="str">
            <v>Jumlah Harga</v>
          </cell>
          <cell r="G472" t="str">
            <v>Vol.</v>
          </cell>
          <cell r="H472" t="str">
            <v>Jumlah Harga</v>
          </cell>
          <cell r="I472" t="str">
            <v>Vol.</v>
          </cell>
          <cell r="J472" t="str">
            <v>Jumlah Harga</v>
          </cell>
          <cell r="K472" t="str">
            <v>Vol.</v>
          </cell>
          <cell r="L472" t="str">
            <v>Jumlah Harga</v>
          </cell>
          <cell r="M472" t="str">
            <v>Vol.</v>
          </cell>
          <cell r="N472" t="str">
            <v>Jumlah Harga</v>
          </cell>
          <cell r="O472" t="str">
            <v>Vol.</v>
          </cell>
          <cell r="P472" t="str">
            <v>Jumlah Harga</v>
          </cell>
          <cell r="Q472" t="str">
            <v>Vol.</v>
          </cell>
          <cell r="R472" t="str">
            <v>Jumlah Harga</v>
          </cell>
          <cell r="S472" t="str">
            <v>Vol.</v>
          </cell>
          <cell r="T472" t="str">
            <v>Jumlah Harga</v>
          </cell>
          <cell r="U472" t="str">
            <v>Vol.</v>
          </cell>
          <cell r="V472" t="str">
            <v>Jumlah Harga</v>
          </cell>
          <cell r="W472" t="str">
            <v>Vol.</v>
          </cell>
          <cell r="X472" t="str">
            <v>Jumlah Harga</v>
          </cell>
          <cell r="Y472" t="str">
            <v>Vol.</v>
          </cell>
          <cell r="Z472" t="str">
            <v>Jumlah Harga</v>
          </cell>
        </row>
        <row r="473">
          <cell r="A473" t="str">
            <v>VIII.</v>
          </cell>
          <cell r="B473" t="str">
            <v>UNIT BANGUNAN MASJID</v>
          </cell>
        </row>
        <row r="474">
          <cell r="A474">
            <v>1</v>
          </cell>
          <cell r="B474" t="str">
            <v>Kayu 6/12</v>
          </cell>
          <cell r="C474" t="str">
            <v>M3</v>
          </cell>
          <cell r="D474">
            <v>0</v>
          </cell>
          <cell r="F474">
            <v>0</v>
          </cell>
          <cell r="H474">
            <v>0</v>
          </cell>
          <cell r="I474">
            <v>1.7600000000000001E-2</v>
          </cell>
          <cell r="J474">
            <v>0</v>
          </cell>
          <cell r="K474">
            <v>3.6144000000000003E-2</v>
          </cell>
          <cell r="L474">
            <v>0</v>
          </cell>
          <cell r="N474">
            <v>0</v>
          </cell>
          <cell r="P474">
            <v>0</v>
          </cell>
          <cell r="R474">
            <v>0</v>
          </cell>
          <cell r="T474">
            <v>0</v>
          </cell>
          <cell r="V474">
            <v>0</v>
          </cell>
          <cell r="X474">
            <v>0</v>
          </cell>
          <cell r="Z474">
            <v>0</v>
          </cell>
        </row>
        <row r="475">
          <cell r="A475">
            <v>2</v>
          </cell>
          <cell r="B475" t="str">
            <v>Kayu Slimar 3/10</v>
          </cell>
          <cell r="C475" t="str">
            <v>M3</v>
          </cell>
          <cell r="D475">
            <v>0</v>
          </cell>
          <cell r="F475">
            <v>0</v>
          </cell>
          <cell r="H475">
            <v>0</v>
          </cell>
          <cell r="I475">
            <v>3.2000000000000006E-3</v>
          </cell>
          <cell r="J475">
            <v>0</v>
          </cell>
          <cell r="K475">
            <v>1.4159999999999999E-2</v>
          </cell>
          <cell r="L475">
            <v>0</v>
          </cell>
          <cell r="N475">
            <v>0</v>
          </cell>
          <cell r="P475">
            <v>0</v>
          </cell>
          <cell r="R475">
            <v>0</v>
          </cell>
          <cell r="T475">
            <v>0</v>
          </cell>
          <cell r="V475">
            <v>0</v>
          </cell>
          <cell r="X475">
            <v>0</v>
          </cell>
          <cell r="Z475">
            <v>0</v>
          </cell>
        </row>
        <row r="476">
          <cell r="A476">
            <v>3</v>
          </cell>
          <cell r="B476" t="str">
            <v>Kayu Slimar 3/15</v>
          </cell>
          <cell r="C476" t="str">
            <v>M3</v>
          </cell>
          <cell r="D476">
            <v>0</v>
          </cell>
          <cell r="F476">
            <v>0</v>
          </cell>
          <cell r="H476">
            <v>0</v>
          </cell>
          <cell r="I476">
            <v>1.92</v>
          </cell>
          <cell r="J476">
            <v>0</v>
          </cell>
          <cell r="K476">
            <v>2.6999999999999997E-3</v>
          </cell>
          <cell r="L476">
            <v>0</v>
          </cell>
          <cell r="N476">
            <v>0</v>
          </cell>
          <cell r="P476">
            <v>0</v>
          </cell>
          <cell r="R476">
            <v>0</v>
          </cell>
          <cell r="T476">
            <v>0</v>
          </cell>
          <cell r="V476">
            <v>0</v>
          </cell>
          <cell r="X476">
            <v>0</v>
          </cell>
          <cell r="Z476">
            <v>0</v>
          </cell>
        </row>
        <row r="477">
          <cell r="A477">
            <v>4</v>
          </cell>
          <cell r="B477" t="str">
            <v>Kayu Slimar 3/20</v>
          </cell>
          <cell r="C477" t="str">
            <v>M3</v>
          </cell>
          <cell r="D477">
            <v>0</v>
          </cell>
          <cell r="E477">
            <v>4.5119999999999996</v>
          </cell>
          <cell r="F477">
            <v>0</v>
          </cell>
          <cell r="G477">
            <v>0.14279999999999998</v>
          </cell>
          <cell r="H477">
            <v>0</v>
          </cell>
          <cell r="I477">
            <v>3.2</v>
          </cell>
          <cell r="J477">
            <v>0</v>
          </cell>
          <cell r="K477">
            <v>3.5999999999999999E-3</v>
          </cell>
          <cell r="L477">
            <v>0</v>
          </cell>
          <cell r="N477">
            <v>0</v>
          </cell>
          <cell r="P477">
            <v>0</v>
          </cell>
          <cell r="R477">
            <v>0</v>
          </cell>
          <cell r="T477">
            <v>0</v>
          </cell>
          <cell r="V477">
            <v>0</v>
          </cell>
          <cell r="X477">
            <v>0</v>
          </cell>
          <cell r="Z477">
            <v>0</v>
          </cell>
        </row>
        <row r="478">
          <cell r="A478">
            <v>5</v>
          </cell>
          <cell r="B478" t="str">
            <v>Kayu 2/10</v>
          </cell>
          <cell r="C478" t="str">
            <v>M3</v>
          </cell>
          <cell r="D478">
            <v>0</v>
          </cell>
          <cell r="E478">
            <v>5.9</v>
          </cell>
          <cell r="F478">
            <v>0</v>
          </cell>
          <cell r="H478">
            <v>0</v>
          </cell>
          <cell r="J478">
            <v>0</v>
          </cell>
          <cell r="K478">
            <v>5.4000000000000012E-3</v>
          </cell>
          <cell r="L478">
            <v>0</v>
          </cell>
          <cell r="M478">
            <v>2.016</v>
          </cell>
          <cell r="N478">
            <v>0</v>
          </cell>
          <cell r="O478">
            <v>2.8</v>
          </cell>
          <cell r="P478">
            <v>0</v>
          </cell>
          <cell r="Q478">
            <v>2.8</v>
          </cell>
          <cell r="R478">
            <v>0</v>
          </cell>
          <cell r="T478">
            <v>0</v>
          </cell>
          <cell r="V478">
            <v>0</v>
          </cell>
          <cell r="X478">
            <v>0</v>
          </cell>
          <cell r="Y478">
            <v>3.76</v>
          </cell>
          <cell r="Z478">
            <v>0</v>
          </cell>
        </row>
        <row r="479">
          <cell r="A479">
            <v>6</v>
          </cell>
          <cell r="B479" t="str">
            <v>Panil t = 3 cm</v>
          </cell>
          <cell r="C479" t="str">
            <v>M2</v>
          </cell>
          <cell r="D479">
            <v>0</v>
          </cell>
          <cell r="F479">
            <v>0</v>
          </cell>
          <cell r="H479">
            <v>0</v>
          </cell>
          <cell r="J479">
            <v>0</v>
          </cell>
          <cell r="K479">
            <v>0.49500000000000005</v>
          </cell>
          <cell r="L479">
            <v>0</v>
          </cell>
          <cell r="N479">
            <v>0</v>
          </cell>
          <cell r="P479">
            <v>0</v>
          </cell>
          <cell r="R479">
            <v>0</v>
          </cell>
          <cell r="T479">
            <v>0</v>
          </cell>
          <cell r="V479">
            <v>0</v>
          </cell>
          <cell r="X479">
            <v>0</v>
          </cell>
          <cell r="Z479">
            <v>0</v>
          </cell>
        </row>
        <row r="480">
          <cell r="A480">
            <v>1</v>
          </cell>
          <cell r="B480" t="str">
            <v>Kusen Aluminium 5/10</v>
          </cell>
          <cell r="C480" t="str">
            <v>M'</v>
          </cell>
          <cell r="D480">
            <v>124948</v>
          </cell>
          <cell r="F480">
            <v>0</v>
          </cell>
          <cell r="H480">
            <v>0</v>
          </cell>
          <cell r="J480">
            <v>0</v>
          </cell>
          <cell r="K480">
            <v>5</v>
          </cell>
          <cell r="L480">
            <v>624740</v>
          </cell>
          <cell r="N480">
            <v>0</v>
          </cell>
          <cell r="P480">
            <v>0</v>
          </cell>
          <cell r="R480">
            <v>0</v>
          </cell>
          <cell r="T480">
            <v>0</v>
          </cell>
          <cell r="V480">
            <v>0</v>
          </cell>
          <cell r="X480">
            <v>0</v>
          </cell>
          <cell r="Z480">
            <v>0</v>
          </cell>
        </row>
        <row r="481">
          <cell r="A481">
            <v>2</v>
          </cell>
          <cell r="B481" t="str">
            <v xml:space="preserve">Rangka Daun Jendela Alumunium </v>
          </cell>
          <cell r="C481" t="str">
            <v>M'</v>
          </cell>
          <cell r="D481">
            <v>124948</v>
          </cell>
          <cell r="F481">
            <v>0</v>
          </cell>
          <cell r="H481">
            <v>0</v>
          </cell>
          <cell r="J481">
            <v>0</v>
          </cell>
          <cell r="K481">
            <v>0</v>
          </cell>
          <cell r="L481">
            <v>0</v>
          </cell>
          <cell r="N481">
            <v>0</v>
          </cell>
          <cell r="P481">
            <v>0</v>
          </cell>
          <cell r="R481">
            <v>0</v>
          </cell>
          <cell r="T481">
            <v>0</v>
          </cell>
          <cell r="V481">
            <v>0</v>
          </cell>
          <cell r="X481">
            <v>0</v>
          </cell>
          <cell r="Z481">
            <v>0</v>
          </cell>
        </row>
        <row r="482">
          <cell r="A482">
            <v>3</v>
          </cell>
          <cell r="B482" t="str">
            <v>Rangka Tiang Sirip Alumunium 1/1 Putih</v>
          </cell>
          <cell r="C482" t="str">
            <v>M'</v>
          </cell>
          <cell r="D482">
            <v>62474</v>
          </cell>
          <cell r="F482">
            <v>0</v>
          </cell>
          <cell r="H482">
            <v>0</v>
          </cell>
          <cell r="J482">
            <v>0</v>
          </cell>
          <cell r="K482">
            <v>0</v>
          </cell>
          <cell r="L482">
            <v>0</v>
          </cell>
          <cell r="N482">
            <v>0</v>
          </cell>
          <cell r="P482">
            <v>0</v>
          </cell>
          <cell r="R482">
            <v>0</v>
          </cell>
          <cell r="T482">
            <v>0</v>
          </cell>
          <cell r="V482">
            <v>0</v>
          </cell>
          <cell r="X482">
            <v>0</v>
          </cell>
          <cell r="Z482">
            <v>0</v>
          </cell>
        </row>
        <row r="483">
          <cell r="A483">
            <v>4</v>
          </cell>
          <cell r="B483" t="str">
            <v>Pasang Shading Sirip Alumunium 0.2/10 +Rangka</v>
          </cell>
          <cell r="C483" t="str">
            <v>M2</v>
          </cell>
          <cell r="D483">
            <v>0</v>
          </cell>
          <cell r="F483">
            <v>0</v>
          </cell>
          <cell r="H483">
            <v>0</v>
          </cell>
          <cell r="J483">
            <v>0</v>
          </cell>
          <cell r="K483">
            <v>0</v>
          </cell>
          <cell r="L483">
            <v>0</v>
          </cell>
          <cell r="N483">
            <v>0</v>
          </cell>
          <cell r="P483">
            <v>0</v>
          </cell>
          <cell r="R483">
            <v>0</v>
          </cell>
          <cell r="T483">
            <v>0</v>
          </cell>
          <cell r="V483">
            <v>0</v>
          </cell>
          <cell r="X483">
            <v>0</v>
          </cell>
          <cell r="Z483">
            <v>0</v>
          </cell>
        </row>
        <row r="484">
          <cell r="A484">
            <v>5</v>
          </cell>
          <cell r="B484" t="str">
            <v>Daun Pintu Panil Kamper</v>
          </cell>
          <cell r="C484" t="str">
            <v>bh</v>
          </cell>
          <cell r="D484">
            <v>550000</v>
          </cell>
          <cell r="F484">
            <v>0</v>
          </cell>
          <cell r="H484">
            <v>0</v>
          </cell>
          <cell r="I484">
            <v>2.4E-2</v>
          </cell>
          <cell r="J484">
            <v>13200</v>
          </cell>
          <cell r="K484">
            <v>1.2</v>
          </cell>
          <cell r="L484">
            <v>660000</v>
          </cell>
          <cell r="N484">
            <v>0</v>
          </cell>
          <cell r="P484">
            <v>0</v>
          </cell>
          <cell r="R484">
            <v>0</v>
          </cell>
          <cell r="T484">
            <v>0</v>
          </cell>
          <cell r="V484">
            <v>0</v>
          </cell>
          <cell r="X484">
            <v>0</v>
          </cell>
          <cell r="Z484">
            <v>0</v>
          </cell>
        </row>
        <row r="485">
          <cell r="A485">
            <v>6</v>
          </cell>
          <cell r="B485" t="str">
            <v>Plat besi t = 2 mm</v>
          </cell>
          <cell r="C485" t="str">
            <v>Kg</v>
          </cell>
          <cell r="D485">
            <v>0</v>
          </cell>
          <cell r="E485">
            <v>1.6068</v>
          </cell>
          <cell r="F485">
            <v>0</v>
          </cell>
          <cell r="G485">
            <v>1.89</v>
          </cell>
          <cell r="H485">
            <v>0</v>
          </cell>
          <cell r="J485">
            <v>0</v>
          </cell>
          <cell r="K485">
            <v>0</v>
          </cell>
          <cell r="L485">
            <v>0</v>
          </cell>
          <cell r="N485">
            <v>0</v>
          </cell>
          <cell r="P485">
            <v>0</v>
          </cell>
          <cell r="R485">
            <v>0</v>
          </cell>
          <cell r="T485">
            <v>0</v>
          </cell>
          <cell r="V485">
            <v>0</v>
          </cell>
          <cell r="X485">
            <v>0</v>
          </cell>
          <cell r="Z485">
            <v>0</v>
          </cell>
        </row>
        <row r="486">
          <cell r="A486">
            <v>7</v>
          </cell>
          <cell r="B486" t="str">
            <v>C 40.40.2  (pesan khusus)</v>
          </cell>
          <cell r="C486" t="str">
            <v>Kg</v>
          </cell>
          <cell r="D486">
            <v>14122.3</v>
          </cell>
          <cell r="E486">
            <v>0.96960000000000002</v>
          </cell>
          <cell r="F486">
            <v>13692.98208</v>
          </cell>
          <cell r="G486">
            <v>1.0247999999999999</v>
          </cell>
          <cell r="H486">
            <v>14472.533039999998</v>
          </cell>
          <cell r="J486">
            <v>0</v>
          </cell>
          <cell r="K486">
            <v>0</v>
          </cell>
          <cell r="L486">
            <v>0</v>
          </cell>
          <cell r="N486">
            <v>0</v>
          </cell>
          <cell r="P486">
            <v>0</v>
          </cell>
          <cell r="R486">
            <v>0</v>
          </cell>
          <cell r="T486">
            <v>0</v>
          </cell>
          <cell r="V486">
            <v>0</v>
          </cell>
          <cell r="X486">
            <v>0</v>
          </cell>
          <cell r="Z486">
            <v>0</v>
          </cell>
        </row>
        <row r="487">
          <cell r="A487">
            <v>8</v>
          </cell>
          <cell r="B487" t="str">
            <v>Handle besi dia 16 mm</v>
          </cell>
          <cell r="C487" t="str">
            <v>Set</v>
          </cell>
          <cell r="D487">
            <v>129652.5</v>
          </cell>
          <cell r="E487">
            <v>18.012</v>
          </cell>
          <cell r="F487">
            <v>2335300.83</v>
          </cell>
          <cell r="G487">
            <v>20.698</v>
          </cell>
          <cell r="H487">
            <v>2683547.4449999998</v>
          </cell>
          <cell r="J487">
            <v>0</v>
          </cell>
          <cell r="K487">
            <v>0</v>
          </cell>
          <cell r="L487">
            <v>0</v>
          </cell>
          <cell r="N487">
            <v>0</v>
          </cell>
          <cell r="P487">
            <v>0</v>
          </cell>
          <cell r="R487">
            <v>0</v>
          </cell>
          <cell r="T487">
            <v>0</v>
          </cell>
          <cell r="V487">
            <v>0</v>
          </cell>
          <cell r="X487">
            <v>0</v>
          </cell>
          <cell r="Z487">
            <v>0</v>
          </cell>
        </row>
        <row r="488">
          <cell r="A488">
            <v>9</v>
          </cell>
          <cell r="B488" t="str">
            <v>Hendle pintu Stainless</v>
          </cell>
          <cell r="C488" t="str">
            <v>Set</v>
          </cell>
          <cell r="D488">
            <v>261652.5</v>
          </cell>
          <cell r="E488">
            <v>2</v>
          </cell>
          <cell r="F488">
            <v>523305</v>
          </cell>
          <cell r="G488">
            <v>1</v>
          </cell>
          <cell r="H488">
            <v>261652.5</v>
          </cell>
          <cell r="J488">
            <v>0</v>
          </cell>
          <cell r="K488">
            <v>0</v>
          </cell>
          <cell r="L488">
            <v>0</v>
          </cell>
          <cell r="N488">
            <v>0</v>
          </cell>
          <cell r="P488">
            <v>0</v>
          </cell>
          <cell r="R488">
            <v>0</v>
          </cell>
          <cell r="T488">
            <v>0</v>
          </cell>
          <cell r="V488">
            <v>0</v>
          </cell>
          <cell r="X488">
            <v>0</v>
          </cell>
          <cell r="Z488">
            <v>0</v>
          </cell>
        </row>
        <row r="489">
          <cell r="A489">
            <v>10</v>
          </cell>
          <cell r="B489" t="str">
            <v>Kunci Pintu Handle stainleess (dorma)</v>
          </cell>
          <cell r="C489" t="str">
            <v>Set</v>
          </cell>
          <cell r="D489">
            <v>650000</v>
          </cell>
          <cell r="F489">
            <v>0</v>
          </cell>
          <cell r="H489">
            <v>0</v>
          </cell>
          <cell r="J489">
            <v>0</v>
          </cell>
          <cell r="K489">
            <v>0</v>
          </cell>
          <cell r="L489">
            <v>0</v>
          </cell>
          <cell r="N489">
            <v>0</v>
          </cell>
          <cell r="P489">
            <v>0</v>
          </cell>
          <cell r="R489">
            <v>0</v>
          </cell>
          <cell r="T489">
            <v>0</v>
          </cell>
          <cell r="V489">
            <v>0</v>
          </cell>
          <cell r="X489">
            <v>0</v>
          </cell>
          <cell r="Z489">
            <v>0</v>
          </cell>
        </row>
        <row r="490">
          <cell r="A490">
            <v>11</v>
          </cell>
          <cell r="B490" t="str">
            <v>Kunci tanam Antik</v>
          </cell>
          <cell r="C490" t="str">
            <v>Set</v>
          </cell>
          <cell r="D490">
            <v>265000</v>
          </cell>
          <cell r="F490">
            <v>0</v>
          </cell>
          <cell r="H490">
            <v>0</v>
          </cell>
          <cell r="J490">
            <v>0</v>
          </cell>
          <cell r="K490">
            <v>0</v>
          </cell>
          <cell r="L490">
            <v>0</v>
          </cell>
          <cell r="N490">
            <v>0</v>
          </cell>
          <cell r="P490">
            <v>0</v>
          </cell>
          <cell r="R490">
            <v>0</v>
          </cell>
          <cell r="T490">
            <v>0</v>
          </cell>
          <cell r="V490">
            <v>0</v>
          </cell>
          <cell r="X490">
            <v>0</v>
          </cell>
          <cell r="Z490">
            <v>0</v>
          </cell>
        </row>
        <row r="491">
          <cell r="A491">
            <v>12</v>
          </cell>
          <cell r="B491" t="str">
            <v>Kunci tanam biasa</v>
          </cell>
          <cell r="C491" t="str">
            <v>Set</v>
          </cell>
          <cell r="D491">
            <v>168565</v>
          </cell>
          <cell r="E491">
            <v>2</v>
          </cell>
          <cell r="F491">
            <v>337130</v>
          </cell>
          <cell r="G491">
            <v>1</v>
          </cell>
          <cell r="H491">
            <v>168565</v>
          </cell>
          <cell r="I491">
            <v>1</v>
          </cell>
          <cell r="J491">
            <v>168565</v>
          </cell>
          <cell r="K491">
            <v>1</v>
          </cell>
          <cell r="L491">
            <v>168565</v>
          </cell>
          <cell r="N491">
            <v>0</v>
          </cell>
          <cell r="P491">
            <v>0</v>
          </cell>
          <cell r="R491">
            <v>0</v>
          </cell>
          <cell r="T491">
            <v>0</v>
          </cell>
          <cell r="V491">
            <v>0</v>
          </cell>
          <cell r="X491">
            <v>0</v>
          </cell>
          <cell r="Z491">
            <v>0</v>
          </cell>
        </row>
        <row r="492">
          <cell r="A492">
            <v>13</v>
          </cell>
          <cell r="B492" t="str">
            <v>Kunci Silinder</v>
          </cell>
          <cell r="C492" t="str">
            <v>Set</v>
          </cell>
          <cell r="D492">
            <v>217900</v>
          </cell>
          <cell r="F492">
            <v>0</v>
          </cell>
          <cell r="H492">
            <v>0</v>
          </cell>
          <cell r="J492">
            <v>0</v>
          </cell>
          <cell r="K492">
            <v>0</v>
          </cell>
          <cell r="L492">
            <v>0</v>
          </cell>
          <cell r="N492">
            <v>0</v>
          </cell>
          <cell r="P492">
            <v>0</v>
          </cell>
          <cell r="R492">
            <v>0</v>
          </cell>
          <cell r="T492">
            <v>0</v>
          </cell>
          <cell r="V492">
            <v>0</v>
          </cell>
          <cell r="X492">
            <v>0</v>
          </cell>
          <cell r="Z492">
            <v>0</v>
          </cell>
        </row>
        <row r="493">
          <cell r="A493">
            <v>14</v>
          </cell>
          <cell r="B493" t="str">
            <v>Kunci Selot</v>
          </cell>
          <cell r="C493" t="str">
            <v>Set</v>
          </cell>
          <cell r="D493">
            <v>48300</v>
          </cell>
          <cell r="F493">
            <v>0</v>
          </cell>
          <cell r="H493">
            <v>0</v>
          </cell>
          <cell r="J493">
            <v>0</v>
          </cell>
          <cell r="K493">
            <v>0</v>
          </cell>
          <cell r="L493">
            <v>0</v>
          </cell>
          <cell r="N493">
            <v>0</v>
          </cell>
          <cell r="P493">
            <v>0</v>
          </cell>
          <cell r="R493">
            <v>0</v>
          </cell>
          <cell r="T493">
            <v>0</v>
          </cell>
          <cell r="V493">
            <v>0</v>
          </cell>
          <cell r="X493">
            <v>0</v>
          </cell>
          <cell r="Z493">
            <v>0</v>
          </cell>
        </row>
        <row r="494">
          <cell r="A494">
            <v>15</v>
          </cell>
          <cell r="B494" t="str">
            <v>Engsel jendela</v>
          </cell>
          <cell r="C494" t="str">
            <v>Bh</v>
          </cell>
          <cell r="D494">
            <v>16600</v>
          </cell>
          <cell r="F494">
            <v>0</v>
          </cell>
          <cell r="H494">
            <v>0</v>
          </cell>
          <cell r="J494">
            <v>0</v>
          </cell>
          <cell r="K494">
            <v>0</v>
          </cell>
          <cell r="L494">
            <v>0</v>
          </cell>
          <cell r="N494">
            <v>0</v>
          </cell>
          <cell r="P494">
            <v>0</v>
          </cell>
          <cell r="R494">
            <v>0</v>
          </cell>
          <cell r="T494">
            <v>0</v>
          </cell>
          <cell r="V494">
            <v>0</v>
          </cell>
          <cell r="X494">
            <v>0</v>
          </cell>
          <cell r="Z494">
            <v>0</v>
          </cell>
        </row>
        <row r="495">
          <cell r="A495">
            <v>16</v>
          </cell>
          <cell r="B495" t="str">
            <v>Engsel pintu</v>
          </cell>
          <cell r="C495" t="str">
            <v>Bh</v>
          </cell>
          <cell r="D495">
            <v>44395.75</v>
          </cell>
          <cell r="E495">
            <v>4</v>
          </cell>
          <cell r="F495">
            <v>177583</v>
          </cell>
          <cell r="H495">
            <v>0</v>
          </cell>
          <cell r="J495">
            <v>0</v>
          </cell>
          <cell r="K495">
            <v>3</v>
          </cell>
          <cell r="L495">
            <v>133187.25</v>
          </cell>
          <cell r="N495">
            <v>0</v>
          </cell>
          <cell r="P495">
            <v>0</v>
          </cell>
          <cell r="R495">
            <v>0</v>
          </cell>
          <cell r="T495">
            <v>0</v>
          </cell>
          <cell r="V495">
            <v>0</v>
          </cell>
          <cell r="X495">
            <v>0</v>
          </cell>
          <cell r="Z495">
            <v>0</v>
          </cell>
        </row>
        <row r="496">
          <cell r="A496">
            <v>17</v>
          </cell>
          <cell r="B496" t="str">
            <v>Engsel Pintu dari pipa besi dia 2 cm</v>
          </cell>
          <cell r="C496" t="str">
            <v>Bh</v>
          </cell>
          <cell r="D496">
            <v>66593.625</v>
          </cell>
          <cell r="F496">
            <v>0</v>
          </cell>
          <cell r="H496">
            <v>0</v>
          </cell>
          <cell r="J496">
            <v>0</v>
          </cell>
          <cell r="K496">
            <v>0</v>
          </cell>
          <cell r="L496">
            <v>0</v>
          </cell>
          <cell r="N496">
            <v>0</v>
          </cell>
          <cell r="P496">
            <v>0</v>
          </cell>
          <cell r="R496">
            <v>0</v>
          </cell>
          <cell r="T496">
            <v>0</v>
          </cell>
          <cell r="V496">
            <v>0</v>
          </cell>
          <cell r="X496">
            <v>0</v>
          </cell>
          <cell r="Z496">
            <v>0</v>
          </cell>
        </row>
        <row r="497">
          <cell r="A497">
            <v>18</v>
          </cell>
          <cell r="B497" t="str">
            <v>Kait/hak angin</v>
          </cell>
          <cell r="C497" t="str">
            <v>Set</v>
          </cell>
          <cell r="D497">
            <v>27000</v>
          </cell>
          <cell r="F497">
            <v>0</v>
          </cell>
          <cell r="H497">
            <v>0</v>
          </cell>
          <cell r="J497">
            <v>0</v>
          </cell>
          <cell r="K497">
            <v>0</v>
          </cell>
          <cell r="L497">
            <v>0</v>
          </cell>
          <cell r="N497">
            <v>0</v>
          </cell>
          <cell r="P497">
            <v>0</v>
          </cell>
          <cell r="R497">
            <v>0</v>
          </cell>
          <cell r="T497">
            <v>0</v>
          </cell>
          <cell r="V497">
            <v>0</v>
          </cell>
          <cell r="X497">
            <v>0</v>
          </cell>
          <cell r="Z497">
            <v>0</v>
          </cell>
        </row>
        <row r="498">
          <cell r="A498">
            <v>19</v>
          </cell>
          <cell r="B498" t="str">
            <v>Grendel pintu kuningan</v>
          </cell>
          <cell r="C498" t="str">
            <v>Bh</v>
          </cell>
          <cell r="D498">
            <v>125000</v>
          </cell>
          <cell r="F498">
            <v>0</v>
          </cell>
          <cell r="H498">
            <v>0</v>
          </cell>
          <cell r="J498">
            <v>0</v>
          </cell>
          <cell r="K498">
            <v>0</v>
          </cell>
          <cell r="L498">
            <v>0</v>
          </cell>
          <cell r="N498">
            <v>0</v>
          </cell>
          <cell r="P498">
            <v>0</v>
          </cell>
          <cell r="R498">
            <v>0</v>
          </cell>
          <cell r="T498">
            <v>0</v>
          </cell>
          <cell r="V498">
            <v>0</v>
          </cell>
          <cell r="X498">
            <v>0</v>
          </cell>
          <cell r="Z498">
            <v>0</v>
          </cell>
        </row>
        <row r="499">
          <cell r="A499">
            <v>20</v>
          </cell>
          <cell r="B499" t="str">
            <v xml:space="preserve">Grendel jendela </v>
          </cell>
          <cell r="C499" t="str">
            <v>Bh</v>
          </cell>
          <cell r="D499">
            <v>8100</v>
          </cell>
          <cell r="F499">
            <v>0</v>
          </cell>
          <cell r="H499">
            <v>0</v>
          </cell>
          <cell r="J499">
            <v>0</v>
          </cell>
          <cell r="K499">
            <v>0</v>
          </cell>
          <cell r="L499">
            <v>0</v>
          </cell>
          <cell r="N499">
            <v>0</v>
          </cell>
          <cell r="P499">
            <v>0</v>
          </cell>
          <cell r="R499">
            <v>0</v>
          </cell>
          <cell r="T499">
            <v>0</v>
          </cell>
          <cell r="V499">
            <v>0</v>
          </cell>
          <cell r="X499">
            <v>0</v>
          </cell>
          <cell r="Z499">
            <v>0</v>
          </cell>
        </row>
        <row r="500">
          <cell r="A500">
            <v>21</v>
          </cell>
          <cell r="B500" t="str">
            <v>Grendel pintu</v>
          </cell>
          <cell r="C500" t="str">
            <v>Bh</v>
          </cell>
          <cell r="D500">
            <v>14200</v>
          </cell>
          <cell r="E500">
            <v>2</v>
          </cell>
          <cell r="F500">
            <v>28400</v>
          </cell>
          <cell r="H500">
            <v>0</v>
          </cell>
          <cell r="J500">
            <v>0</v>
          </cell>
          <cell r="K500">
            <v>0</v>
          </cell>
          <cell r="L500">
            <v>0</v>
          </cell>
          <cell r="N500">
            <v>0</v>
          </cell>
          <cell r="P500">
            <v>0</v>
          </cell>
          <cell r="R500">
            <v>0</v>
          </cell>
          <cell r="T500">
            <v>0</v>
          </cell>
          <cell r="V500">
            <v>0</v>
          </cell>
          <cell r="X500">
            <v>0</v>
          </cell>
          <cell r="Z500">
            <v>0</v>
          </cell>
        </row>
        <row r="501">
          <cell r="A501">
            <v>22</v>
          </cell>
          <cell r="B501" t="str">
            <v>Stripting Knip</v>
          </cell>
          <cell r="C501" t="str">
            <v>Set</v>
          </cell>
          <cell r="D501">
            <v>13700</v>
          </cell>
          <cell r="F501">
            <v>0</v>
          </cell>
          <cell r="H501">
            <v>0</v>
          </cell>
          <cell r="J501">
            <v>0</v>
          </cell>
          <cell r="K501">
            <v>0</v>
          </cell>
          <cell r="L501">
            <v>0</v>
          </cell>
          <cell r="N501">
            <v>0</v>
          </cell>
          <cell r="P501">
            <v>0</v>
          </cell>
          <cell r="R501">
            <v>0</v>
          </cell>
          <cell r="T501">
            <v>0</v>
          </cell>
          <cell r="V501">
            <v>0</v>
          </cell>
          <cell r="X501">
            <v>0</v>
          </cell>
          <cell r="Z501">
            <v>0</v>
          </cell>
        </row>
        <row r="502">
          <cell r="A502">
            <v>23</v>
          </cell>
          <cell r="B502" t="str">
            <v>Door Closer</v>
          </cell>
          <cell r="C502" t="str">
            <v>Set</v>
          </cell>
          <cell r="D502">
            <v>260800</v>
          </cell>
          <cell r="F502">
            <v>0</v>
          </cell>
          <cell r="H502">
            <v>0</v>
          </cell>
          <cell r="J502">
            <v>0</v>
          </cell>
          <cell r="K502">
            <v>0</v>
          </cell>
          <cell r="L502">
            <v>0</v>
          </cell>
          <cell r="N502">
            <v>0</v>
          </cell>
          <cell r="P502">
            <v>0</v>
          </cell>
          <cell r="R502">
            <v>0</v>
          </cell>
          <cell r="T502">
            <v>0</v>
          </cell>
          <cell r="V502">
            <v>0</v>
          </cell>
          <cell r="X502">
            <v>0</v>
          </cell>
          <cell r="Z502">
            <v>0</v>
          </cell>
        </row>
        <row r="503">
          <cell r="A503">
            <v>24</v>
          </cell>
          <cell r="B503" t="str">
            <v>Door Holder</v>
          </cell>
          <cell r="C503" t="str">
            <v>Set</v>
          </cell>
          <cell r="D503">
            <v>500000</v>
          </cell>
          <cell r="F503">
            <v>0</v>
          </cell>
          <cell r="H503">
            <v>0</v>
          </cell>
          <cell r="J503">
            <v>0</v>
          </cell>
          <cell r="K503">
            <v>0</v>
          </cell>
          <cell r="L503">
            <v>0</v>
          </cell>
          <cell r="N503">
            <v>0</v>
          </cell>
          <cell r="P503">
            <v>0</v>
          </cell>
          <cell r="R503">
            <v>0</v>
          </cell>
          <cell r="T503">
            <v>0</v>
          </cell>
          <cell r="V503">
            <v>0</v>
          </cell>
          <cell r="X503">
            <v>0</v>
          </cell>
          <cell r="Z503">
            <v>0</v>
          </cell>
        </row>
        <row r="504">
          <cell r="A504">
            <v>25</v>
          </cell>
          <cell r="B504" t="str">
            <v>Door Stop</v>
          </cell>
          <cell r="C504" t="str">
            <v>Set</v>
          </cell>
          <cell r="D504">
            <v>32100</v>
          </cell>
          <cell r="F504">
            <v>0</v>
          </cell>
          <cell r="H504">
            <v>0</v>
          </cell>
          <cell r="J504">
            <v>0</v>
          </cell>
          <cell r="K504">
            <v>0</v>
          </cell>
          <cell r="L504">
            <v>0</v>
          </cell>
          <cell r="N504">
            <v>0</v>
          </cell>
          <cell r="P504">
            <v>0</v>
          </cell>
          <cell r="R504">
            <v>0</v>
          </cell>
          <cell r="T504">
            <v>0</v>
          </cell>
          <cell r="V504">
            <v>0</v>
          </cell>
          <cell r="X504">
            <v>0</v>
          </cell>
          <cell r="Z504">
            <v>0</v>
          </cell>
        </row>
        <row r="505">
          <cell r="A505">
            <v>26</v>
          </cell>
          <cell r="B505" t="str">
            <v>Kaca bening 5 mm</v>
          </cell>
          <cell r="C505" t="str">
            <v>M2</v>
          </cell>
          <cell r="D505">
            <v>66700</v>
          </cell>
          <cell r="F505">
            <v>0</v>
          </cell>
          <cell r="H505">
            <v>0</v>
          </cell>
          <cell r="I505">
            <v>5.0399999999999993E-2</v>
          </cell>
          <cell r="J505">
            <v>3361.6799999999994</v>
          </cell>
          <cell r="K505">
            <v>0</v>
          </cell>
          <cell r="L505">
            <v>0</v>
          </cell>
          <cell r="M505">
            <v>0.73599999999999999</v>
          </cell>
          <cell r="N505">
            <v>49091.199999999997</v>
          </cell>
          <cell r="O505">
            <v>0.36000000000000004</v>
          </cell>
          <cell r="P505">
            <v>24012.000000000004</v>
          </cell>
          <cell r="Q505">
            <v>0.36000000000000004</v>
          </cell>
          <cell r="R505">
            <v>24012.000000000004</v>
          </cell>
          <cell r="T505">
            <v>0</v>
          </cell>
          <cell r="V505">
            <v>0</v>
          </cell>
          <cell r="X505">
            <v>0</v>
          </cell>
          <cell r="Y505">
            <v>0.14400000000000002</v>
          </cell>
          <cell r="Z505">
            <v>9604.8000000000011</v>
          </cell>
        </row>
        <row r="506">
          <cell r="A506">
            <v>27</v>
          </cell>
          <cell r="B506" t="str">
            <v>Kaca bening 10 mm</v>
          </cell>
          <cell r="C506" t="str">
            <v>M2</v>
          </cell>
          <cell r="D506">
            <v>280895.75</v>
          </cell>
          <cell r="F506">
            <v>0</v>
          </cell>
          <cell r="H506">
            <v>0</v>
          </cell>
          <cell r="J506">
            <v>0</v>
          </cell>
          <cell r="K506">
            <v>0</v>
          </cell>
          <cell r="L506">
            <v>0</v>
          </cell>
          <cell r="M506">
            <v>0</v>
          </cell>
          <cell r="N506">
            <v>0</v>
          </cell>
          <cell r="P506">
            <v>0</v>
          </cell>
          <cell r="R506">
            <v>0</v>
          </cell>
          <cell r="T506">
            <v>0</v>
          </cell>
          <cell r="V506">
            <v>0</v>
          </cell>
          <cell r="X506">
            <v>0</v>
          </cell>
          <cell r="Z506">
            <v>0</v>
          </cell>
        </row>
        <row r="507">
          <cell r="A507">
            <v>28</v>
          </cell>
          <cell r="B507" t="str">
            <v>Kaca Bening 12 mm</v>
          </cell>
          <cell r="C507" t="str">
            <v>M2</v>
          </cell>
          <cell r="D507">
            <v>403787.64062499994</v>
          </cell>
          <cell r="F507">
            <v>0</v>
          </cell>
          <cell r="H507">
            <v>0</v>
          </cell>
          <cell r="J507">
            <v>0</v>
          </cell>
          <cell r="K507">
            <v>0</v>
          </cell>
          <cell r="L507">
            <v>0</v>
          </cell>
          <cell r="N507">
            <v>0</v>
          </cell>
          <cell r="P507">
            <v>0</v>
          </cell>
          <cell r="R507">
            <v>0</v>
          </cell>
          <cell r="T507">
            <v>0</v>
          </cell>
          <cell r="V507">
            <v>0</v>
          </cell>
          <cell r="X507">
            <v>0</v>
          </cell>
          <cell r="Z507">
            <v>0</v>
          </cell>
        </row>
        <row r="508">
          <cell r="A508">
            <v>29</v>
          </cell>
          <cell r="B508" t="str">
            <v>Besi hollow 4/4</v>
          </cell>
          <cell r="C508" t="str">
            <v>M'</v>
          </cell>
          <cell r="D508">
            <v>48625.000000000051</v>
          </cell>
          <cell r="F508">
            <v>0</v>
          </cell>
          <cell r="H508">
            <v>0</v>
          </cell>
          <cell r="J508">
            <v>0</v>
          </cell>
          <cell r="K508">
            <v>0</v>
          </cell>
          <cell r="L508">
            <v>0</v>
          </cell>
          <cell r="N508">
            <v>0</v>
          </cell>
          <cell r="P508">
            <v>0</v>
          </cell>
          <cell r="R508">
            <v>0</v>
          </cell>
          <cell r="T508">
            <v>0</v>
          </cell>
          <cell r="V508">
            <v>0</v>
          </cell>
          <cell r="X508">
            <v>0</v>
          </cell>
          <cell r="Z508">
            <v>0</v>
          </cell>
        </row>
        <row r="509">
          <cell r="A509">
            <v>30</v>
          </cell>
          <cell r="B509" t="str">
            <v>Besi hollow 6/6</v>
          </cell>
          <cell r="C509" t="str">
            <v>M'</v>
          </cell>
          <cell r="D509">
            <v>74462.500000000058</v>
          </cell>
          <cell r="F509">
            <v>0</v>
          </cell>
          <cell r="H509">
            <v>0</v>
          </cell>
          <cell r="J509">
            <v>0</v>
          </cell>
          <cell r="K509">
            <v>0</v>
          </cell>
          <cell r="L509">
            <v>0</v>
          </cell>
          <cell r="N509">
            <v>0</v>
          </cell>
          <cell r="P509">
            <v>0</v>
          </cell>
          <cell r="R509">
            <v>0</v>
          </cell>
          <cell r="T509">
            <v>0</v>
          </cell>
          <cell r="V509">
            <v>0</v>
          </cell>
          <cell r="X509">
            <v>0</v>
          </cell>
          <cell r="Z509">
            <v>0</v>
          </cell>
        </row>
        <row r="510">
          <cell r="A510">
            <v>31</v>
          </cell>
          <cell r="B510" t="str">
            <v>Besi hollow 2.5/5</v>
          </cell>
          <cell r="C510" t="str">
            <v>Kg</v>
          </cell>
          <cell r="D510">
            <v>74462.500000000058</v>
          </cell>
          <cell r="F510">
            <v>0</v>
          </cell>
          <cell r="H510">
            <v>0</v>
          </cell>
          <cell r="J510">
            <v>0</v>
          </cell>
          <cell r="K510">
            <v>0</v>
          </cell>
          <cell r="L510">
            <v>0</v>
          </cell>
          <cell r="N510">
            <v>0</v>
          </cell>
          <cell r="P510">
            <v>0</v>
          </cell>
          <cell r="R510">
            <v>0</v>
          </cell>
          <cell r="T510">
            <v>0</v>
          </cell>
          <cell r="V510">
            <v>0</v>
          </cell>
          <cell r="X510">
            <v>0</v>
          </cell>
          <cell r="Z510">
            <v>0</v>
          </cell>
        </row>
        <row r="511">
          <cell r="A511">
            <v>32</v>
          </cell>
          <cell r="B511" t="str">
            <v>Besi hollow 5/5</v>
          </cell>
          <cell r="C511" t="str">
            <v>Kg</v>
          </cell>
          <cell r="D511">
            <v>74462.500000000058</v>
          </cell>
          <cell r="F511">
            <v>0</v>
          </cell>
          <cell r="H511">
            <v>0</v>
          </cell>
          <cell r="J511">
            <v>0</v>
          </cell>
          <cell r="K511">
            <v>0</v>
          </cell>
          <cell r="L511">
            <v>0</v>
          </cell>
          <cell r="N511">
            <v>0</v>
          </cell>
          <cell r="P511">
            <v>0</v>
          </cell>
          <cell r="R511">
            <v>0</v>
          </cell>
          <cell r="T511">
            <v>0</v>
          </cell>
          <cell r="V511">
            <v>0</v>
          </cell>
          <cell r="X511">
            <v>0</v>
          </cell>
          <cell r="Z511">
            <v>0</v>
          </cell>
        </row>
        <row r="512">
          <cell r="A512">
            <v>33</v>
          </cell>
          <cell r="B512" t="str">
            <v>Besi hollow 2/2</v>
          </cell>
          <cell r="C512" t="str">
            <v>Kg</v>
          </cell>
          <cell r="D512">
            <v>74462.500000000058</v>
          </cell>
          <cell r="F512">
            <v>0</v>
          </cell>
          <cell r="H512">
            <v>0</v>
          </cell>
          <cell r="J512">
            <v>0</v>
          </cell>
          <cell r="K512">
            <v>0</v>
          </cell>
          <cell r="L512">
            <v>0</v>
          </cell>
          <cell r="N512">
            <v>0</v>
          </cell>
          <cell r="P512">
            <v>0</v>
          </cell>
          <cell r="R512">
            <v>0</v>
          </cell>
          <cell r="T512">
            <v>0</v>
          </cell>
          <cell r="V512">
            <v>0</v>
          </cell>
          <cell r="X512">
            <v>0</v>
          </cell>
          <cell r="Z512">
            <v>0</v>
          </cell>
        </row>
        <row r="513">
          <cell r="A513">
            <v>34</v>
          </cell>
          <cell r="B513" t="str">
            <v>Besi hollow 2/4</v>
          </cell>
          <cell r="C513" t="str">
            <v>Kg</v>
          </cell>
          <cell r="D513">
            <v>74462.500000000058</v>
          </cell>
          <cell r="F513">
            <v>0</v>
          </cell>
          <cell r="H513">
            <v>0</v>
          </cell>
          <cell r="J513">
            <v>0</v>
          </cell>
          <cell r="K513">
            <v>0</v>
          </cell>
          <cell r="L513">
            <v>0</v>
          </cell>
          <cell r="N513">
            <v>0</v>
          </cell>
          <cell r="P513">
            <v>0</v>
          </cell>
          <cell r="R513">
            <v>0</v>
          </cell>
          <cell r="T513">
            <v>0</v>
          </cell>
          <cell r="V513">
            <v>0</v>
          </cell>
          <cell r="X513">
            <v>0</v>
          </cell>
          <cell r="Z513">
            <v>0</v>
          </cell>
        </row>
        <row r="514">
          <cell r="A514">
            <v>35</v>
          </cell>
          <cell r="B514" t="str">
            <v>Kaca Tempered 12 mm</v>
          </cell>
          <cell r="C514" t="str">
            <v>M2</v>
          </cell>
          <cell r="D514">
            <v>528395.75</v>
          </cell>
          <cell r="F514">
            <v>0</v>
          </cell>
          <cell r="H514">
            <v>0</v>
          </cell>
          <cell r="J514">
            <v>0</v>
          </cell>
          <cell r="K514">
            <v>0</v>
          </cell>
          <cell r="L514">
            <v>0</v>
          </cell>
          <cell r="N514">
            <v>0</v>
          </cell>
          <cell r="P514">
            <v>0</v>
          </cell>
          <cell r="R514">
            <v>0</v>
          </cell>
          <cell r="T514">
            <v>0</v>
          </cell>
          <cell r="V514">
            <v>0</v>
          </cell>
          <cell r="X514">
            <v>0</v>
          </cell>
          <cell r="Z514">
            <v>0</v>
          </cell>
        </row>
        <row r="515">
          <cell r="A515">
            <v>36</v>
          </cell>
          <cell r="B515" t="str">
            <v>Glass Block</v>
          </cell>
          <cell r="C515" t="str">
            <v>Bh</v>
          </cell>
          <cell r="D515">
            <v>45000</v>
          </cell>
          <cell r="F515">
            <v>0</v>
          </cell>
          <cell r="H515">
            <v>0</v>
          </cell>
          <cell r="J515">
            <v>0</v>
          </cell>
          <cell r="K515">
            <v>0</v>
          </cell>
          <cell r="L515">
            <v>0</v>
          </cell>
          <cell r="N515">
            <v>0</v>
          </cell>
          <cell r="P515">
            <v>0</v>
          </cell>
          <cell r="R515">
            <v>0</v>
          </cell>
          <cell r="T515">
            <v>0</v>
          </cell>
          <cell r="V515">
            <v>0</v>
          </cell>
          <cell r="X515">
            <v>0</v>
          </cell>
          <cell r="Z515">
            <v>0</v>
          </cell>
        </row>
        <row r="516">
          <cell r="A516">
            <v>37</v>
          </cell>
          <cell r="B516" t="str">
            <v>Kaca Es</v>
          </cell>
          <cell r="C516" t="str">
            <v>M2</v>
          </cell>
          <cell r="D516">
            <v>66700</v>
          </cell>
          <cell r="F516">
            <v>0</v>
          </cell>
          <cell r="H516">
            <v>0</v>
          </cell>
          <cell r="J516">
            <v>0</v>
          </cell>
          <cell r="K516">
            <v>0</v>
          </cell>
          <cell r="L516">
            <v>0</v>
          </cell>
          <cell r="N516">
            <v>0</v>
          </cell>
          <cell r="P516">
            <v>0</v>
          </cell>
          <cell r="R516">
            <v>0</v>
          </cell>
          <cell r="T516">
            <v>0</v>
          </cell>
          <cell r="V516">
            <v>0</v>
          </cell>
          <cell r="X516">
            <v>0</v>
          </cell>
          <cell r="Z516">
            <v>0</v>
          </cell>
        </row>
        <row r="517">
          <cell r="A517">
            <v>38</v>
          </cell>
          <cell r="B517" t="str">
            <v>Krepyak Kaca Nako + Kerangka</v>
          </cell>
          <cell r="C517" t="str">
            <v>M2</v>
          </cell>
          <cell r="D517">
            <v>81300</v>
          </cell>
          <cell r="F517">
            <v>0</v>
          </cell>
          <cell r="H517">
            <v>0</v>
          </cell>
          <cell r="J517">
            <v>0</v>
          </cell>
          <cell r="K517">
            <v>0</v>
          </cell>
          <cell r="L517">
            <v>0</v>
          </cell>
          <cell r="N517">
            <v>0</v>
          </cell>
          <cell r="P517">
            <v>0</v>
          </cell>
          <cell r="R517">
            <v>0</v>
          </cell>
          <cell r="T517">
            <v>0</v>
          </cell>
          <cell r="V517">
            <v>0</v>
          </cell>
          <cell r="X517">
            <v>0</v>
          </cell>
          <cell r="Z517">
            <v>0</v>
          </cell>
        </row>
        <row r="518">
          <cell r="A518">
            <v>39</v>
          </cell>
          <cell r="B518" t="str">
            <v>Sticker Efek Kaca Es</v>
          </cell>
          <cell r="C518" t="str">
            <v>M2</v>
          </cell>
          <cell r="D518">
            <v>150000</v>
          </cell>
          <cell r="F518">
            <v>0</v>
          </cell>
          <cell r="H518">
            <v>0</v>
          </cell>
          <cell r="J518">
            <v>0</v>
          </cell>
          <cell r="K518">
            <v>0</v>
          </cell>
          <cell r="L518">
            <v>0</v>
          </cell>
          <cell r="N518">
            <v>0</v>
          </cell>
          <cell r="P518">
            <v>0</v>
          </cell>
          <cell r="R518">
            <v>0</v>
          </cell>
          <cell r="T518">
            <v>0</v>
          </cell>
          <cell r="V518">
            <v>0</v>
          </cell>
          <cell r="X518">
            <v>0</v>
          </cell>
          <cell r="Z518">
            <v>0</v>
          </cell>
        </row>
        <row r="519">
          <cell r="A519">
            <v>40</v>
          </cell>
          <cell r="B519" t="str">
            <v>Rel Pintu Dorong</v>
          </cell>
          <cell r="C519" t="str">
            <v>M'</v>
          </cell>
          <cell r="D519">
            <v>275000</v>
          </cell>
          <cell r="F519">
            <v>0</v>
          </cell>
          <cell r="G519">
            <v>5.2</v>
          </cell>
          <cell r="H519">
            <v>1430000</v>
          </cell>
          <cell r="I519">
            <v>3.2</v>
          </cell>
          <cell r="J519">
            <v>880000</v>
          </cell>
          <cell r="K519">
            <v>0</v>
          </cell>
          <cell r="L519">
            <v>0</v>
          </cell>
          <cell r="N519">
            <v>0</v>
          </cell>
          <cell r="P519">
            <v>0</v>
          </cell>
          <cell r="R519">
            <v>0</v>
          </cell>
          <cell r="T519">
            <v>0</v>
          </cell>
          <cell r="V519">
            <v>0</v>
          </cell>
          <cell r="X519">
            <v>0</v>
          </cell>
          <cell r="Z519">
            <v>0</v>
          </cell>
        </row>
        <row r="520">
          <cell r="A520">
            <v>41</v>
          </cell>
          <cell r="B520" t="str">
            <v>Rolling Door</v>
          </cell>
          <cell r="C520" t="str">
            <v>M2</v>
          </cell>
          <cell r="D520">
            <v>358100</v>
          </cell>
          <cell r="F520">
            <v>0</v>
          </cell>
          <cell r="H520">
            <v>0</v>
          </cell>
          <cell r="J520">
            <v>0</v>
          </cell>
          <cell r="K520">
            <v>0</v>
          </cell>
          <cell r="L520">
            <v>0</v>
          </cell>
          <cell r="N520">
            <v>0</v>
          </cell>
          <cell r="P520">
            <v>0</v>
          </cell>
          <cell r="R520">
            <v>0</v>
          </cell>
          <cell r="T520">
            <v>0</v>
          </cell>
          <cell r="V520">
            <v>0</v>
          </cell>
          <cell r="X520">
            <v>0</v>
          </cell>
          <cell r="Z520">
            <v>0</v>
          </cell>
        </row>
        <row r="521">
          <cell r="A521">
            <v>42</v>
          </cell>
          <cell r="B521" t="str">
            <v>Roster</v>
          </cell>
          <cell r="C521" t="str">
            <v>M2</v>
          </cell>
          <cell r="D521">
            <v>133850</v>
          </cell>
          <cell r="F521">
            <v>0</v>
          </cell>
          <cell r="H521">
            <v>0</v>
          </cell>
          <cell r="J521">
            <v>0</v>
          </cell>
          <cell r="K521">
            <v>0</v>
          </cell>
          <cell r="L521">
            <v>0</v>
          </cell>
          <cell r="N521">
            <v>0</v>
          </cell>
          <cell r="P521">
            <v>0</v>
          </cell>
          <cell r="R521">
            <v>0</v>
          </cell>
          <cell r="S521">
            <v>0.16000000000000003</v>
          </cell>
          <cell r="T521">
            <v>21416.000000000004</v>
          </cell>
          <cell r="U521">
            <v>0.48</v>
          </cell>
          <cell r="V521">
            <v>64248</v>
          </cell>
          <cell r="W521">
            <v>0.48000000000000009</v>
          </cell>
          <cell r="X521">
            <v>64248.000000000015</v>
          </cell>
          <cell r="Z521">
            <v>0</v>
          </cell>
        </row>
        <row r="522">
          <cell r="A522">
            <v>43</v>
          </cell>
          <cell r="B522" t="str">
            <v>Gipsum Board</v>
          </cell>
          <cell r="C522" t="str">
            <v>M2</v>
          </cell>
          <cell r="D522">
            <v>29000</v>
          </cell>
          <cell r="F522">
            <v>0</v>
          </cell>
          <cell r="H522">
            <v>0</v>
          </cell>
          <cell r="J522">
            <v>0</v>
          </cell>
          <cell r="K522">
            <v>0</v>
          </cell>
          <cell r="L522">
            <v>0</v>
          </cell>
          <cell r="N522">
            <v>0</v>
          </cell>
          <cell r="P522">
            <v>0</v>
          </cell>
          <cell r="R522">
            <v>0</v>
          </cell>
          <cell r="T522">
            <v>0</v>
          </cell>
          <cell r="V522">
            <v>0</v>
          </cell>
          <cell r="X522">
            <v>0</v>
          </cell>
          <cell r="Z522">
            <v>0</v>
          </cell>
        </row>
        <row r="523">
          <cell r="A523">
            <v>44</v>
          </cell>
          <cell r="B523" t="str">
            <v>List Gipsum</v>
          </cell>
          <cell r="C523" t="str">
            <v>M'</v>
          </cell>
          <cell r="D523">
            <v>17300</v>
          </cell>
          <cell r="F523">
            <v>0</v>
          </cell>
          <cell r="H523">
            <v>0</v>
          </cell>
          <cell r="J523">
            <v>0</v>
          </cell>
          <cell r="K523">
            <v>0</v>
          </cell>
          <cell r="L523">
            <v>0</v>
          </cell>
          <cell r="N523">
            <v>0</v>
          </cell>
          <cell r="P523">
            <v>0</v>
          </cell>
          <cell r="R523">
            <v>0</v>
          </cell>
          <cell r="T523">
            <v>0</v>
          </cell>
          <cell r="V523">
            <v>0</v>
          </cell>
          <cell r="X523">
            <v>0</v>
          </cell>
          <cell r="Z523">
            <v>0</v>
          </cell>
        </row>
        <row r="524">
          <cell r="A524">
            <v>45</v>
          </cell>
          <cell r="B524" t="str">
            <v>Sealent</v>
          </cell>
          <cell r="C524" t="str">
            <v>M'</v>
          </cell>
          <cell r="D524">
            <v>8400</v>
          </cell>
          <cell r="F524">
            <v>0</v>
          </cell>
          <cell r="H524">
            <v>0</v>
          </cell>
          <cell r="I524">
            <v>2.16</v>
          </cell>
          <cell r="J524">
            <v>18144</v>
          </cell>
          <cell r="K524">
            <v>0</v>
          </cell>
          <cell r="L524">
            <v>0</v>
          </cell>
          <cell r="M524">
            <v>10.479999999999999</v>
          </cell>
          <cell r="N524">
            <v>88031.999999999985</v>
          </cell>
          <cell r="O524">
            <v>8.8000000000000007</v>
          </cell>
          <cell r="P524">
            <v>73920</v>
          </cell>
          <cell r="Q524">
            <v>8.8000000000000007</v>
          </cell>
          <cell r="R524">
            <v>73920</v>
          </cell>
          <cell r="T524">
            <v>0</v>
          </cell>
          <cell r="V524">
            <v>0</v>
          </cell>
          <cell r="X524">
            <v>0</v>
          </cell>
          <cell r="Y524">
            <v>7.52</v>
          </cell>
          <cell r="Z524">
            <v>63168</v>
          </cell>
        </row>
        <row r="525">
          <cell r="A525">
            <v>46</v>
          </cell>
          <cell r="B525" t="str">
            <v>Benangan Kusen</v>
          </cell>
          <cell r="C525" t="str">
            <v>M'</v>
          </cell>
          <cell r="D525">
            <v>4296.0074999999997</v>
          </cell>
          <cell r="E525">
            <v>11.8</v>
          </cell>
          <cell r="F525">
            <v>50692.888500000001</v>
          </cell>
          <cell r="G525">
            <v>10.4</v>
          </cell>
          <cell r="H525">
            <v>44678.477999999996</v>
          </cell>
          <cell r="I525">
            <v>6.4</v>
          </cell>
          <cell r="J525">
            <v>27494.448</v>
          </cell>
          <cell r="K525">
            <v>5.7839999999999998</v>
          </cell>
          <cell r="L525">
            <v>24848.107379999998</v>
          </cell>
          <cell r="M525">
            <v>11.28</v>
          </cell>
          <cell r="N525">
            <v>48458.964599999992</v>
          </cell>
          <cell r="O525">
            <v>5.6</v>
          </cell>
          <cell r="P525">
            <v>24057.641999999996</v>
          </cell>
          <cell r="Q525">
            <v>5.6</v>
          </cell>
          <cell r="R525">
            <v>24057.641999999996</v>
          </cell>
          <cell r="S525">
            <v>3.2</v>
          </cell>
          <cell r="T525">
            <v>13747.224</v>
          </cell>
          <cell r="U525">
            <v>6.4</v>
          </cell>
          <cell r="V525">
            <v>27494.448</v>
          </cell>
          <cell r="W525">
            <v>9.6000000000000014</v>
          </cell>
          <cell r="X525">
            <v>41241.672000000006</v>
          </cell>
          <cell r="Y525">
            <v>7.52</v>
          </cell>
          <cell r="Z525">
            <v>32305.976399999996</v>
          </cell>
        </row>
        <row r="526">
          <cell r="A526">
            <v>47</v>
          </cell>
          <cell r="B526" t="str">
            <v xml:space="preserve">Cat Kayu </v>
          </cell>
          <cell r="C526" t="str">
            <v>M2</v>
          </cell>
          <cell r="D526">
            <v>19370.5</v>
          </cell>
          <cell r="E526">
            <v>9.0239999999999991</v>
          </cell>
          <cell r="F526">
            <v>174799.39199999999</v>
          </cell>
          <cell r="G526">
            <v>0.28559999999999997</v>
          </cell>
          <cell r="H526">
            <v>5532.2147999999997</v>
          </cell>
          <cell r="I526">
            <v>3.2</v>
          </cell>
          <cell r="J526">
            <v>61985.600000000006</v>
          </cell>
          <cell r="K526">
            <v>4.0991999999999997</v>
          </cell>
          <cell r="L526">
            <v>79403.553599999999</v>
          </cell>
          <cell r="N526">
            <v>0</v>
          </cell>
          <cell r="P526">
            <v>0</v>
          </cell>
          <cell r="R526">
            <v>0</v>
          </cell>
          <cell r="T526">
            <v>0</v>
          </cell>
          <cell r="V526">
            <v>0</v>
          </cell>
          <cell r="X526">
            <v>0</v>
          </cell>
          <cell r="Z526">
            <v>0</v>
          </cell>
        </row>
        <row r="527">
          <cell r="A527">
            <v>48</v>
          </cell>
          <cell r="B527" t="str">
            <v>Cat Besi</v>
          </cell>
          <cell r="C527" t="str">
            <v>M2</v>
          </cell>
          <cell r="D527">
            <v>13698</v>
          </cell>
          <cell r="E527">
            <v>7.2059399999999991</v>
          </cell>
          <cell r="F527">
            <v>98706.966119999983</v>
          </cell>
          <cell r="G527">
            <v>8.2644799999999989</v>
          </cell>
          <cell r="H527">
            <v>113206.84703999998</v>
          </cell>
          <cell r="J527">
            <v>0</v>
          </cell>
          <cell r="K527">
            <v>0</v>
          </cell>
          <cell r="L527">
            <v>0</v>
          </cell>
          <cell r="N527">
            <v>0</v>
          </cell>
          <cell r="P527">
            <v>0</v>
          </cell>
          <cell r="R527">
            <v>0</v>
          </cell>
          <cell r="T527">
            <v>0</v>
          </cell>
          <cell r="V527">
            <v>0</v>
          </cell>
          <cell r="X527">
            <v>0</v>
          </cell>
          <cell r="Z527">
            <v>0</v>
          </cell>
        </row>
        <row r="528">
          <cell r="A528">
            <v>49</v>
          </cell>
          <cell r="B528" t="str">
            <v>Cat Dinding</v>
          </cell>
          <cell r="C528" t="str">
            <v>M2</v>
          </cell>
          <cell r="D528">
            <v>9900</v>
          </cell>
          <cell r="F528">
            <v>0</v>
          </cell>
          <cell r="H528">
            <v>0</v>
          </cell>
          <cell r="J528">
            <v>0</v>
          </cell>
          <cell r="K528">
            <v>0</v>
          </cell>
          <cell r="L528">
            <v>0</v>
          </cell>
          <cell r="N528">
            <v>0</v>
          </cell>
          <cell r="P528">
            <v>0</v>
          </cell>
          <cell r="R528">
            <v>0</v>
          </cell>
          <cell r="S528">
            <v>0.32000000000000006</v>
          </cell>
          <cell r="T528">
            <v>3168.0000000000005</v>
          </cell>
          <cell r="U528">
            <v>0.96</v>
          </cell>
          <cell r="V528">
            <v>9504</v>
          </cell>
          <cell r="W528">
            <v>0.96000000000000019</v>
          </cell>
          <cell r="X528">
            <v>9504.0000000000018</v>
          </cell>
          <cell r="Z528">
            <v>0</v>
          </cell>
        </row>
        <row r="529">
          <cell r="A529">
            <v>50</v>
          </cell>
          <cell r="B529" t="str">
            <v>Plesteran Camprot</v>
          </cell>
          <cell r="C529" t="str">
            <v>M2</v>
          </cell>
          <cell r="D529">
            <v>14600</v>
          </cell>
          <cell r="F529">
            <v>0</v>
          </cell>
          <cell r="H529">
            <v>0</v>
          </cell>
          <cell r="J529">
            <v>0</v>
          </cell>
          <cell r="K529">
            <v>0</v>
          </cell>
          <cell r="L529">
            <v>0</v>
          </cell>
          <cell r="N529">
            <v>0</v>
          </cell>
          <cell r="P529">
            <v>0</v>
          </cell>
          <cell r="R529">
            <v>0</v>
          </cell>
          <cell r="T529">
            <v>0</v>
          </cell>
          <cell r="X529">
            <v>0</v>
          </cell>
          <cell r="Z529">
            <v>0</v>
          </cell>
        </row>
        <row r="530">
          <cell r="Z530">
            <v>0</v>
          </cell>
        </row>
        <row r="531">
          <cell r="B531" t="str">
            <v>Jumlah Harga</v>
          </cell>
          <cell r="F531">
            <v>3739611.0586999999</v>
          </cell>
          <cell r="H531">
            <v>4721655.0178800011</v>
          </cell>
          <cell r="J531">
            <v>1172750.7280000001</v>
          </cell>
          <cell r="L531">
            <v>1690743.9109799999</v>
          </cell>
          <cell r="N531">
            <v>185582.16459999996</v>
          </cell>
          <cell r="P531">
            <v>121989.64199999999</v>
          </cell>
          <cell r="R531">
            <v>121989.64199999999</v>
          </cell>
          <cell r="T531">
            <v>38331.224000000002</v>
          </cell>
          <cell r="V531">
            <v>101246.448</v>
          </cell>
          <cell r="X531">
            <v>114993.67200000002</v>
          </cell>
          <cell r="Z531">
            <v>105078.7764</v>
          </cell>
        </row>
        <row r="533">
          <cell r="X533">
            <v>114993.67200000002</v>
          </cell>
        </row>
        <row r="534">
          <cell r="Z534">
            <v>105078.7764</v>
          </cell>
        </row>
        <row r="535">
          <cell r="A535" t="str">
            <v>No.</v>
          </cell>
          <cell r="B535" t="str">
            <v>Item Pekerjaan</v>
          </cell>
          <cell r="C535" t="str">
            <v>Satuan</v>
          </cell>
          <cell r="D535" t="str">
            <v>Harga Satuan</v>
          </cell>
          <cell r="E535" t="str">
            <v>P1</v>
          </cell>
          <cell r="G535" t="str">
            <v>P2</v>
          </cell>
          <cell r="I535" t="str">
            <v>P3</v>
          </cell>
          <cell r="K535" t="str">
            <v>P3'</v>
          </cell>
          <cell r="M535" t="str">
            <v>J1</v>
          </cell>
          <cell r="O535" t="str">
            <v>J2</v>
          </cell>
          <cell r="Q535" t="str">
            <v>J3</v>
          </cell>
          <cell r="S535" t="str">
            <v>J4</v>
          </cell>
          <cell r="U535" t="str">
            <v>R1</v>
          </cell>
          <cell r="W535" t="str">
            <v>R3</v>
          </cell>
          <cell r="Y535" t="str">
            <v>J1</v>
          </cell>
          <cell r="AA535" t="str">
            <v>BV1</v>
          </cell>
        </row>
        <row r="536">
          <cell r="D536" t="str">
            <v>Rp.</v>
          </cell>
          <cell r="E536" t="str">
            <v>Vol.</v>
          </cell>
          <cell r="F536" t="str">
            <v>Jumlah Harga</v>
          </cell>
          <cell r="G536" t="str">
            <v>Vol.</v>
          </cell>
          <cell r="H536" t="str">
            <v>Jumlah Harga</v>
          </cell>
          <cell r="I536" t="str">
            <v>Vol.</v>
          </cell>
          <cell r="J536" t="str">
            <v>Jumlah Harga</v>
          </cell>
          <cell r="K536" t="str">
            <v>Vol.</v>
          </cell>
          <cell r="L536" t="str">
            <v>Jumlah Harga</v>
          </cell>
          <cell r="M536" t="str">
            <v>Vol.</v>
          </cell>
          <cell r="N536" t="str">
            <v>Jumlah Harga</v>
          </cell>
          <cell r="O536" t="str">
            <v>Vol.</v>
          </cell>
          <cell r="P536" t="str">
            <v>Jumlah Harga</v>
          </cell>
          <cell r="Q536" t="str">
            <v>Vol.</v>
          </cell>
          <cell r="R536" t="str">
            <v>Jumlah Harga</v>
          </cell>
          <cell r="S536" t="str">
            <v>Vol.</v>
          </cell>
          <cell r="T536" t="str">
            <v>Jumlah Harga</v>
          </cell>
          <cell r="U536" t="str">
            <v>Vol.</v>
          </cell>
          <cell r="V536" t="str">
            <v>Jumlah Harga</v>
          </cell>
          <cell r="W536" t="str">
            <v>Vol.</v>
          </cell>
          <cell r="X536" t="str">
            <v>Jumlah Harga</v>
          </cell>
          <cell r="Y536" t="str">
            <v>Vol.</v>
          </cell>
          <cell r="Z536" t="str">
            <v>Jumlah Harga</v>
          </cell>
          <cell r="AA536" t="str">
            <v>Vol.</v>
          </cell>
          <cell r="AB536" t="str">
            <v>Jumlah Harga</v>
          </cell>
        </row>
        <row r="537">
          <cell r="A537" t="str">
            <v>VIII.</v>
          </cell>
          <cell r="B537" t="str">
            <v>UNIT PERUMAHAN</v>
          </cell>
          <cell r="D537" t="str">
            <v>Rp.</v>
          </cell>
          <cell r="E537" t="str">
            <v>Vol.</v>
          </cell>
          <cell r="F537" t="str">
            <v>Jumlah Harga</v>
          </cell>
          <cell r="G537" t="str">
            <v>Vol.</v>
          </cell>
          <cell r="H537" t="str">
            <v>Jumlah Harga</v>
          </cell>
          <cell r="I537" t="str">
            <v>Vol.</v>
          </cell>
          <cell r="J537" t="str">
            <v>Jumlah Harga</v>
          </cell>
          <cell r="K537" t="str">
            <v>Vol.</v>
          </cell>
          <cell r="L537" t="str">
            <v>Jumlah Harga</v>
          </cell>
          <cell r="M537" t="str">
            <v>Vol.</v>
          </cell>
          <cell r="N537" t="str">
            <v>Jumlah Harga</v>
          </cell>
          <cell r="O537" t="str">
            <v>Vol.</v>
          </cell>
          <cell r="P537" t="str">
            <v>Jumlah Harga</v>
          </cell>
          <cell r="Q537" t="str">
            <v>Vol.</v>
          </cell>
          <cell r="R537" t="str">
            <v>Jumlah Harga</v>
          </cell>
          <cell r="S537" t="str">
            <v>Vol.</v>
          </cell>
          <cell r="T537" t="str">
            <v>Jumlah Harga</v>
          </cell>
          <cell r="U537" t="str">
            <v>Vol.</v>
          </cell>
          <cell r="V537" t="str">
            <v>Jumlah Harga</v>
          </cell>
          <cell r="W537" t="str">
            <v>Vol.</v>
          </cell>
          <cell r="X537" t="str">
            <v>Jumlah Harga</v>
          </cell>
          <cell r="Y537" t="str">
            <v>Vol.</v>
          </cell>
          <cell r="Z537" t="str">
            <v>Jumlah Harga</v>
          </cell>
          <cell r="AA537" t="str">
            <v>Vol.</v>
          </cell>
          <cell r="AB537" t="str">
            <v>Jumlah Harga</v>
          </cell>
        </row>
        <row r="538">
          <cell r="A538" t="str">
            <v>VIII.</v>
          </cell>
          <cell r="B538" t="str">
            <v>UNIT PERUMAHAN</v>
          </cell>
        </row>
        <row r="539">
          <cell r="A539">
            <v>1</v>
          </cell>
          <cell r="B539" t="str">
            <v>Kayu 6/12</v>
          </cell>
          <cell r="C539" t="str">
            <v>M3</v>
          </cell>
          <cell r="D539">
            <v>0</v>
          </cell>
          <cell r="E539">
            <v>0</v>
          </cell>
          <cell r="F539">
            <v>0</v>
          </cell>
          <cell r="G539">
            <v>0</v>
          </cell>
          <cell r="H539">
            <v>0</v>
          </cell>
          <cell r="I539">
            <v>0</v>
          </cell>
          <cell r="J539">
            <v>0</v>
          </cell>
          <cell r="K539">
            <v>0</v>
          </cell>
          <cell r="L539">
            <v>0</v>
          </cell>
          <cell r="N539">
            <v>0</v>
          </cell>
          <cell r="P539">
            <v>0</v>
          </cell>
          <cell r="R539">
            <v>0</v>
          </cell>
          <cell r="T539">
            <v>0</v>
          </cell>
          <cell r="V539">
            <v>0</v>
          </cell>
          <cell r="X539">
            <v>0</v>
          </cell>
          <cell r="Z539">
            <v>0</v>
          </cell>
          <cell r="AB539">
            <v>0</v>
          </cell>
        </row>
        <row r="540">
          <cell r="A540">
            <v>2</v>
          </cell>
          <cell r="B540" t="str">
            <v>Kayu Slimar 3/10</v>
          </cell>
          <cell r="C540" t="str">
            <v>M3</v>
          </cell>
          <cell r="D540">
            <v>0</v>
          </cell>
          <cell r="E540">
            <v>0</v>
          </cell>
          <cell r="F540">
            <v>0</v>
          </cell>
          <cell r="G540">
            <v>0</v>
          </cell>
          <cell r="H540">
            <v>0</v>
          </cell>
          <cell r="I540">
            <v>0</v>
          </cell>
          <cell r="J540">
            <v>0</v>
          </cell>
          <cell r="K540">
            <v>0</v>
          </cell>
          <cell r="L540">
            <v>0</v>
          </cell>
          <cell r="N540">
            <v>0</v>
          </cell>
          <cell r="P540">
            <v>0</v>
          </cell>
          <cell r="R540">
            <v>0</v>
          </cell>
          <cell r="T540">
            <v>0</v>
          </cell>
          <cell r="V540">
            <v>0</v>
          </cell>
          <cell r="X540">
            <v>0</v>
          </cell>
          <cell r="Z540">
            <v>0</v>
          </cell>
          <cell r="AB540">
            <v>0</v>
          </cell>
        </row>
        <row r="541">
          <cell r="A541">
            <v>3</v>
          </cell>
          <cell r="B541" t="str">
            <v>Kayu Slimar 3/15</v>
          </cell>
          <cell r="C541" t="str">
            <v>M3</v>
          </cell>
          <cell r="D541">
            <v>0</v>
          </cell>
          <cell r="E541">
            <v>0</v>
          </cell>
          <cell r="F541">
            <v>0</v>
          </cell>
          <cell r="G541">
            <v>0</v>
          </cell>
          <cell r="H541">
            <v>0</v>
          </cell>
          <cell r="I541">
            <v>0</v>
          </cell>
          <cell r="J541">
            <v>0</v>
          </cell>
          <cell r="K541">
            <v>0</v>
          </cell>
          <cell r="L541">
            <v>0</v>
          </cell>
          <cell r="N541">
            <v>0</v>
          </cell>
          <cell r="P541">
            <v>0</v>
          </cell>
          <cell r="R541">
            <v>0</v>
          </cell>
          <cell r="T541">
            <v>0</v>
          </cell>
          <cell r="V541">
            <v>0</v>
          </cell>
          <cell r="X541">
            <v>0</v>
          </cell>
          <cell r="Z541">
            <v>0</v>
          </cell>
          <cell r="AB541">
            <v>0</v>
          </cell>
        </row>
        <row r="542">
          <cell r="A542">
            <v>4</v>
          </cell>
          <cell r="B542" t="str">
            <v>Kayu Slimar 3/20</v>
          </cell>
          <cell r="C542" t="str">
            <v>M3</v>
          </cell>
          <cell r="D542">
            <v>0</v>
          </cell>
          <cell r="E542">
            <v>0</v>
          </cell>
          <cell r="F542">
            <v>0</v>
          </cell>
          <cell r="G542">
            <v>0</v>
          </cell>
          <cell r="H542">
            <v>0</v>
          </cell>
          <cell r="I542">
            <v>0</v>
          </cell>
          <cell r="J542">
            <v>0</v>
          </cell>
          <cell r="K542">
            <v>0</v>
          </cell>
          <cell r="L542">
            <v>0</v>
          </cell>
          <cell r="N542">
            <v>0</v>
          </cell>
          <cell r="P542">
            <v>0</v>
          </cell>
          <cell r="R542">
            <v>0</v>
          </cell>
          <cell r="T542">
            <v>0</v>
          </cell>
          <cell r="V542">
            <v>0</v>
          </cell>
          <cell r="X542">
            <v>0</v>
          </cell>
          <cell r="Z542">
            <v>0</v>
          </cell>
          <cell r="AB542">
            <v>0</v>
          </cell>
        </row>
        <row r="543">
          <cell r="A543">
            <v>5</v>
          </cell>
          <cell r="B543" t="str">
            <v>Kayu 2/10</v>
          </cell>
          <cell r="C543" t="str">
            <v>M3</v>
          </cell>
          <cell r="D543">
            <v>0</v>
          </cell>
          <cell r="E543">
            <v>0</v>
          </cell>
          <cell r="F543">
            <v>0</v>
          </cell>
          <cell r="G543">
            <v>0</v>
          </cell>
          <cell r="H543">
            <v>0</v>
          </cell>
          <cell r="I543">
            <v>0</v>
          </cell>
          <cell r="J543">
            <v>0</v>
          </cell>
          <cell r="K543">
            <v>0</v>
          </cell>
          <cell r="L543">
            <v>0</v>
          </cell>
          <cell r="M543">
            <v>6.8</v>
          </cell>
          <cell r="N543">
            <v>0</v>
          </cell>
          <cell r="O543">
            <v>4.5600000000000005</v>
          </cell>
          <cell r="P543">
            <v>0</v>
          </cell>
          <cell r="Q543">
            <v>3.5199999999999996</v>
          </cell>
          <cell r="R543">
            <v>0</v>
          </cell>
          <cell r="S543">
            <v>5.0999999999999996</v>
          </cell>
          <cell r="T543">
            <v>0</v>
          </cell>
          <cell r="U543">
            <v>2</v>
          </cell>
          <cell r="V543">
            <v>0</v>
          </cell>
          <cell r="X543">
            <v>0</v>
          </cell>
          <cell r="Y543">
            <v>3.76</v>
          </cell>
          <cell r="Z543">
            <v>0</v>
          </cell>
          <cell r="AA543">
            <v>1.6</v>
          </cell>
          <cell r="AB543">
            <v>0</v>
          </cell>
        </row>
        <row r="544">
          <cell r="A544">
            <v>6</v>
          </cell>
          <cell r="B544" t="str">
            <v>Panil t = 3 cm</v>
          </cell>
          <cell r="C544" t="str">
            <v>M2</v>
          </cell>
          <cell r="D544">
            <v>0</v>
          </cell>
          <cell r="E544">
            <v>0</v>
          </cell>
          <cell r="F544">
            <v>0</v>
          </cell>
          <cell r="G544">
            <v>0</v>
          </cell>
          <cell r="H544">
            <v>0</v>
          </cell>
          <cell r="I544">
            <v>0</v>
          </cell>
          <cell r="J544">
            <v>0</v>
          </cell>
          <cell r="L544">
            <v>0</v>
          </cell>
          <cell r="N544">
            <v>0</v>
          </cell>
          <cell r="P544">
            <v>0</v>
          </cell>
          <cell r="R544">
            <v>0</v>
          </cell>
          <cell r="T544">
            <v>0</v>
          </cell>
          <cell r="V544">
            <v>0</v>
          </cell>
          <cell r="X544">
            <v>0</v>
          </cell>
          <cell r="Z544">
            <v>0</v>
          </cell>
          <cell r="AB544">
            <v>0</v>
          </cell>
        </row>
        <row r="545">
          <cell r="A545">
            <v>1</v>
          </cell>
          <cell r="B545" t="str">
            <v>Kusen Aluminium 5/10</v>
          </cell>
          <cell r="C545" t="str">
            <v>M'</v>
          </cell>
          <cell r="D545">
            <v>124948</v>
          </cell>
          <cell r="E545">
            <v>6.1999999999999993</v>
          </cell>
          <cell r="F545">
            <v>774677.59999999986</v>
          </cell>
          <cell r="G545">
            <v>0</v>
          </cell>
          <cell r="H545">
            <v>0</v>
          </cell>
          <cell r="I545">
            <v>0</v>
          </cell>
          <cell r="J545">
            <v>0</v>
          </cell>
          <cell r="L545">
            <v>0</v>
          </cell>
          <cell r="N545">
            <v>0</v>
          </cell>
          <cell r="P545">
            <v>0</v>
          </cell>
          <cell r="R545">
            <v>0</v>
          </cell>
          <cell r="T545">
            <v>0</v>
          </cell>
          <cell r="V545">
            <v>0</v>
          </cell>
          <cell r="X545">
            <v>0</v>
          </cell>
          <cell r="Z545">
            <v>0</v>
          </cell>
          <cell r="AB545">
            <v>0</v>
          </cell>
        </row>
        <row r="546">
          <cell r="A546">
            <v>2</v>
          </cell>
          <cell r="B546" t="str">
            <v xml:space="preserve">Rangka Daun Jendela Alumunium </v>
          </cell>
          <cell r="C546" t="str">
            <v>M'</v>
          </cell>
          <cell r="D546">
            <v>124948</v>
          </cell>
          <cell r="E546">
            <v>0</v>
          </cell>
          <cell r="F546">
            <v>0</v>
          </cell>
          <cell r="G546">
            <v>0</v>
          </cell>
          <cell r="H546">
            <v>0</v>
          </cell>
          <cell r="I546">
            <v>0</v>
          </cell>
          <cell r="J546">
            <v>0</v>
          </cell>
          <cell r="L546">
            <v>0</v>
          </cell>
          <cell r="M546">
            <v>4.16</v>
          </cell>
          <cell r="N546">
            <v>519783.67999999999</v>
          </cell>
          <cell r="O546">
            <v>4</v>
          </cell>
          <cell r="P546">
            <v>499792</v>
          </cell>
          <cell r="Q546">
            <v>3.12</v>
          </cell>
          <cell r="R546">
            <v>389837.76</v>
          </cell>
          <cell r="T546">
            <v>0</v>
          </cell>
          <cell r="V546">
            <v>0</v>
          </cell>
          <cell r="X546">
            <v>0</v>
          </cell>
          <cell r="Z546">
            <v>0</v>
          </cell>
          <cell r="AB546">
            <v>0</v>
          </cell>
        </row>
        <row r="547">
          <cell r="A547">
            <v>3</v>
          </cell>
          <cell r="B547" t="str">
            <v>Rangka Tiang Sirip Alumunium 1/1 Putih</v>
          </cell>
          <cell r="C547" t="str">
            <v>M'</v>
          </cell>
          <cell r="D547">
            <v>62474</v>
          </cell>
          <cell r="E547">
            <v>0</v>
          </cell>
          <cell r="F547">
            <v>0</v>
          </cell>
          <cell r="G547">
            <v>0</v>
          </cell>
          <cell r="H547">
            <v>0</v>
          </cell>
          <cell r="I547">
            <v>0</v>
          </cell>
          <cell r="J547">
            <v>0</v>
          </cell>
          <cell r="L547">
            <v>0</v>
          </cell>
          <cell r="N547">
            <v>0</v>
          </cell>
          <cell r="P547">
            <v>0</v>
          </cell>
          <cell r="R547">
            <v>0</v>
          </cell>
          <cell r="T547">
            <v>0</v>
          </cell>
          <cell r="V547">
            <v>0</v>
          </cell>
          <cell r="X547">
            <v>0</v>
          </cell>
          <cell r="Z547">
            <v>0</v>
          </cell>
          <cell r="AB547">
            <v>0</v>
          </cell>
        </row>
        <row r="548">
          <cell r="A548">
            <v>4</v>
          </cell>
          <cell r="B548" t="str">
            <v>Pasang Shading Sirip Alumunium 0.2/10 +Rangka</v>
          </cell>
          <cell r="C548" t="str">
            <v>M2</v>
          </cell>
          <cell r="D548">
            <v>0</v>
          </cell>
          <cell r="E548">
            <v>0</v>
          </cell>
          <cell r="F548">
            <v>0</v>
          </cell>
          <cell r="G548">
            <v>0</v>
          </cell>
          <cell r="H548">
            <v>0</v>
          </cell>
          <cell r="I548">
            <v>0</v>
          </cell>
          <cell r="J548">
            <v>0</v>
          </cell>
          <cell r="L548">
            <v>0</v>
          </cell>
          <cell r="N548">
            <v>0</v>
          </cell>
          <cell r="P548">
            <v>0</v>
          </cell>
          <cell r="R548">
            <v>0</v>
          </cell>
          <cell r="T548">
            <v>0</v>
          </cell>
          <cell r="V548">
            <v>0</v>
          </cell>
          <cell r="X548">
            <v>0</v>
          </cell>
          <cell r="Z548">
            <v>0</v>
          </cell>
          <cell r="AB548">
            <v>0</v>
          </cell>
        </row>
        <row r="549">
          <cell r="A549">
            <v>5</v>
          </cell>
          <cell r="B549" t="str">
            <v>Daun Pintu Panil Kamper</v>
          </cell>
          <cell r="C549" t="str">
            <v>bh</v>
          </cell>
          <cell r="D549">
            <v>550000</v>
          </cell>
          <cell r="E549">
            <v>0</v>
          </cell>
          <cell r="F549">
            <v>0</v>
          </cell>
          <cell r="G549">
            <v>0</v>
          </cell>
          <cell r="H549">
            <v>0</v>
          </cell>
          <cell r="I549">
            <v>0</v>
          </cell>
          <cell r="J549">
            <v>0</v>
          </cell>
          <cell r="K549">
            <v>0</v>
          </cell>
          <cell r="L549">
            <v>0</v>
          </cell>
          <cell r="N549">
            <v>0</v>
          </cell>
          <cell r="P549">
            <v>0</v>
          </cell>
          <cell r="R549">
            <v>0</v>
          </cell>
          <cell r="T549">
            <v>0</v>
          </cell>
          <cell r="V549">
            <v>0</v>
          </cell>
          <cell r="X549">
            <v>0</v>
          </cell>
          <cell r="Z549">
            <v>0</v>
          </cell>
          <cell r="AB549">
            <v>0</v>
          </cell>
        </row>
        <row r="550">
          <cell r="A550">
            <v>6</v>
          </cell>
          <cell r="B550" t="str">
            <v>Plat besi t = 2 mm</v>
          </cell>
          <cell r="C550" t="str">
            <v>Kg</v>
          </cell>
          <cell r="D550">
            <v>0</v>
          </cell>
          <cell r="E550">
            <v>0</v>
          </cell>
          <cell r="F550">
            <v>0</v>
          </cell>
          <cell r="G550">
            <v>57.085200000000007</v>
          </cell>
          <cell r="H550">
            <v>0</v>
          </cell>
          <cell r="I550">
            <v>57.085200000000007</v>
          </cell>
          <cell r="J550">
            <v>0</v>
          </cell>
          <cell r="L550">
            <v>0</v>
          </cell>
          <cell r="N550">
            <v>0</v>
          </cell>
          <cell r="P550">
            <v>0</v>
          </cell>
          <cell r="R550">
            <v>0</v>
          </cell>
          <cell r="T550">
            <v>0</v>
          </cell>
          <cell r="V550">
            <v>0</v>
          </cell>
          <cell r="X550">
            <v>0</v>
          </cell>
          <cell r="Z550">
            <v>0</v>
          </cell>
          <cell r="AB550">
            <v>0</v>
          </cell>
        </row>
        <row r="551">
          <cell r="A551">
            <v>7</v>
          </cell>
          <cell r="B551" t="str">
            <v>C 40.40.2  (pesan khusus)</v>
          </cell>
          <cell r="C551" t="str">
            <v>Kg</v>
          </cell>
          <cell r="D551">
            <v>14122.3</v>
          </cell>
          <cell r="E551">
            <v>0</v>
          </cell>
          <cell r="F551">
            <v>0</v>
          </cell>
          <cell r="G551">
            <v>42.56</v>
          </cell>
          <cell r="H551">
            <v>601045.08799999999</v>
          </cell>
          <cell r="I551">
            <v>42.56</v>
          </cell>
          <cell r="J551">
            <v>601045.08799999999</v>
          </cell>
          <cell r="L551">
            <v>0</v>
          </cell>
          <cell r="N551">
            <v>0</v>
          </cell>
          <cell r="P551">
            <v>0</v>
          </cell>
          <cell r="R551">
            <v>0</v>
          </cell>
          <cell r="T551">
            <v>0</v>
          </cell>
          <cell r="V551">
            <v>0</v>
          </cell>
          <cell r="X551">
            <v>0</v>
          </cell>
          <cell r="Z551">
            <v>0</v>
          </cell>
          <cell r="AB551">
            <v>0</v>
          </cell>
        </row>
        <row r="552">
          <cell r="A552">
            <v>8</v>
          </cell>
          <cell r="B552" t="str">
            <v>Handle besi dia 16 mm</v>
          </cell>
          <cell r="C552" t="str">
            <v>Set</v>
          </cell>
          <cell r="D552">
            <v>129652.5</v>
          </cell>
          <cell r="E552">
            <v>0</v>
          </cell>
          <cell r="F552">
            <v>0</v>
          </cell>
          <cell r="G552">
            <v>1</v>
          </cell>
          <cell r="H552">
            <v>129652.5</v>
          </cell>
          <cell r="I552">
            <v>1</v>
          </cell>
          <cell r="J552">
            <v>129652.5</v>
          </cell>
          <cell r="L552">
            <v>0</v>
          </cell>
          <cell r="N552">
            <v>0</v>
          </cell>
          <cell r="P552">
            <v>0</v>
          </cell>
          <cell r="R552">
            <v>0</v>
          </cell>
          <cell r="T552">
            <v>0</v>
          </cell>
          <cell r="V552">
            <v>0</v>
          </cell>
          <cell r="X552">
            <v>0</v>
          </cell>
          <cell r="Z552">
            <v>0</v>
          </cell>
          <cell r="AB552">
            <v>0</v>
          </cell>
        </row>
        <row r="553">
          <cell r="A553">
            <v>9</v>
          </cell>
          <cell r="B553" t="str">
            <v>Hendle pintu Stainless</v>
          </cell>
          <cell r="C553" t="str">
            <v>Set</v>
          </cell>
          <cell r="D553">
            <v>261652.5</v>
          </cell>
          <cell r="E553">
            <v>2</v>
          </cell>
          <cell r="F553">
            <v>523305</v>
          </cell>
          <cell r="G553">
            <v>0</v>
          </cell>
          <cell r="H553">
            <v>0</v>
          </cell>
          <cell r="I553">
            <v>0</v>
          </cell>
          <cell r="J553">
            <v>0</v>
          </cell>
          <cell r="L553">
            <v>0</v>
          </cell>
          <cell r="N553">
            <v>0</v>
          </cell>
          <cell r="P553">
            <v>0</v>
          </cell>
          <cell r="R553">
            <v>0</v>
          </cell>
          <cell r="T553">
            <v>0</v>
          </cell>
          <cell r="V553">
            <v>0</v>
          </cell>
          <cell r="X553">
            <v>0</v>
          </cell>
          <cell r="Z553">
            <v>0</v>
          </cell>
          <cell r="AB553">
            <v>0</v>
          </cell>
        </row>
        <row r="554">
          <cell r="A554">
            <v>10</v>
          </cell>
          <cell r="B554" t="str">
            <v>Kunci Pintu Handle stainleess (dorma)</v>
          </cell>
          <cell r="C554" t="str">
            <v>Set</v>
          </cell>
          <cell r="D554">
            <v>650000</v>
          </cell>
          <cell r="E554">
            <v>0</v>
          </cell>
          <cell r="F554">
            <v>0</v>
          </cell>
          <cell r="G554">
            <v>0</v>
          </cell>
          <cell r="H554">
            <v>0</v>
          </cell>
          <cell r="I554">
            <v>0</v>
          </cell>
          <cell r="J554">
            <v>0</v>
          </cell>
          <cell r="L554">
            <v>0</v>
          </cell>
          <cell r="N554">
            <v>0</v>
          </cell>
          <cell r="P554">
            <v>0</v>
          </cell>
          <cell r="R554">
            <v>0</v>
          </cell>
          <cell r="T554">
            <v>0</v>
          </cell>
          <cell r="V554">
            <v>0</v>
          </cell>
          <cell r="X554">
            <v>0</v>
          </cell>
          <cell r="Z554">
            <v>0</v>
          </cell>
          <cell r="AB554">
            <v>0</v>
          </cell>
        </row>
        <row r="555">
          <cell r="A555">
            <v>11</v>
          </cell>
          <cell r="B555" t="str">
            <v>Kunci tanam Antik</v>
          </cell>
          <cell r="C555" t="str">
            <v>Set</v>
          </cell>
          <cell r="D555">
            <v>265000</v>
          </cell>
          <cell r="E555">
            <v>0</v>
          </cell>
          <cell r="F555">
            <v>0</v>
          </cell>
          <cell r="G555">
            <v>0</v>
          </cell>
          <cell r="H555">
            <v>0</v>
          </cell>
          <cell r="I555">
            <v>0</v>
          </cell>
          <cell r="J555">
            <v>0</v>
          </cell>
          <cell r="L555">
            <v>0</v>
          </cell>
          <cell r="N555">
            <v>0</v>
          </cell>
          <cell r="P555">
            <v>0</v>
          </cell>
          <cell r="R555">
            <v>0</v>
          </cell>
          <cell r="T555">
            <v>0</v>
          </cell>
          <cell r="V555">
            <v>0</v>
          </cell>
          <cell r="X555">
            <v>0</v>
          </cell>
          <cell r="Z555">
            <v>0</v>
          </cell>
          <cell r="AB555">
            <v>0</v>
          </cell>
        </row>
        <row r="556">
          <cell r="A556">
            <v>12</v>
          </cell>
          <cell r="B556" t="str">
            <v>Kunci tanam biasa</v>
          </cell>
          <cell r="C556" t="str">
            <v>Set</v>
          </cell>
          <cell r="D556">
            <v>168565</v>
          </cell>
          <cell r="E556">
            <v>0</v>
          </cell>
          <cell r="F556">
            <v>0</v>
          </cell>
          <cell r="G556">
            <v>1</v>
          </cell>
          <cell r="H556">
            <v>168565</v>
          </cell>
          <cell r="I556">
            <v>1</v>
          </cell>
          <cell r="J556">
            <v>168565</v>
          </cell>
          <cell r="K556">
            <v>1</v>
          </cell>
          <cell r="L556">
            <v>168565</v>
          </cell>
          <cell r="N556">
            <v>0</v>
          </cell>
          <cell r="P556">
            <v>0</v>
          </cell>
          <cell r="R556">
            <v>0</v>
          </cell>
          <cell r="T556">
            <v>0</v>
          </cell>
          <cell r="V556">
            <v>0</v>
          </cell>
          <cell r="X556">
            <v>0</v>
          </cell>
          <cell r="Z556">
            <v>0</v>
          </cell>
          <cell r="AB556">
            <v>0</v>
          </cell>
        </row>
        <row r="557">
          <cell r="A557">
            <v>13</v>
          </cell>
          <cell r="B557" t="str">
            <v>Kunci Silinder</v>
          </cell>
          <cell r="C557" t="str">
            <v>Set</v>
          </cell>
          <cell r="D557">
            <v>217900</v>
          </cell>
          <cell r="E557">
            <v>0</v>
          </cell>
          <cell r="F557">
            <v>0</v>
          </cell>
          <cell r="G557">
            <v>0</v>
          </cell>
          <cell r="H557">
            <v>0</v>
          </cell>
          <cell r="I557">
            <v>0</v>
          </cell>
          <cell r="J557">
            <v>0</v>
          </cell>
          <cell r="L557">
            <v>0</v>
          </cell>
          <cell r="N557">
            <v>0</v>
          </cell>
          <cell r="P557">
            <v>0</v>
          </cell>
          <cell r="R557">
            <v>0</v>
          </cell>
          <cell r="T557">
            <v>0</v>
          </cell>
          <cell r="V557">
            <v>0</v>
          </cell>
          <cell r="X557">
            <v>0</v>
          </cell>
          <cell r="Z557">
            <v>0</v>
          </cell>
          <cell r="AB557">
            <v>0</v>
          </cell>
        </row>
        <row r="558">
          <cell r="A558">
            <v>14</v>
          </cell>
          <cell r="B558" t="str">
            <v>Kunci Selot</v>
          </cell>
          <cell r="C558" t="str">
            <v>Set</v>
          </cell>
          <cell r="D558">
            <v>48300</v>
          </cell>
          <cell r="E558">
            <v>0</v>
          </cell>
          <cell r="F558">
            <v>0</v>
          </cell>
          <cell r="G558">
            <v>0</v>
          </cell>
          <cell r="H558">
            <v>0</v>
          </cell>
          <cell r="I558">
            <v>0</v>
          </cell>
          <cell r="J558">
            <v>0</v>
          </cell>
          <cell r="K558">
            <v>0</v>
          </cell>
          <cell r="L558">
            <v>0</v>
          </cell>
          <cell r="N558">
            <v>0</v>
          </cell>
          <cell r="P558">
            <v>0</v>
          </cell>
          <cell r="R558">
            <v>0</v>
          </cell>
          <cell r="T558">
            <v>0</v>
          </cell>
          <cell r="V558">
            <v>0</v>
          </cell>
          <cell r="X558">
            <v>0</v>
          </cell>
          <cell r="Z558">
            <v>0</v>
          </cell>
          <cell r="AB558">
            <v>0</v>
          </cell>
        </row>
        <row r="559">
          <cell r="A559">
            <v>15</v>
          </cell>
          <cell r="B559" t="str">
            <v>Engsel jendela</v>
          </cell>
          <cell r="C559" t="str">
            <v>Bh</v>
          </cell>
          <cell r="D559">
            <v>16600</v>
          </cell>
          <cell r="E559">
            <v>0</v>
          </cell>
          <cell r="F559">
            <v>0</v>
          </cell>
          <cell r="G559">
            <v>0</v>
          </cell>
          <cell r="H559">
            <v>0</v>
          </cell>
          <cell r="I559">
            <v>0</v>
          </cell>
          <cell r="J559">
            <v>0</v>
          </cell>
          <cell r="L559">
            <v>0</v>
          </cell>
          <cell r="M559">
            <v>4</v>
          </cell>
          <cell r="N559">
            <v>66400</v>
          </cell>
          <cell r="O559">
            <v>2</v>
          </cell>
          <cell r="P559">
            <v>33200</v>
          </cell>
          <cell r="Q559">
            <v>2</v>
          </cell>
          <cell r="R559">
            <v>33200</v>
          </cell>
          <cell r="T559">
            <v>0</v>
          </cell>
          <cell r="V559">
            <v>0</v>
          </cell>
          <cell r="X559">
            <v>0</v>
          </cell>
          <cell r="Z559">
            <v>0</v>
          </cell>
          <cell r="AB559">
            <v>0</v>
          </cell>
        </row>
        <row r="560">
          <cell r="A560">
            <v>16</v>
          </cell>
          <cell r="B560" t="str">
            <v>Engsel pintu</v>
          </cell>
          <cell r="C560" t="str">
            <v>Bh</v>
          </cell>
          <cell r="D560">
            <v>44395.75</v>
          </cell>
          <cell r="E560">
            <v>4</v>
          </cell>
          <cell r="F560">
            <v>177583</v>
          </cell>
          <cell r="G560">
            <v>0</v>
          </cell>
          <cell r="H560">
            <v>0</v>
          </cell>
          <cell r="I560">
            <v>0</v>
          </cell>
          <cell r="J560">
            <v>0</v>
          </cell>
          <cell r="K560">
            <v>0</v>
          </cell>
          <cell r="L560">
            <v>0</v>
          </cell>
          <cell r="N560">
            <v>0</v>
          </cell>
          <cell r="P560">
            <v>0</v>
          </cell>
          <cell r="R560">
            <v>0</v>
          </cell>
          <cell r="T560">
            <v>0</v>
          </cell>
          <cell r="V560">
            <v>0</v>
          </cell>
          <cell r="X560">
            <v>0</v>
          </cell>
          <cell r="Z560">
            <v>0</v>
          </cell>
          <cell r="AB560">
            <v>0</v>
          </cell>
        </row>
        <row r="561">
          <cell r="A561">
            <v>17</v>
          </cell>
          <cell r="B561" t="str">
            <v>Engsel Pintu dari pipa besi dia 2 cm</v>
          </cell>
          <cell r="C561" t="str">
            <v>Bh</v>
          </cell>
          <cell r="D561">
            <v>66593.625</v>
          </cell>
          <cell r="E561">
            <v>0</v>
          </cell>
          <cell r="F561">
            <v>0</v>
          </cell>
          <cell r="G561">
            <v>2</v>
          </cell>
          <cell r="H561">
            <v>133187.25</v>
          </cell>
          <cell r="I561">
            <v>2</v>
          </cell>
          <cell r="J561">
            <v>133187.25</v>
          </cell>
          <cell r="L561">
            <v>0</v>
          </cell>
          <cell r="N561">
            <v>0</v>
          </cell>
          <cell r="P561">
            <v>0</v>
          </cell>
          <cell r="R561">
            <v>0</v>
          </cell>
          <cell r="T561">
            <v>0</v>
          </cell>
          <cell r="V561">
            <v>0</v>
          </cell>
          <cell r="X561">
            <v>0</v>
          </cell>
          <cell r="Z561">
            <v>0</v>
          </cell>
          <cell r="AB561">
            <v>0</v>
          </cell>
        </row>
        <row r="562">
          <cell r="A562">
            <v>18</v>
          </cell>
          <cell r="B562" t="str">
            <v>Kait/hak angin</v>
          </cell>
          <cell r="C562" t="str">
            <v>Set</v>
          </cell>
          <cell r="D562">
            <v>27000</v>
          </cell>
          <cell r="E562">
            <v>0</v>
          </cell>
          <cell r="F562">
            <v>0</v>
          </cell>
          <cell r="G562">
            <v>0</v>
          </cell>
          <cell r="H562">
            <v>0</v>
          </cell>
          <cell r="I562">
            <v>0</v>
          </cell>
          <cell r="J562">
            <v>0</v>
          </cell>
          <cell r="L562">
            <v>0</v>
          </cell>
          <cell r="M562">
            <v>2</v>
          </cell>
          <cell r="N562">
            <v>54000</v>
          </cell>
          <cell r="O562">
            <v>2</v>
          </cell>
          <cell r="P562">
            <v>54000</v>
          </cell>
          <cell r="Q562">
            <v>2</v>
          </cell>
          <cell r="R562">
            <v>54000</v>
          </cell>
          <cell r="T562">
            <v>0</v>
          </cell>
          <cell r="V562">
            <v>0</v>
          </cell>
          <cell r="X562">
            <v>0</v>
          </cell>
          <cell r="Z562">
            <v>0</v>
          </cell>
          <cell r="AB562">
            <v>0</v>
          </cell>
        </row>
        <row r="563">
          <cell r="A563">
            <v>19</v>
          </cell>
          <cell r="B563" t="str">
            <v>Grendel pintu kuningan</v>
          </cell>
          <cell r="C563" t="str">
            <v>Bh</v>
          </cell>
          <cell r="D563">
            <v>125000</v>
          </cell>
          <cell r="E563">
            <v>0</v>
          </cell>
          <cell r="F563">
            <v>0</v>
          </cell>
          <cell r="G563">
            <v>0</v>
          </cell>
          <cell r="H563">
            <v>0</v>
          </cell>
          <cell r="I563">
            <v>0</v>
          </cell>
          <cell r="J563">
            <v>0</v>
          </cell>
          <cell r="L563">
            <v>0</v>
          </cell>
          <cell r="N563">
            <v>0</v>
          </cell>
          <cell r="P563">
            <v>0</v>
          </cell>
          <cell r="R563">
            <v>0</v>
          </cell>
          <cell r="T563">
            <v>0</v>
          </cell>
          <cell r="V563">
            <v>0</v>
          </cell>
          <cell r="X563">
            <v>0</v>
          </cell>
          <cell r="Z563">
            <v>0</v>
          </cell>
          <cell r="AB563">
            <v>0</v>
          </cell>
        </row>
        <row r="564">
          <cell r="A564">
            <v>20</v>
          </cell>
          <cell r="B564" t="str">
            <v xml:space="preserve">Grendel jendela </v>
          </cell>
          <cell r="C564" t="str">
            <v>Bh</v>
          </cell>
          <cell r="D564">
            <v>8100</v>
          </cell>
          <cell r="E564">
            <v>0</v>
          </cell>
          <cell r="F564">
            <v>0</v>
          </cell>
          <cell r="G564">
            <v>0</v>
          </cell>
          <cell r="H564">
            <v>0</v>
          </cell>
          <cell r="I564">
            <v>0</v>
          </cell>
          <cell r="J564">
            <v>0</v>
          </cell>
          <cell r="L564">
            <v>0</v>
          </cell>
          <cell r="M564">
            <v>1</v>
          </cell>
          <cell r="N564">
            <v>8100</v>
          </cell>
          <cell r="O564">
            <v>1</v>
          </cell>
          <cell r="P564">
            <v>8100</v>
          </cell>
          <cell r="Q564">
            <v>1</v>
          </cell>
          <cell r="R564">
            <v>8100</v>
          </cell>
          <cell r="T564">
            <v>0</v>
          </cell>
          <cell r="V564">
            <v>0</v>
          </cell>
          <cell r="X564">
            <v>0</v>
          </cell>
          <cell r="Z564">
            <v>0</v>
          </cell>
          <cell r="AB564">
            <v>0</v>
          </cell>
        </row>
        <row r="565">
          <cell r="A565">
            <v>21</v>
          </cell>
          <cell r="B565" t="str">
            <v>Grendel pintu</v>
          </cell>
          <cell r="C565" t="str">
            <v>Bh</v>
          </cell>
          <cell r="D565">
            <v>14200</v>
          </cell>
          <cell r="E565">
            <v>0</v>
          </cell>
          <cell r="F565">
            <v>0</v>
          </cell>
          <cell r="G565">
            <v>0</v>
          </cell>
          <cell r="H565">
            <v>0</v>
          </cell>
          <cell r="I565">
            <v>0</v>
          </cell>
          <cell r="J565">
            <v>0</v>
          </cell>
          <cell r="K565">
            <v>0</v>
          </cell>
          <cell r="L565">
            <v>0</v>
          </cell>
          <cell r="N565">
            <v>0</v>
          </cell>
          <cell r="P565">
            <v>0</v>
          </cell>
          <cell r="R565">
            <v>0</v>
          </cell>
          <cell r="T565">
            <v>0</v>
          </cell>
          <cell r="V565">
            <v>0</v>
          </cell>
          <cell r="X565">
            <v>0</v>
          </cell>
          <cell r="Z565">
            <v>0</v>
          </cell>
          <cell r="AB565">
            <v>0</v>
          </cell>
        </row>
        <row r="566">
          <cell r="A566">
            <v>22</v>
          </cell>
          <cell r="B566" t="str">
            <v>Stripting Knip</v>
          </cell>
          <cell r="C566" t="str">
            <v>Set</v>
          </cell>
          <cell r="D566">
            <v>13700</v>
          </cell>
          <cell r="E566">
            <v>0</v>
          </cell>
          <cell r="F566">
            <v>0</v>
          </cell>
          <cell r="G566">
            <v>0</v>
          </cell>
          <cell r="H566">
            <v>0</v>
          </cell>
          <cell r="I566">
            <v>0</v>
          </cell>
          <cell r="J566">
            <v>0</v>
          </cell>
          <cell r="L566">
            <v>0</v>
          </cell>
          <cell r="N566">
            <v>0</v>
          </cell>
          <cell r="P566">
            <v>0</v>
          </cell>
          <cell r="R566">
            <v>0</v>
          </cell>
          <cell r="T566">
            <v>0</v>
          </cell>
          <cell r="V566">
            <v>0</v>
          </cell>
          <cell r="X566">
            <v>0</v>
          </cell>
          <cell r="Z566">
            <v>0</v>
          </cell>
          <cell r="AB566">
            <v>0</v>
          </cell>
        </row>
        <row r="567">
          <cell r="A567">
            <v>23</v>
          </cell>
          <cell r="B567" t="str">
            <v>Door Closer</v>
          </cell>
          <cell r="C567" t="str">
            <v>Set</v>
          </cell>
          <cell r="D567">
            <v>260800</v>
          </cell>
          <cell r="E567">
            <v>0</v>
          </cell>
          <cell r="F567">
            <v>0</v>
          </cell>
          <cell r="G567">
            <v>0</v>
          </cell>
          <cell r="H567">
            <v>0</v>
          </cell>
          <cell r="I567">
            <v>0</v>
          </cell>
          <cell r="J567">
            <v>0</v>
          </cell>
          <cell r="K567">
            <v>0</v>
          </cell>
          <cell r="L567">
            <v>0</v>
          </cell>
          <cell r="N567">
            <v>0</v>
          </cell>
          <cell r="P567">
            <v>0</v>
          </cell>
          <cell r="R567">
            <v>0</v>
          </cell>
          <cell r="T567">
            <v>0</v>
          </cell>
          <cell r="V567">
            <v>0</v>
          </cell>
          <cell r="X567">
            <v>0</v>
          </cell>
          <cell r="Z567">
            <v>0</v>
          </cell>
          <cell r="AB567">
            <v>0</v>
          </cell>
        </row>
        <row r="568">
          <cell r="A568">
            <v>24</v>
          </cell>
          <cell r="B568" t="str">
            <v>Door Holder</v>
          </cell>
          <cell r="C568" t="str">
            <v>Set</v>
          </cell>
          <cell r="D568">
            <v>500000</v>
          </cell>
          <cell r="E568">
            <v>0</v>
          </cell>
          <cell r="F568">
            <v>0</v>
          </cell>
          <cell r="G568">
            <v>0</v>
          </cell>
          <cell r="H568">
            <v>0</v>
          </cell>
          <cell r="I568">
            <v>0</v>
          </cell>
          <cell r="J568">
            <v>0</v>
          </cell>
          <cell r="L568">
            <v>0</v>
          </cell>
          <cell r="N568">
            <v>0</v>
          </cell>
          <cell r="P568">
            <v>0</v>
          </cell>
          <cell r="R568">
            <v>0</v>
          </cell>
          <cell r="T568">
            <v>0</v>
          </cell>
          <cell r="V568">
            <v>0</v>
          </cell>
          <cell r="X568">
            <v>0</v>
          </cell>
          <cell r="Z568">
            <v>0</v>
          </cell>
          <cell r="AB568">
            <v>0</v>
          </cell>
        </row>
        <row r="569">
          <cell r="A569">
            <v>25</v>
          </cell>
          <cell r="B569" t="str">
            <v>Door Stop</v>
          </cell>
          <cell r="C569" t="str">
            <v>Set</v>
          </cell>
          <cell r="D569">
            <v>32100</v>
          </cell>
          <cell r="E569">
            <v>0</v>
          </cell>
          <cell r="F569">
            <v>0</v>
          </cell>
          <cell r="G569">
            <v>0</v>
          </cell>
          <cell r="H569">
            <v>0</v>
          </cell>
          <cell r="I569">
            <v>0</v>
          </cell>
          <cell r="J569">
            <v>0</v>
          </cell>
          <cell r="K569">
            <v>0</v>
          </cell>
          <cell r="L569">
            <v>0</v>
          </cell>
          <cell r="N569">
            <v>0</v>
          </cell>
          <cell r="P569">
            <v>0</v>
          </cell>
          <cell r="R569">
            <v>0</v>
          </cell>
          <cell r="T569">
            <v>0</v>
          </cell>
          <cell r="V569">
            <v>0</v>
          </cell>
          <cell r="X569">
            <v>0</v>
          </cell>
          <cell r="Z569">
            <v>0</v>
          </cell>
          <cell r="AB569">
            <v>0</v>
          </cell>
        </row>
        <row r="570">
          <cell r="A570">
            <v>26</v>
          </cell>
          <cell r="B570" t="str">
            <v>Kaca bening 5 mm</v>
          </cell>
          <cell r="C570" t="str">
            <v>M2</v>
          </cell>
          <cell r="D570">
            <v>66700</v>
          </cell>
          <cell r="E570">
            <v>0</v>
          </cell>
          <cell r="F570">
            <v>0</v>
          </cell>
          <cell r="G570">
            <v>0</v>
          </cell>
          <cell r="H570">
            <v>0</v>
          </cell>
          <cell r="I570">
            <v>0</v>
          </cell>
          <cell r="J570">
            <v>0</v>
          </cell>
          <cell r="L570">
            <v>0</v>
          </cell>
          <cell r="N570">
            <v>0</v>
          </cell>
          <cell r="O570">
            <v>0</v>
          </cell>
          <cell r="P570">
            <v>0</v>
          </cell>
          <cell r="Q570">
            <v>0</v>
          </cell>
          <cell r="R570">
            <v>0</v>
          </cell>
          <cell r="T570">
            <v>0</v>
          </cell>
          <cell r="V570">
            <v>0</v>
          </cell>
          <cell r="X570">
            <v>0</v>
          </cell>
          <cell r="Y570">
            <v>0.14400000000000002</v>
          </cell>
          <cell r="Z570">
            <v>9604.8000000000011</v>
          </cell>
          <cell r="AA570">
            <v>0.14400000000000002</v>
          </cell>
          <cell r="AB570">
            <v>0</v>
          </cell>
        </row>
        <row r="571">
          <cell r="A571">
            <v>27</v>
          </cell>
          <cell r="B571" t="str">
            <v>Kaca bening 10 mm</v>
          </cell>
          <cell r="C571" t="str">
            <v>M2</v>
          </cell>
          <cell r="D571">
            <v>280895.75</v>
          </cell>
          <cell r="E571">
            <v>0</v>
          </cell>
          <cell r="F571">
            <v>0</v>
          </cell>
          <cell r="G571">
            <v>0</v>
          </cell>
          <cell r="H571">
            <v>0</v>
          </cell>
          <cell r="I571">
            <v>0</v>
          </cell>
          <cell r="J571">
            <v>0</v>
          </cell>
          <cell r="L571">
            <v>0</v>
          </cell>
          <cell r="M571">
            <v>1.2854999999999999</v>
          </cell>
          <cell r="N571">
            <v>361091.48662499996</v>
          </cell>
          <cell r="O571">
            <v>0.58050000000000002</v>
          </cell>
          <cell r="P571">
            <v>163059.98287500002</v>
          </cell>
          <cell r="Q571">
            <v>0.31850000000000001</v>
          </cell>
          <cell r="R571">
            <v>89465.296375000005</v>
          </cell>
          <cell r="S571">
            <v>0.63549999999999995</v>
          </cell>
          <cell r="T571">
            <v>178509.24912499997</v>
          </cell>
          <cell r="V571">
            <v>0</v>
          </cell>
          <cell r="X571">
            <v>0</v>
          </cell>
          <cell r="Z571">
            <v>0</v>
          </cell>
          <cell r="AB571">
            <v>0</v>
          </cell>
        </row>
        <row r="572">
          <cell r="A572">
            <v>28</v>
          </cell>
          <cell r="B572" t="str">
            <v>Kaca Bening 12 mm</v>
          </cell>
          <cell r="C572" t="str">
            <v>M2</v>
          </cell>
          <cell r="D572">
            <v>403787.64062499994</v>
          </cell>
          <cell r="E572">
            <v>0</v>
          </cell>
          <cell r="F572">
            <v>0</v>
          </cell>
          <cell r="G572">
            <v>0</v>
          </cell>
          <cell r="H572">
            <v>0</v>
          </cell>
          <cell r="I572">
            <v>0</v>
          </cell>
          <cell r="J572">
            <v>0</v>
          </cell>
          <cell r="L572">
            <v>0</v>
          </cell>
          <cell r="N572">
            <v>0</v>
          </cell>
          <cell r="P572">
            <v>0</v>
          </cell>
          <cell r="R572">
            <v>0</v>
          </cell>
          <cell r="T572">
            <v>0</v>
          </cell>
          <cell r="V572">
            <v>0</v>
          </cell>
          <cell r="X572">
            <v>0</v>
          </cell>
          <cell r="Z572">
            <v>0</v>
          </cell>
          <cell r="AB572">
            <v>0</v>
          </cell>
        </row>
        <row r="573">
          <cell r="A573">
            <v>29</v>
          </cell>
          <cell r="B573" t="str">
            <v>Besi hollow 4/4</v>
          </cell>
          <cell r="C573" t="str">
            <v>M'</v>
          </cell>
          <cell r="D573">
            <v>48625.000000000051</v>
          </cell>
          <cell r="E573">
            <v>0</v>
          </cell>
          <cell r="F573">
            <v>0</v>
          </cell>
          <cell r="G573">
            <v>5.09</v>
          </cell>
          <cell r="H573">
            <v>247501.25000000026</v>
          </cell>
          <cell r="I573">
            <v>5.09</v>
          </cell>
          <cell r="J573">
            <v>247501.25000000026</v>
          </cell>
          <cell r="L573">
            <v>0</v>
          </cell>
          <cell r="N573">
            <v>0</v>
          </cell>
          <cell r="P573">
            <v>0</v>
          </cell>
          <cell r="R573">
            <v>0</v>
          </cell>
          <cell r="T573">
            <v>0</v>
          </cell>
          <cell r="V573">
            <v>0</v>
          </cell>
          <cell r="X573">
            <v>0</v>
          </cell>
          <cell r="Z573">
            <v>0</v>
          </cell>
          <cell r="AB573">
            <v>0</v>
          </cell>
        </row>
        <row r="574">
          <cell r="A574">
            <v>30</v>
          </cell>
          <cell r="B574" t="str">
            <v>Besi hollow 6/6</v>
          </cell>
          <cell r="C574" t="str">
            <v>M'</v>
          </cell>
          <cell r="D574">
            <v>74462.500000000058</v>
          </cell>
          <cell r="E574">
            <v>0</v>
          </cell>
          <cell r="F574">
            <v>0</v>
          </cell>
          <cell r="G574">
            <v>5.09</v>
          </cell>
          <cell r="H574">
            <v>379014.12500000029</v>
          </cell>
          <cell r="I574">
            <v>5.09</v>
          </cell>
          <cell r="J574">
            <v>379014.12500000029</v>
          </cell>
          <cell r="L574">
            <v>0</v>
          </cell>
          <cell r="N574">
            <v>0</v>
          </cell>
          <cell r="P574">
            <v>0</v>
          </cell>
          <cell r="R574">
            <v>0</v>
          </cell>
          <cell r="T574">
            <v>0</v>
          </cell>
          <cell r="V574">
            <v>0</v>
          </cell>
          <cell r="X574">
            <v>0</v>
          </cell>
          <cell r="Z574">
            <v>0</v>
          </cell>
          <cell r="AB574">
            <v>0</v>
          </cell>
        </row>
        <row r="575">
          <cell r="A575">
            <v>31</v>
          </cell>
          <cell r="B575" t="str">
            <v>Besi hollow 2.5/5</v>
          </cell>
          <cell r="C575" t="str">
            <v>Kg</v>
          </cell>
          <cell r="D575">
            <v>74462.500000000058</v>
          </cell>
          <cell r="E575">
            <v>0</v>
          </cell>
          <cell r="F575">
            <v>0</v>
          </cell>
          <cell r="G575">
            <v>0</v>
          </cell>
          <cell r="H575">
            <v>0</v>
          </cell>
          <cell r="I575">
            <v>0</v>
          </cell>
          <cell r="J575">
            <v>0</v>
          </cell>
          <cell r="L575">
            <v>0</v>
          </cell>
          <cell r="N575">
            <v>0</v>
          </cell>
          <cell r="P575">
            <v>0</v>
          </cell>
          <cell r="R575">
            <v>0</v>
          </cell>
          <cell r="T575">
            <v>0</v>
          </cell>
          <cell r="V575">
            <v>0</v>
          </cell>
          <cell r="X575">
            <v>0</v>
          </cell>
          <cell r="Z575">
            <v>0</v>
          </cell>
          <cell r="AB575">
            <v>0</v>
          </cell>
        </row>
        <row r="576">
          <cell r="A576">
            <v>32</v>
          </cell>
          <cell r="B576" t="str">
            <v>Besi hollow 5/5</v>
          </cell>
          <cell r="C576" t="str">
            <v>Kg</v>
          </cell>
          <cell r="D576">
            <v>74462.500000000058</v>
          </cell>
          <cell r="E576">
            <v>0</v>
          </cell>
          <cell r="F576">
            <v>0</v>
          </cell>
          <cell r="G576">
            <v>0</v>
          </cell>
          <cell r="H576">
            <v>0</v>
          </cell>
          <cell r="I576">
            <v>0</v>
          </cell>
          <cell r="J576">
            <v>0</v>
          </cell>
          <cell r="L576">
            <v>0</v>
          </cell>
          <cell r="N576">
            <v>0</v>
          </cell>
          <cell r="P576">
            <v>0</v>
          </cell>
          <cell r="R576">
            <v>0</v>
          </cell>
          <cell r="T576">
            <v>0</v>
          </cell>
          <cell r="V576">
            <v>0</v>
          </cell>
          <cell r="X576">
            <v>0</v>
          </cell>
          <cell r="Z576">
            <v>0</v>
          </cell>
          <cell r="AB576">
            <v>0</v>
          </cell>
        </row>
        <row r="577">
          <cell r="A577">
            <v>33</v>
          </cell>
          <cell r="B577" t="str">
            <v>Besi hollow 2/2</v>
          </cell>
          <cell r="C577" t="str">
            <v>Kg</v>
          </cell>
          <cell r="D577">
            <v>74462.500000000058</v>
          </cell>
          <cell r="E577">
            <v>0</v>
          </cell>
          <cell r="F577">
            <v>0</v>
          </cell>
          <cell r="G577">
            <v>0</v>
          </cell>
          <cell r="H577">
            <v>0</v>
          </cell>
          <cell r="I577">
            <v>0</v>
          </cell>
          <cell r="J577">
            <v>0</v>
          </cell>
          <cell r="L577">
            <v>0</v>
          </cell>
          <cell r="N577">
            <v>0</v>
          </cell>
          <cell r="P577">
            <v>0</v>
          </cell>
          <cell r="R577">
            <v>0</v>
          </cell>
          <cell r="T577">
            <v>0</v>
          </cell>
          <cell r="V577">
            <v>0</v>
          </cell>
          <cell r="X577">
            <v>0</v>
          </cell>
          <cell r="Z577">
            <v>0</v>
          </cell>
          <cell r="AB577">
            <v>0</v>
          </cell>
        </row>
        <row r="578">
          <cell r="A578">
            <v>34</v>
          </cell>
          <cell r="B578" t="str">
            <v>Besi hollow 2/4</v>
          </cell>
          <cell r="C578" t="str">
            <v>Kg</v>
          </cell>
          <cell r="D578">
            <v>74462.500000000058</v>
          </cell>
          <cell r="E578">
            <v>0</v>
          </cell>
          <cell r="F578">
            <v>0</v>
          </cell>
          <cell r="G578">
            <v>0</v>
          </cell>
          <cell r="H578">
            <v>0</v>
          </cell>
          <cell r="I578">
            <v>0</v>
          </cell>
          <cell r="J578">
            <v>0</v>
          </cell>
          <cell r="L578">
            <v>0</v>
          </cell>
          <cell r="N578">
            <v>0</v>
          </cell>
          <cell r="P578">
            <v>0</v>
          </cell>
          <cell r="R578">
            <v>0</v>
          </cell>
          <cell r="T578">
            <v>0</v>
          </cell>
          <cell r="V578">
            <v>0</v>
          </cell>
          <cell r="X578">
            <v>0</v>
          </cell>
          <cell r="Z578">
            <v>0</v>
          </cell>
          <cell r="AB578">
            <v>0</v>
          </cell>
        </row>
        <row r="579">
          <cell r="A579">
            <v>35</v>
          </cell>
          <cell r="B579" t="str">
            <v>Kaca Tempered 12 mm</v>
          </cell>
          <cell r="C579" t="str">
            <v>M2</v>
          </cell>
          <cell r="D579">
            <v>528395.75</v>
          </cell>
          <cell r="E579">
            <v>4.3049999999999997</v>
          </cell>
          <cell r="F579">
            <v>2274743.7037499999</v>
          </cell>
          <cell r="G579">
            <v>0</v>
          </cell>
          <cell r="H579">
            <v>0</v>
          </cell>
          <cell r="I579">
            <v>0</v>
          </cell>
          <cell r="J579">
            <v>0</v>
          </cell>
          <cell r="L579">
            <v>0</v>
          </cell>
          <cell r="N579">
            <v>0</v>
          </cell>
          <cell r="P579">
            <v>0</v>
          </cell>
          <cell r="R579">
            <v>0</v>
          </cell>
          <cell r="T579">
            <v>0</v>
          </cell>
          <cell r="V579">
            <v>0</v>
          </cell>
          <cell r="X579">
            <v>0</v>
          </cell>
          <cell r="Z579">
            <v>0</v>
          </cell>
          <cell r="AB579">
            <v>0</v>
          </cell>
        </row>
        <row r="580">
          <cell r="A580">
            <v>36</v>
          </cell>
          <cell r="B580" t="str">
            <v>Glass Block</v>
          </cell>
          <cell r="C580" t="str">
            <v>Bh</v>
          </cell>
          <cell r="D580">
            <v>45000</v>
          </cell>
          <cell r="E580">
            <v>0</v>
          </cell>
          <cell r="F580">
            <v>0</v>
          </cell>
          <cell r="G580">
            <v>0</v>
          </cell>
          <cell r="H580">
            <v>0</v>
          </cell>
          <cell r="I580">
            <v>0</v>
          </cell>
          <cell r="J580">
            <v>0</v>
          </cell>
          <cell r="L580">
            <v>0</v>
          </cell>
          <cell r="N580">
            <v>0</v>
          </cell>
          <cell r="P580">
            <v>0</v>
          </cell>
          <cell r="R580">
            <v>0</v>
          </cell>
          <cell r="T580">
            <v>0</v>
          </cell>
          <cell r="V580">
            <v>0</v>
          </cell>
          <cell r="X580">
            <v>0</v>
          </cell>
          <cell r="Z580">
            <v>0</v>
          </cell>
          <cell r="AB580">
            <v>0</v>
          </cell>
        </row>
        <row r="581">
          <cell r="A581">
            <v>37</v>
          </cell>
          <cell r="B581" t="str">
            <v>Kaca Es</v>
          </cell>
          <cell r="C581" t="str">
            <v>M2</v>
          </cell>
          <cell r="D581">
            <v>66700</v>
          </cell>
          <cell r="E581">
            <v>0</v>
          </cell>
          <cell r="F581">
            <v>0</v>
          </cell>
          <cell r="G581">
            <v>0</v>
          </cell>
          <cell r="H581">
            <v>0</v>
          </cell>
          <cell r="I581">
            <v>0</v>
          </cell>
          <cell r="J581">
            <v>0</v>
          </cell>
          <cell r="K581">
            <v>0</v>
          </cell>
          <cell r="L581">
            <v>0</v>
          </cell>
          <cell r="N581">
            <v>0</v>
          </cell>
          <cell r="P581">
            <v>0</v>
          </cell>
          <cell r="R581">
            <v>0</v>
          </cell>
          <cell r="T581">
            <v>0</v>
          </cell>
          <cell r="V581">
            <v>0</v>
          </cell>
          <cell r="X581">
            <v>0</v>
          </cell>
          <cell r="Z581">
            <v>0</v>
          </cell>
          <cell r="AA581">
            <v>0.2</v>
          </cell>
          <cell r="AB581">
            <v>13340</v>
          </cell>
        </row>
        <row r="582">
          <cell r="A582">
            <v>38</v>
          </cell>
          <cell r="B582" t="str">
            <v>Krepyak Kaca Nako + Kerangka</v>
          </cell>
          <cell r="C582" t="str">
            <v>M2</v>
          </cell>
          <cell r="D582">
            <v>81300</v>
          </cell>
          <cell r="E582">
            <v>0</v>
          </cell>
          <cell r="F582">
            <v>0</v>
          </cell>
          <cell r="G582">
            <v>0</v>
          </cell>
          <cell r="H582">
            <v>0</v>
          </cell>
          <cell r="I582">
            <v>0</v>
          </cell>
          <cell r="J582">
            <v>0</v>
          </cell>
          <cell r="L582">
            <v>0</v>
          </cell>
          <cell r="N582">
            <v>0</v>
          </cell>
          <cell r="P582">
            <v>0</v>
          </cell>
          <cell r="R582">
            <v>0</v>
          </cell>
          <cell r="T582">
            <v>0</v>
          </cell>
          <cell r="V582">
            <v>0</v>
          </cell>
          <cell r="X582">
            <v>0</v>
          </cell>
          <cell r="Z582">
            <v>0</v>
          </cell>
          <cell r="AB582">
            <v>0</v>
          </cell>
        </row>
        <row r="583">
          <cell r="A583">
            <v>39</v>
          </cell>
          <cell r="B583" t="str">
            <v>Sticker Efek Kaca Es</v>
          </cell>
          <cell r="C583" t="str">
            <v>M2</v>
          </cell>
          <cell r="D583">
            <v>150000</v>
          </cell>
          <cell r="E583">
            <v>0</v>
          </cell>
          <cell r="F583">
            <v>0</v>
          </cell>
          <cell r="G583">
            <v>0</v>
          </cell>
          <cell r="H583">
            <v>0</v>
          </cell>
          <cell r="I583">
            <v>0</v>
          </cell>
          <cell r="J583">
            <v>0</v>
          </cell>
          <cell r="L583">
            <v>0</v>
          </cell>
          <cell r="N583">
            <v>0</v>
          </cell>
          <cell r="P583">
            <v>0</v>
          </cell>
          <cell r="R583">
            <v>0</v>
          </cell>
          <cell r="T583">
            <v>0</v>
          </cell>
          <cell r="V583">
            <v>0</v>
          </cell>
          <cell r="X583">
            <v>0</v>
          </cell>
          <cell r="Z583">
            <v>0</v>
          </cell>
          <cell r="AB583">
            <v>0</v>
          </cell>
        </row>
        <row r="584">
          <cell r="A584">
            <v>40</v>
          </cell>
          <cell r="B584" t="str">
            <v>Rel Pintu Dorong</v>
          </cell>
          <cell r="C584" t="str">
            <v>M'</v>
          </cell>
          <cell r="D584">
            <v>275000</v>
          </cell>
          <cell r="E584">
            <v>0</v>
          </cell>
          <cell r="F584">
            <v>0</v>
          </cell>
          <cell r="G584">
            <v>0</v>
          </cell>
          <cell r="H584">
            <v>0</v>
          </cell>
          <cell r="I584">
            <v>0</v>
          </cell>
          <cell r="J584">
            <v>0</v>
          </cell>
          <cell r="L584">
            <v>0</v>
          </cell>
          <cell r="N584">
            <v>0</v>
          </cell>
          <cell r="P584">
            <v>0</v>
          </cell>
          <cell r="R584">
            <v>0</v>
          </cell>
          <cell r="T584">
            <v>0</v>
          </cell>
          <cell r="V584">
            <v>0</v>
          </cell>
          <cell r="X584">
            <v>0</v>
          </cell>
          <cell r="Z584">
            <v>0</v>
          </cell>
          <cell r="AB584">
            <v>0</v>
          </cell>
        </row>
        <row r="585">
          <cell r="A585">
            <v>41</v>
          </cell>
          <cell r="B585" t="str">
            <v>Rolling Door</v>
          </cell>
          <cell r="C585" t="str">
            <v>M2</v>
          </cell>
          <cell r="D585">
            <v>358100</v>
          </cell>
          <cell r="E585">
            <v>0</v>
          </cell>
          <cell r="F585">
            <v>0</v>
          </cell>
          <cell r="G585">
            <v>0</v>
          </cell>
          <cell r="H585">
            <v>0</v>
          </cell>
          <cell r="I585">
            <v>0</v>
          </cell>
          <cell r="J585">
            <v>0</v>
          </cell>
          <cell r="L585">
            <v>0</v>
          </cell>
          <cell r="N585">
            <v>0</v>
          </cell>
          <cell r="P585">
            <v>0</v>
          </cell>
          <cell r="R585">
            <v>0</v>
          </cell>
          <cell r="T585">
            <v>0</v>
          </cell>
          <cell r="V585">
            <v>0</v>
          </cell>
          <cell r="X585">
            <v>0</v>
          </cell>
          <cell r="Z585">
            <v>0</v>
          </cell>
          <cell r="AB585">
            <v>0</v>
          </cell>
        </row>
        <row r="586">
          <cell r="A586">
            <v>42</v>
          </cell>
          <cell r="B586" t="str">
            <v>Roster</v>
          </cell>
          <cell r="C586" t="str">
            <v>M2</v>
          </cell>
          <cell r="D586">
            <v>133850</v>
          </cell>
          <cell r="E586">
            <v>0</v>
          </cell>
          <cell r="F586">
            <v>0</v>
          </cell>
          <cell r="G586">
            <v>0</v>
          </cell>
          <cell r="H586">
            <v>0</v>
          </cell>
          <cell r="I586">
            <v>0</v>
          </cell>
          <cell r="J586">
            <v>0</v>
          </cell>
          <cell r="L586">
            <v>0</v>
          </cell>
          <cell r="N586">
            <v>0</v>
          </cell>
          <cell r="P586">
            <v>0</v>
          </cell>
          <cell r="R586">
            <v>0</v>
          </cell>
          <cell r="T586">
            <v>0</v>
          </cell>
          <cell r="U586">
            <v>0.48</v>
          </cell>
          <cell r="V586">
            <v>64248</v>
          </cell>
          <cell r="W586">
            <v>0</v>
          </cell>
          <cell r="X586">
            <v>0</v>
          </cell>
          <cell r="Z586">
            <v>0</v>
          </cell>
          <cell r="AB586">
            <v>0</v>
          </cell>
        </row>
        <row r="587">
          <cell r="A587">
            <v>43</v>
          </cell>
          <cell r="B587" t="str">
            <v>Gipsum Board</v>
          </cell>
          <cell r="C587" t="str">
            <v>M2</v>
          </cell>
          <cell r="D587">
            <v>29000</v>
          </cell>
          <cell r="E587">
            <v>0</v>
          </cell>
          <cell r="F587">
            <v>0</v>
          </cell>
          <cell r="G587">
            <v>0</v>
          </cell>
          <cell r="H587">
            <v>0</v>
          </cell>
          <cell r="I587">
            <v>0</v>
          </cell>
          <cell r="J587">
            <v>0</v>
          </cell>
          <cell r="L587">
            <v>0</v>
          </cell>
          <cell r="N587">
            <v>0</v>
          </cell>
          <cell r="P587">
            <v>0</v>
          </cell>
          <cell r="R587">
            <v>0</v>
          </cell>
          <cell r="T587">
            <v>0</v>
          </cell>
          <cell r="V587">
            <v>0</v>
          </cell>
          <cell r="X587">
            <v>0</v>
          </cell>
          <cell r="Z587">
            <v>0</v>
          </cell>
          <cell r="AB587">
            <v>0</v>
          </cell>
        </row>
        <row r="588">
          <cell r="A588">
            <v>44</v>
          </cell>
          <cell r="B588" t="str">
            <v>List Gipsum</v>
          </cell>
          <cell r="C588" t="str">
            <v>M'</v>
          </cell>
          <cell r="D588">
            <v>17300</v>
          </cell>
          <cell r="E588">
            <v>0</v>
          </cell>
          <cell r="F588">
            <v>0</v>
          </cell>
          <cell r="G588">
            <v>0</v>
          </cell>
          <cell r="H588">
            <v>0</v>
          </cell>
          <cell r="I588">
            <v>0</v>
          </cell>
          <cell r="J588">
            <v>0</v>
          </cell>
          <cell r="L588">
            <v>0</v>
          </cell>
          <cell r="N588">
            <v>0</v>
          </cell>
          <cell r="P588">
            <v>0</v>
          </cell>
          <cell r="R588">
            <v>0</v>
          </cell>
          <cell r="T588">
            <v>0</v>
          </cell>
          <cell r="V588">
            <v>0</v>
          </cell>
          <cell r="X588">
            <v>0</v>
          </cell>
          <cell r="Z588">
            <v>0</v>
          </cell>
          <cell r="AB588">
            <v>0</v>
          </cell>
        </row>
        <row r="589">
          <cell r="A589">
            <v>45</v>
          </cell>
          <cell r="B589" t="str">
            <v>Sealent</v>
          </cell>
          <cell r="C589" t="str">
            <v>M'</v>
          </cell>
          <cell r="D589">
            <v>8400</v>
          </cell>
          <cell r="E589">
            <v>0</v>
          </cell>
          <cell r="F589">
            <v>0</v>
          </cell>
          <cell r="G589">
            <v>0</v>
          </cell>
          <cell r="H589">
            <v>0</v>
          </cell>
          <cell r="I589">
            <v>0</v>
          </cell>
          <cell r="J589">
            <v>0</v>
          </cell>
          <cell r="K589">
            <v>0</v>
          </cell>
          <cell r="L589">
            <v>0</v>
          </cell>
          <cell r="M589">
            <v>15</v>
          </cell>
          <cell r="N589">
            <v>126000</v>
          </cell>
          <cell r="O589">
            <v>7.12</v>
          </cell>
          <cell r="P589">
            <v>59808</v>
          </cell>
          <cell r="Q589">
            <v>5.04</v>
          </cell>
          <cell r="R589">
            <v>42336</v>
          </cell>
          <cell r="S589">
            <v>9.44</v>
          </cell>
          <cell r="T589">
            <v>79296</v>
          </cell>
          <cell r="V589">
            <v>0</v>
          </cell>
          <cell r="X589">
            <v>0</v>
          </cell>
          <cell r="Y589">
            <v>7.52</v>
          </cell>
          <cell r="Z589">
            <v>63168</v>
          </cell>
          <cell r="AA589">
            <v>3.2</v>
          </cell>
          <cell r="AB589">
            <v>26880</v>
          </cell>
        </row>
        <row r="590">
          <cell r="A590">
            <v>46</v>
          </cell>
          <cell r="B590" t="str">
            <v>Benangan Kusen</v>
          </cell>
          <cell r="C590" t="str">
            <v>M'</v>
          </cell>
          <cell r="D590">
            <v>4296.0074999999997</v>
          </cell>
          <cell r="E590">
            <v>6.1999999999999993</v>
          </cell>
          <cell r="F590">
            <v>26635.246499999994</v>
          </cell>
          <cell r="G590">
            <v>5.5990000000000002</v>
          </cell>
          <cell r="H590">
            <v>24053.345992499999</v>
          </cell>
          <cell r="I590">
            <v>5.5990000000000002</v>
          </cell>
          <cell r="J590">
            <v>24053.345992499999</v>
          </cell>
          <cell r="K590">
            <v>5.5990000000000002</v>
          </cell>
          <cell r="L590">
            <v>24053.345992499999</v>
          </cell>
          <cell r="M590">
            <v>13.6</v>
          </cell>
          <cell r="N590">
            <v>58425.701999999997</v>
          </cell>
          <cell r="O590">
            <v>9.120000000000001</v>
          </cell>
          <cell r="P590">
            <v>39179.588400000001</v>
          </cell>
          <cell r="Q590">
            <v>7.0399999999999991</v>
          </cell>
          <cell r="R590">
            <v>30243.892799999994</v>
          </cell>
          <cell r="S590">
            <v>10.199999999999999</v>
          </cell>
          <cell r="T590">
            <v>43819.276499999993</v>
          </cell>
          <cell r="U590">
            <v>6.4</v>
          </cell>
          <cell r="V590">
            <v>27494.448</v>
          </cell>
          <cell r="W590">
            <v>30.599999999999998</v>
          </cell>
          <cell r="X590">
            <v>131457.82949999999</v>
          </cell>
          <cell r="Y590">
            <v>7.52</v>
          </cell>
          <cell r="Z590">
            <v>32305.976399999996</v>
          </cell>
          <cell r="AA590">
            <v>4</v>
          </cell>
          <cell r="AB590">
            <v>106540.98599999998</v>
          </cell>
        </row>
        <row r="591">
          <cell r="A591">
            <v>47</v>
          </cell>
          <cell r="B591" t="str">
            <v xml:space="preserve">Cat Kayu </v>
          </cell>
          <cell r="C591" t="str">
            <v>M2</v>
          </cell>
          <cell r="D591">
            <v>19370.5</v>
          </cell>
          <cell r="E591">
            <v>0</v>
          </cell>
          <cell r="F591">
            <v>0</v>
          </cell>
          <cell r="G591">
            <v>0</v>
          </cell>
          <cell r="H591">
            <v>0</v>
          </cell>
          <cell r="I591">
            <v>0</v>
          </cell>
          <cell r="J591">
            <v>0</v>
          </cell>
          <cell r="K591">
            <v>0</v>
          </cell>
          <cell r="L591">
            <v>0</v>
          </cell>
          <cell r="N591">
            <v>0</v>
          </cell>
          <cell r="P591">
            <v>0</v>
          </cell>
          <cell r="R591">
            <v>0</v>
          </cell>
          <cell r="T591">
            <v>0</v>
          </cell>
          <cell r="V591">
            <v>0</v>
          </cell>
          <cell r="X591">
            <v>0</v>
          </cell>
          <cell r="Z591">
            <v>0</v>
          </cell>
          <cell r="AB591">
            <v>0</v>
          </cell>
        </row>
        <row r="592">
          <cell r="A592">
            <v>48</v>
          </cell>
          <cell r="B592" t="str">
            <v>Cat Besi</v>
          </cell>
          <cell r="C592" t="str">
            <v>M2</v>
          </cell>
          <cell r="D592">
            <v>13698</v>
          </cell>
          <cell r="E592">
            <v>0</v>
          </cell>
          <cell r="F592">
            <v>0</v>
          </cell>
          <cell r="G592">
            <v>5.6445590696960588</v>
          </cell>
          <cell r="H592">
            <v>77319.170136696615</v>
          </cell>
          <cell r="I592">
            <v>5.6445590696960588</v>
          </cell>
          <cell r="J592">
            <v>77319.170136696615</v>
          </cell>
          <cell r="L592">
            <v>0</v>
          </cell>
          <cell r="N592">
            <v>0</v>
          </cell>
          <cell r="P592">
            <v>0</v>
          </cell>
          <cell r="R592">
            <v>0</v>
          </cell>
          <cell r="T592">
            <v>0</v>
          </cell>
          <cell r="V592">
            <v>0</v>
          </cell>
          <cell r="X592">
            <v>0</v>
          </cell>
          <cell r="Z592">
            <v>0</v>
          </cell>
          <cell r="AB592">
            <v>0</v>
          </cell>
        </row>
        <row r="593">
          <cell r="A593">
            <v>49</v>
          </cell>
          <cell r="B593" t="str">
            <v>Cat Dinding</v>
          </cell>
          <cell r="C593" t="str">
            <v>M2</v>
          </cell>
          <cell r="D593">
            <v>9900</v>
          </cell>
          <cell r="E593">
            <v>0</v>
          </cell>
          <cell r="F593">
            <v>0</v>
          </cell>
          <cell r="G593">
            <v>0</v>
          </cell>
          <cell r="H593">
            <v>0</v>
          </cell>
          <cell r="I593">
            <v>0</v>
          </cell>
          <cell r="J593">
            <v>0</v>
          </cell>
          <cell r="L593">
            <v>0</v>
          </cell>
          <cell r="N593">
            <v>0</v>
          </cell>
          <cell r="P593">
            <v>0</v>
          </cell>
          <cell r="R593">
            <v>0</v>
          </cell>
          <cell r="T593">
            <v>0</v>
          </cell>
          <cell r="U593">
            <v>0.96</v>
          </cell>
          <cell r="V593">
            <v>9504</v>
          </cell>
          <cell r="W593">
            <v>0</v>
          </cell>
          <cell r="X593">
            <v>0</v>
          </cell>
          <cell r="Z593">
            <v>0</v>
          </cell>
          <cell r="AB593">
            <v>0</v>
          </cell>
        </row>
        <row r="594">
          <cell r="A594">
            <v>50</v>
          </cell>
          <cell r="B594" t="str">
            <v>Plesteran Camprot</v>
          </cell>
          <cell r="C594" t="str">
            <v>M2</v>
          </cell>
          <cell r="D594">
            <v>14600</v>
          </cell>
          <cell r="E594">
            <v>0</v>
          </cell>
          <cell r="F594">
            <v>0</v>
          </cell>
          <cell r="G594">
            <v>0</v>
          </cell>
          <cell r="H594">
            <v>0</v>
          </cell>
          <cell r="I594">
            <v>0</v>
          </cell>
          <cell r="J594">
            <v>0</v>
          </cell>
          <cell r="L594">
            <v>0</v>
          </cell>
          <cell r="N594">
            <v>0</v>
          </cell>
          <cell r="P594">
            <v>0</v>
          </cell>
          <cell r="R594">
            <v>0</v>
          </cell>
          <cell r="T594">
            <v>0</v>
          </cell>
          <cell r="X594">
            <v>0</v>
          </cell>
          <cell r="Z594">
            <v>0</v>
          </cell>
          <cell r="AB594">
            <v>0</v>
          </cell>
        </row>
        <row r="595">
          <cell r="AB595">
            <v>0</v>
          </cell>
        </row>
        <row r="596">
          <cell r="B596" t="str">
            <v>Jumlah Harga</v>
          </cell>
          <cell r="F596">
            <v>3776944.5502499999</v>
          </cell>
          <cell r="H596">
            <v>1760337.7291291971</v>
          </cell>
          <cell r="J596">
            <v>1760337.7291291971</v>
          </cell>
          <cell r="L596">
            <v>192618.34599249999</v>
          </cell>
          <cell r="N596">
            <v>1193800.8686249999</v>
          </cell>
          <cell r="P596">
            <v>857139.57127499999</v>
          </cell>
          <cell r="R596">
            <v>647182.94917500007</v>
          </cell>
          <cell r="T596">
            <v>301624.52562499995</v>
          </cell>
          <cell r="V596">
            <v>101246.448</v>
          </cell>
          <cell r="X596">
            <v>131457.82949999999</v>
          </cell>
          <cell r="Z596">
            <v>105078.7764</v>
          </cell>
          <cell r="AB596">
            <v>146760.98599999998</v>
          </cell>
        </row>
        <row r="597">
          <cell r="Z597">
            <v>105078.7764</v>
          </cell>
        </row>
        <row r="598">
          <cell r="AB598">
            <v>146760.98599999998</v>
          </cell>
        </row>
        <row r="599">
          <cell r="V599">
            <v>95200</v>
          </cell>
        </row>
        <row r="600">
          <cell r="A600" t="str">
            <v>No.</v>
          </cell>
          <cell r="B600" t="str">
            <v>Item Pekerjaan</v>
          </cell>
          <cell r="C600" t="str">
            <v>Satuan</v>
          </cell>
          <cell r="D600" t="str">
            <v>Harga Satuan</v>
          </cell>
          <cell r="E600" t="str">
            <v>P1</v>
          </cell>
          <cell r="G600" t="str">
            <v>P2</v>
          </cell>
          <cell r="I600" t="str">
            <v>J1</v>
          </cell>
          <cell r="K600" t="str">
            <v>J2</v>
          </cell>
          <cell r="M600" t="str">
            <v>J2'</v>
          </cell>
          <cell r="O600" t="str">
            <v>S1</v>
          </cell>
          <cell r="Q600" t="str">
            <v>Pintu Gebang</v>
          </cell>
        </row>
        <row r="601">
          <cell r="D601" t="str">
            <v>Rp.</v>
          </cell>
          <cell r="E601" t="str">
            <v>Vol.</v>
          </cell>
          <cell r="F601" t="str">
            <v>Jumlah Harga</v>
          </cell>
          <cell r="G601" t="str">
            <v>Vol.</v>
          </cell>
          <cell r="H601" t="str">
            <v>Jumlah Harga</v>
          </cell>
          <cell r="I601" t="str">
            <v>Vol.</v>
          </cell>
          <cell r="J601" t="str">
            <v>Jumlah Harga</v>
          </cell>
          <cell r="K601" t="str">
            <v>Vol.</v>
          </cell>
          <cell r="L601" t="str">
            <v>Jumlah Harga</v>
          </cell>
          <cell r="M601" t="str">
            <v>Vol.</v>
          </cell>
          <cell r="N601" t="str">
            <v>Jumlah Harga</v>
          </cell>
          <cell r="O601" t="str">
            <v>Vol.</v>
          </cell>
          <cell r="P601" t="str">
            <v>Jumlah Harga</v>
          </cell>
          <cell r="Q601" t="str">
            <v>Vol.</v>
          </cell>
          <cell r="R601" t="str">
            <v>Jumlah Harga</v>
          </cell>
        </row>
        <row r="602">
          <cell r="A602" t="str">
            <v>IX.</v>
          </cell>
          <cell r="B602" t="str">
            <v>UNIT GERBANG POS</v>
          </cell>
          <cell r="D602" t="str">
            <v>Rp.</v>
          </cell>
          <cell r="E602" t="str">
            <v>Vol.</v>
          </cell>
          <cell r="F602" t="str">
            <v>Jumlah Harga</v>
          </cell>
          <cell r="G602" t="str">
            <v>Vol.</v>
          </cell>
          <cell r="H602" t="str">
            <v>Jumlah Harga</v>
          </cell>
          <cell r="I602" t="str">
            <v>Vol.</v>
          </cell>
          <cell r="J602" t="str">
            <v>Jumlah Harga</v>
          </cell>
          <cell r="K602" t="str">
            <v>Vol.</v>
          </cell>
          <cell r="L602" t="str">
            <v>Jumlah Harga</v>
          </cell>
          <cell r="M602" t="str">
            <v>Vol.</v>
          </cell>
          <cell r="N602" t="str">
            <v>Jumlah Harga</v>
          </cell>
          <cell r="O602" t="str">
            <v>Vol.</v>
          </cell>
          <cell r="P602" t="str">
            <v>Jumlah Harga</v>
          </cell>
          <cell r="Q602" t="str">
            <v>Vol.</v>
          </cell>
          <cell r="R602" t="str">
            <v>Jumlah Harga</v>
          </cell>
        </row>
        <row r="603">
          <cell r="A603" t="str">
            <v>IX.</v>
          </cell>
          <cell r="B603" t="str">
            <v>UNIT GERBANG POS</v>
          </cell>
        </row>
        <row r="604">
          <cell r="A604">
            <v>1</v>
          </cell>
          <cell r="B604" t="str">
            <v>Kayu 6/12</v>
          </cell>
          <cell r="C604" t="str">
            <v>M3</v>
          </cell>
          <cell r="D604">
            <v>0</v>
          </cell>
          <cell r="E604">
            <v>1.2500000000000001E-2</v>
          </cell>
          <cell r="F604">
            <v>0</v>
          </cell>
          <cell r="G604">
            <v>3.6144000000000003E-2</v>
          </cell>
          <cell r="H604">
            <v>0</v>
          </cell>
          <cell r="J604">
            <v>0</v>
          </cell>
          <cell r="K604">
            <v>0</v>
          </cell>
          <cell r="L604">
            <v>0</v>
          </cell>
          <cell r="N604">
            <v>0</v>
          </cell>
          <cell r="P604">
            <v>0</v>
          </cell>
          <cell r="R604">
            <v>0</v>
          </cell>
        </row>
        <row r="605">
          <cell r="A605">
            <v>2</v>
          </cell>
          <cell r="B605" t="str">
            <v>Kayu Slimar 3/10</v>
          </cell>
          <cell r="C605" t="str">
            <v>M3</v>
          </cell>
          <cell r="D605">
            <v>0</v>
          </cell>
          <cell r="E605">
            <v>3.0000000000000005E-3</v>
          </cell>
          <cell r="F605">
            <v>0</v>
          </cell>
          <cell r="G605">
            <v>1.4159999999999999E-2</v>
          </cell>
          <cell r="H605">
            <v>0</v>
          </cell>
          <cell r="J605">
            <v>0</v>
          </cell>
          <cell r="K605">
            <v>0</v>
          </cell>
          <cell r="L605">
            <v>0</v>
          </cell>
          <cell r="N605">
            <v>0</v>
          </cell>
          <cell r="P605">
            <v>0</v>
          </cell>
          <cell r="R605">
            <v>0</v>
          </cell>
        </row>
        <row r="606">
          <cell r="A606">
            <v>3</v>
          </cell>
          <cell r="B606" t="str">
            <v>Kayu Slimar 3/15</v>
          </cell>
          <cell r="C606" t="str">
            <v>M3</v>
          </cell>
          <cell r="D606">
            <v>0</v>
          </cell>
          <cell r="E606">
            <v>2.2000000000000002</v>
          </cell>
          <cell r="F606">
            <v>0</v>
          </cell>
          <cell r="G606">
            <v>2.6999999999999997E-3</v>
          </cell>
          <cell r="H606">
            <v>0</v>
          </cell>
          <cell r="J606">
            <v>0</v>
          </cell>
          <cell r="K606">
            <v>0</v>
          </cell>
          <cell r="L606">
            <v>0</v>
          </cell>
          <cell r="N606">
            <v>0</v>
          </cell>
          <cell r="P606">
            <v>0</v>
          </cell>
          <cell r="R606">
            <v>0</v>
          </cell>
        </row>
        <row r="607">
          <cell r="A607">
            <v>4</v>
          </cell>
          <cell r="B607" t="str">
            <v>Kayu Slimar 3/20</v>
          </cell>
          <cell r="C607" t="str">
            <v>M3</v>
          </cell>
          <cell r="D607">
            <v>0</v>
          </cell>
          <cell r="E607">
            <v>3</v>
          </cell>
          <cell r="F607">
            <v>0</v>
          </cell>
          <cell r="G607">
            <v>3.5999999999999999E-3</v>
          </cell>
          <cell r="H607">
            <v>0</v>
          </cell>
          <cell r="J607">
            <v>0</v>
          </cell>
          <cell r="K607">
            <v>0</v>
          </cell>
          <cell r="L607">
            <v>0</v>
          </cell>
          <cell r="N607">
            <v>0</v>
          </cell>
          <cell r="P607">
            <v>0</v>
          </cell>
          <cell r="R607">
            <v>0</v>
          </cell>
        </row>
        <row r="608">
          <cell r="A608">
            <v>5</v>
          </cell>
          <cell r="B608" t="str">
            <v>Kayu 2/10</v>
          </cell>
          <cell r="C608" t="str">
            <v>M3</v>
          </cell>
          <cell r="D608">
            <v>0</v>
          </cell>
          <cell r="E608">
            <v>9.3999999999999986</v>
          </cell>
          <cell r="F608">
            <v>0</v>
          </cell>
          <cell r="G608">
            <v>5.4000000000000012E-3</v>
          </cell>
          <cell r="H608">
            <v>0</v>
          </cell>
          <cell r="J608">
            <v>0</v>
          </cell>
          <cell r="L608">
            <v>0</v>
          </cell>
          <cell r="N608">
            <v>0</v>
          </cell>
          <cell r="P608">
            <v>0</v>
          </cell>
          <cell r="R608">
            <v>0</v>
          </cell>
        </row>
        <row r="609">
          <cell r="A609">
            <v>6</v>
          </cell>
          <cell r="B609" t="str">
            <v>Panil t = 3 cm</v>
          </cell>
          <cell r="C609" t="str">
            <v>M2</v>
          </cell>
          <cell r="D609">
            <v>0</v>
          </cell>
          <cell r="F609">
            <v>0</v>
          </cell>
          <cell r="G609">
            <v>0.49500000000000005</v>
          </cell>
          <cell r="H609">
            <v>0</v>
          </cell>
          <cell r="J609">
            <v>0</v>
          </cell>
          <cell r="L609">
            <v>0</v>
          </cell>
          <cell r="N609">
            <v>0</v>
          </cell>
          <cell r="P609">
            <v>0</v>
          </cell>
          <cell r="R609">
            <v>0</v>
          </cell>
        </row>
        <row r="610">
          <cell r="A610">
            <v>1</v>
          </cell>
          <cell r="B610" t="str">
            <v>Kusen Aluminium 5/10</v>
          </cell>
          <cell r="C610" t="str">
            <v>M'</v>
          </cell>
          <cell r="D610">
            <v>124948</v>
          </cell>
          <cell r="F610">
            <v>0</v>
          </cell>
          <cell r="G610">
            <v>5</v>
          </cell>
          <cell r="H610">
            <v>624740</v>
          </cell>
          <cell r="J610">
            <v>0</v>
          </cell>
          <cell r="L610">
            <v>0</v>
          </cell>
          <cell r="N610">
            <v>0</v>
          </cell>
          <cell r="P610">
            <v>0</v>
          </cell>
          <cell r="R610">
            <v>0</v>
          </cell>
        </row>
        <row r="611">
          <cell r="A611">
            <v>2</v>
          </cell>
          <cell r="B611" t="str">
            <v xml:space="preserve">Rangka Daun Jendela Alumunium </v>
          </cell>
          <cell r="C611" t="str">
            <v>M'</v>
          </cell>
          <cell r="D611">
            <v>124948</v>
          </cell>
          <cell r="F611">
            <v>0</v>
          </cell>
          <cell r="G611">
            <v>0</v>
          </cell>
          <cell r="H611">
            <v>0</v>
          </cell>
          <cell r="J611">
            <v>0</v>
          </cell>
          <cell r="L611">
            <v>0</v>
          </cell>
          <cell r="N611">
            <v>0</v>
          </cell>
          <cell r="P611">
            <v>0</v>
          </cell>
          <cell r="R611">
            <v>0</v>
          </cell>
        </row>
        <row r="612">
          <cell r="A612">
            <v>3</v>
          </cell>
          <cell r="B612" t="str">
            <v>Rangka Tiang Sirip Alumunium 1/1 Putih</v>
          </cell>
          <cell r="C612" t="str">
            <v>M'</v>
          </cell>
          <cell r="D612">
            <v>62474</v>
          </cell>
          <cell r="F612">
            <v>0</v>
          </cell>
          <cell r="G612">
            <v>0</v>
          </cell>
          <cell r="H612">
            <v>0</v>
          </cell>
          <cell r="J612">
            <v>0</v>
          </cell>
          <cell r="L612">
            <v>0</v>
          </cell>
          <cell r="N612">
            <v>0</v>
          </cell>
          <cell r="O612">
            <v>12.799999999999999</v>
          </cell>
          <cell r="P612">
            <v>799667.19999999995</v>
          </cell>
          <cell r="Q612">
            <v>12.799999999999999</v>
          </cell>
          <cell r="R612">
            <v>799667.19999999995</v>
          </cell>
        </row>
        <row r="613">
          <cell r="A613">
            <v>4</v>
          </cell>
          <cell r="B613" t="str">
            <v>Pasang Shading Sirip Alumunium 0.2/10 +Rangka</v>
          </cell>
          <cell r="C613" t="str">
            <v>M2</v>
          </cell>
          <cell r="D613">
            <v>0</v>
          </cell>
          <cell r="F613">
            <v>0</v>
          </cell>
          <cell r="G613">
            <v>0</v>
          </cell>
          <cell r="H613">
            <v>0</v>
          </cell>
          <cell r="J613">
            <v>0</v>
          </cell>
          <cell r="K613">
            <v>0</v>
          </cell>
          <cell r="L613">
            <v>0</v>
          </cell>
          <cell r="N613">
            <v>0</v>
          </cell>
          <cell r="O613">
            <v>0.87</v>
          </cell>
          <cell r="P613">
            <v>0</v>
          </cell>
          <cell r="Q613">
            <v>0.87</v>
          </cell>
          <cell r="R613">
            <v>0</v>
          </cell>
        </row>
        <row r="614">
          <cell r="A614">
            <v>5</v>
          </cell>
          <cell r="B614" t="str">
            <v>Daun Pintu Panil Kamper</v>
          </cell>
          <cell r="C614" t="str">
            <v>bh</v>
          </cell>
          <cell r="D614">
            <v>550000</v>
          </cell>
          <cell r="E614">
            <v>2.1599999999999998E-2</v>
          </cell>
          <cell r="F614">
            <v>11879.999999999998</v>
          </cell>
          <cell r="G614">
            <v>1.2</v>
          </cell>
          <cell r="H614">
            <v>660000</v>
          </cell>
          <cell r="J614">
            <v>0</v>
          </cell>
          <cell r="L614">
            <v>0</v>
          </cell>
          <cell r="N614">
            <v>0</v>
          </cell>
          <cell r="P614">
            <v>0</v>
          </cell>
          <cell r="R614">
            <v>0</v>
          </cell>
        </row>
        <row r="615">
          <cell r="A615">
            <v>6</v>
          </cell>
          <cell r="B615" t="str">
            <v>Plat besi t = 2 mm</v>
          </cell>
          <cell r="C615" t="str">
            <v>Kg</v>
          </cell>
          <cell r="D615">
            <v>0</v>
          </cell>
          <cell r="F615">
            <v>0</v>
          </cell>
          <cell r="G615">
            <v>0</v>
          </cell>
          <cell r="H615">
            <v>0</v>
          </cell>
          <cell r="J615">
            <v>0</v>
          </cell>
          <cell r="L615">
            <v>0</v>
          </cell>
          <cell r="N615">
            <v>0</v>
          </cell>
          <cell r="P615">
            <v>0</v>
          </cell>
          <cell r="R615">
            <v>0</v>
          </cell>
        </row>
        <row r="616">
          <cell r="A616">
            <v>7</v>
          </cell>
          <cell r="B616" t="str">
            <v>C 40.40.2  (pesan khusus)</v>
          </cell>
          <cell r="C616" t="str">
            <v>Kg</v>
          </cell>
          <cell r="D616">
            <v>14122.3</v>
          </cell>
          <cell r="F616">
            <v>0</v>
          </cell>
          <cell r="G616">
            <v>0</v>
          </cell>
          <cell r="H616">
            <v>0</v>
          </cell>
          <cell r="J616">
            <v>0</v>
          </cell>
          <cell r="L616">
            <v>0</v>
          </cell>
          <cell r="N616">
            <v>0</v>
          </cell>
          <cell r="P616">
            <v>0</v>
          </cell>
          <cell r="R616">
            <v>0</v>
          </cell>
        </row>
        <row r="617">
          <cell r="A617">
            <v>8</v>
          </cell>
          <cell r="B617" t="str">
            <v>Handle besi dia 16 mm</v>
          </cell>
          <cell r="C617" t="str">
            <v>Set</v>
          </cell>
          <cell r="D617">
            <v>129652.5</v>
          </cell>
          <cell r="F617">
            <v>0</v>
          </cell>
          <cell r="G617">
            <v>0</v>
          </cell>
          <cell r="H617">
            <v>0</v>
          </cell>
          <cell r="J617">
            <v>0</v>
          </cell>
          <cell r="L617">
            <v>0</v>
          </cell>
          <cell r="N617">
            <v>0</v>
          </cell>
          <cell r="P617">
            <v>0</v>
          </cell>
          <cell r="R617">
            <v>0</v>
          </cell>
        </row>
        <row r="618">
          <cell r="A618">
            <v>9</v>
          </cell>
          <cell r="B618" t="str">
            <v>Hendle pintu Stainless</v>
          </cell>
          <cell r="C618" t="str">
            <v>Set</v>
          </cell>
          <cell r="D618">
            <v>261652.5</v>
          </cell>
          <cell r="F618">
            <v>0</v>
          </cell>
          <cell r="G618">
            <v>0</v>
          </cell>
          <cell r="H618">
            <v>0</v>
          </cell>
          <cell r="J618">
            <v>0</v>
          </cell>
          <cell r="L618">
            <v>0</v>
          </cell>
          <cell r="N618">
            <v>0</v>
          </cell>
          <cell r="P618">
            <v>0</v>
          </cell>
          <cell r="R618">
            <v>0</v>
          </cell>
        </row>
        <row r="619">
          <cell r="A619">
            <v>10</v>
          </cell>
          <cell r="B619" t="str">
            <v>Kunci Pintu Handle stainleess (dorma)</v>
          </cell>
          <cell r="C619" t="str">
            <v>Set</v>
          </cell>
          <cell r="D619">
            <v>650000</v>
          </cell>
          <cell r="F619">
            <v>0</v>
          </cell>
          <cell r="G619">
            <v>0</v>
          </cell>
          <cell r="H619">
            <v>0</v>
          </cell>
          <cell r="J619">
            <v>0</v>
          </cell>
          <cell r="L619">
            <v>0</v>
          </cell>
          <cell r="N619">
            <v>0</v>
          </cell>
          <cell r="P619">
            <v>0</v>
          </cell>
          <cell r="R619">
            <v>0</v>
          </cell>
        </row>
        <row r="620">
          <cell r="A620">
            <v>11</v>
          </cell>
          <cell r="B620" t="str">
            <v>Kunci tanam Antik</v>
          </cell>
          <cell r="C620" t="str">
            <v>Set</v>
          </cell>
          <cell r="D620">
            <v>265000</v>
          </cell>
          <cell r="F620">
            <v>0</v>
          </cell>
          <cell r="G620">
            <v>0</v>
          </cell>
          <cell r="H620">
            <v>0</v>
          </cell>
          <cell r="J620">
            <v>0</v>
          </cell>
          <cell r="K620">
            <v>0</v>
          </cell>
          <cell r="L620">
            <v>0</v>
          </cell>
          <cell r="N620">
            <v>0</v>
          </cell>
          <cell r="P620">
            <v>0</v>
          </cell>
          <cell r="Q620">
            <v>1</v>
          </cell>
          <cell r="R620">
            <v>265000</v>
          </cell>
        </row>
        <row r="621">
          <cell r="A621">
            <v>12</v>
          </cell>
          <cell r="B621" t="str">
            <v>Kunci tanam biasa</v>
          </cell>
          <cell r="C621" t="str">
            <v>Set</v>
          </cell>
          <cell r="D621">
            <v>168565</v>
          </cell>
          <cell r="F621">
            <v>0</v>
          </cell>
          <cell r="G621">
            <v>1</v>
          </cell>
          <cell r="H621">
            <v>168565</v>
          </cell>
          <cell r="J621">
            <v>0</v>
          </cell>
          <cell r="K621">
            <v>0</v>
          </cell>
          <cell r="L621">
            <v>0</v>
          </cell>
          <cell r="N621">
            <v>0</v>
          </cell>
          <cell r="P621">
            <v>0</v>
          </cell>
          <cell r="R621">
            <v>0</v>
          </cell>
        </row>
        <row r="622">
          <cell r="A622">
            <v>13</v>
          </cell>
          <cell r="B622" t="str">
            <v>Kunci Silinder</v>
          </cell>
          <cell r="C622" t="str">
            <v>Set</v>
          </cell>
          <cell r="D622">
            <v>217900</v>
          </cell>
          <cell r="F622">
            <v>0</v>
          </cell>
          <cell r="G622">
            <v>0</v>
          </cell>
          <cell r="H622">
            <v>0</v>
          </cell>
          <cell r="J622">
            <v>0</v>
          </cell>
          <cell r="K622">
            <v>0</v>
          </cell>
          <cell r="L622">
            <v>0</v>
          </cell>
          <cell r="N622">
            <v>0</v>
          </cell>
          <cell r="P622">
            <v>0</v>
          </cell>
          <cell r="R622">
            <v>0</v>
          </cell>
        </row>
        <row r="623">
          <cell r="A623">
            <v>14</v>
          </cell>
          <cell r="B623" t="str">
            <v>Kunci Selot</v>
          </cell>
          <cell r="C623" t="str">
            <v>Set</v>
          </cell>
          <cell r="D623">
            <v>48300</v>
          </cell>
          <cell r="E623">
            <v>1</v>
          </cell>
          <cell r="F623">
            <v>48300</v>
          </cell>
          <cell r="G623">
            <v>0</v>
          </cell>
          <cell r="H623">
            <v>0</v>
          </cell>
          <cell r="J623">
            <v>0</v>
          </cell>
          <cell r="L623">
            <v>0</v>
          </cell>
          <cell r="N623">
            <v>0</v>
          </cell>
          <cell r="P623">
            <v>0</v>
          </cell>
          <cell r="R623">
            <v>0</v>
          </cell>
        </row>
        <row r="624">
          <cell r="A624">
            <v>15</v>
          </cell>
          <cell r="B624" t="str">
            <v>Engsel jendela</v>
          </cell>
          <cell r="C624" t="str">
            <v>Bh</v>
          </cell>
          <cell r="D624">
            <v>16600</v>
          </cell>
          <cell r="E624">
            <v>2</v>
          </cell>
          <cell r="F624">
            <v>33200</v>
          </cell>
          <cell r="G624">
            <v>0</v>
          </cell>
          <cell r="H624">
            <v>0</v>
          </cell>
          <cell r="J624">
            <v>0</v>
          </cell>
          <cell r="K624">
            <v>0</v>
          </cell>
          <cell r="L624">
            <v>0</v>
          </cell>
          <cell r="N624">
            <v>0</v>
          </cell>
          <cell r="P624">
            <v>0</v>
          </cell>
          <cell r="R624">
            <v>0</v>
          </cell>
        </row>
        <row r="625">
          <cell r="A625">
            <v>16</v>
          </cell>
          <cell r="B625" t="str">
            <v>Engsel pintu</v>
          </cell>
          <cell r="C625" t="str">
            <v>Bh</v>
          </cell>
          <cell r="D625">
            <v>44395.75</v>
          </cell>
          <cell r="E625">
            <v>2</v>
          </cell>
          <cell r="F625">
            <v>88791.5</v>
          </cell>
          <cell r="G625">
            <v>3</v>
          </cell>
          <cell r="H625">
            <v>133187.25</v>
          </cell>
          <cell r="J625">
            <v>0</v>
          </cell>
          <cell r="L625">
            <v>0</v>
          </cell>
          <cell r="N625">
            <v>0</v>
          </cell>
          <cell r="P625">
            <v>0</v>
          </cell>
          <cell r="R625">
            <v>0</v>
          </cell>
        </row>
        <row r="626">
          <cell r="A626">
            <v>17</v>
          </cell>
          <cell r="B626" t="str">
            <v>Engsel Pintu dari pipa besi dia 2 cm</v>
          </cell>
          <cell r="C626" t="str">
            <v>Bh</v>
          </cell>
          <cell r="D626">
            <v>66593.625</v>
          </cell>
          <cell r="F626">
            <v>0</v>
          </cell>
          <cell r="G626">
            <v>0</v>
          </cell>
          <cell r="H626">
            <v>0</v>
          </cell>
          <cell r="J626">
            <v>0</v>
          </cell>
          <cell r="L626">
            <v>0</v>
          </cell>
          <cell r="N626">
            <v>0</v>
          </cell>
          <cell r="P626">
            <v>0</v>
          </cell>
          <cell r="R626">
            <v>0</v>
          </cell>
        </row>
        <row r="627">
          <cell r="A627">
            <v>18</v>
          </cell>
          <cell r="B627" t="str">
            <v>Kait/hak angin</v>
          </cell>
          <cell r="C627" t="str">
            <v>Set</v>
          </cell>
          <cell r="D627">
            <v>27000</v>
          </cell>
          <cell r="E627">
            <v>2</v>
          </cell>
          <cell r="F627">
            <v>54000</v>
          </cell>
          <cell r="G627">
            <v>0</v>
          </cell>
          <cell r="H627">
            <v>0</v>
          </cell>
          <cell r="J627">
            <v>0</v>
          </cell>
          <cell r="L627">
            <v>0</v>
          </cell>
          <cell r="N627">
            <v>0</v>
          </cell>
          <cell r="P627">
            <v>0</v>
          </cell>
          <cell r="R627">
            <v>0</v>
          </cell>
        </row>
        <row r="628">
          <cell r="A628">
            <v>19</v>
          </cell>
          <cell r="B628" t="str">
            <v>Grendel pintu kuningan</v>
          </cell>
          <cell r="C628" t="str">
            <v>Bh</v>
          </cell>
          <cell r="D628">
            <v>125000</v>
          </cell>
          <cell r="F628">
            <v>0</v>
          </cell>
          <cell r="G628">
            <v>0</v>
          </cell>
          <cell r="H628">
            <v>0</v>
          </cell>
          <cell r="J628">
            <v>0</v>
          </cell>
          <cell r="L628">
            <v>0</v>
          </cell>
          <cell r="N628">
            <v>0</v>
          </cell>
          <cell r="P628">
            <v>0</v>
          </cell>
          <cell r="R628">
            <v>0</v>
          </cell>
        </row>
        <row r="629">
          <cell r="A629">
            <v>20</v>
          </cell>
          <cell r="B629" t="str">
            <v xml:space="preserve">Grendel jendela </v>
          </cell>
          <cell r="C629" t="str">
            <v>Bh</v>
          </cell>
          <cell r="D629">
            <v>8100</v>
          </cell>
          <cell r="F629">
            <v>0</v>
          </cell>
          <cell r="G629">
            <v>0</v>
          </cell>
          <cell r="H629">
            <v>0</v>
          </cell>
          <cell r="J629">
            <v>0</v>
          </cell>
          <cell r="K629">
            <v>0</v>
          </cell>
          <cell r="L629">
            <v>0</v>
          </cell>
          <cell r="N629">
            <v>0</v>
          </cell>
          <cell r="P629">
            <v>0</v>
          </cell>
          <cell r="R629">
            <v>0</v>
          </cell>
        </row>
        <row r="630">
          <cell r="A630">
            <v>21</v>
          </cell>
          <cell r="B630" t="str">
            <v>Grendel pintu</v>
          </cell>
          <cell r="C630" t="str">
            <v>Bh</v>
          </cell>
          <cell r="D630">
            <v>14200</v>
          </cell>
          <cell r="E630">
            <v>1</v>
          </cell>
          <cell r="F630">
            <v>14200</v>
          </cell>
          <cell r="G630">
            <v>0</v>
          </cell>
          <cell r="H630">
            <v>0</v>
          </cell>
          <cell r="J630">
            <v>0</v>
          </cell>
          <cell r="L630">
            <v>0</v>
          </cell>
          <cell r="N630">
            <v>0</v>
          </cell>
          <cell r="P630">
            <v>0</v>
          </cell>
          <cell r="R630">
            <v>0</v>
          </cell>
        </row>
        <row r="631">
          <cell r="A631">
            <v>22</v>
          </cell>
          <cell r="B631" t="str">
            <v>Stripting Knip</v>
          </cell>
          <cell r="C631" t="str">
            <v>Set</v>
          </cell>
          <cell r="D631">
            <v>13700</v>
          </cell>
          <cell r="F631">
            <v>0</v>
          </cell>
          <cell r="G631">
            <v>0</v>
          </cell>
          <cell r="H631">
            <v>0</v>
          </cell>
          <cell r="J631">
            <v>0</v>
          </cell>
          <cell r="K631">
            <v>0</v>
          </cell>
          <cell r="L631">
            <v>0</v>
          </cell>
          <cell r="N631">
            <v>0</v>
          </cell>
          <cell r="P631">
            <v>0</v>
          </cell>
          <cell r="R631">
            <v>0</v>
          </cell>
        </row>
        <row r="632">
          <cell r="A632">
            <v>23</v>
          </cell>
          <cell r="B632" t="str">
            <v>Door Closer</v>
          </cell>
          <cell r="C632" t="str">
            <v>Set</v>
          </cell>
          <cell r="D632">
            <v>260800</v>
          </cell>
          <cell r="E632">
            <v>1</v>
          </cell>
          <cell r="F632">
            <v>260800</v>
          </cell>
          <cell r="G632">
            <v>0</v>
          </cell>
          <cell r="H632">
            <v>0</v>
          </cell>
          <cell r="J632">
            <v>0</v>
          </cell>
          <cell r="L632">
            <v>0</v>
          </cell>
          <cell r="N632">
            <v>0</v>
          </cell>
          <cell r="P632">
            <v>0</v>
          </cell>
          <cell r="R632">
            <v>0</v>
          </cell>
        </row>
        <row r="633">
          <cell r="A633">
            <v>24</v>
          </cell>
          <cell r="B633" t="str">
            <v>Door Holder</v>
          </cell>
          <cell r="C633" t="str">
            <v>Set</v>
          </cell>
          <cell r="D633">
            <v>500000</v>
          </cell>
          <cell r="F633">
            <v>0</v>
          </cell>
          <cell r="G633">
            <v>0</v>
          </cell>
          <cell r="H633">
            <v>0</v>
          </cell>
          <cell r="J633">
            <v>0</v>
          </cell>
          <cell r="K633">
            <v>0</v>
          </cell>
          <cell r="L633">
            <v>0</v>
          </cell>
          <cell r="N633">
            <v>0</v>
          </cell>
          <cell r="P633">
            <v>0</v>
          </cell>
          <cell r="R633">
            <v>0</v>
          </cell>
        </row>
        <row r="634">
          <cell r="A634">
            <v>25</v>
          </cell>
          <cell r="B634" t="str">
            <v>Door Stop</v>
          </cell>
          <cell r="C634" t="str">
            <v>Set</v>
          </cell>
          <cell r="D634">
            <v>32100</v>
          </cell>
          <cell r="E634">
            <v>1</v>
          </cell>
          <cell r="F634">
            <v>32100</v>
          </cell>
          <cell r="G634">
            <v>0</v>
          </cell>
          <cell r="H634">
            <v>0</v>
          </cell>
          <cell r="J634">
            <v>0</v>
          </cell>
          <cell r="L634">
            <v>0</v>
          </cell>
          <cell r="N634">
            <v>0</v>
          </cell>
          <cell r="O634">
            <v>0</v>
          </cell>
          <cell r="P634">
            <v>0</v>
          </cell>
          <cell r="Q634">
            <v>0</v>
          </cell>
          <cell r="R634">
            <v>0</v>
          </cell>
        </row>
        <row r="635">
          <cell r="A635">
            <v>26</v>
          </cell>
          <cell r="B635" t="str">
            <v>Kaca bening 5 mm</v>
          </cell>
          <cell r="C635" t="str">
            <v>M2</v>
          </cell>
          <cell r="D635">
            <v>66700</v>
          </cell>
          <cell r="E635">
            <v>5.0399999999999993E-2</v>
          </cell>
          <cell r="F635">
            <v>3361.6799999999994</v>
          </cell>
          <cell r="G635">
            <v>0</v>
          </cell>
          <cell r="H635">
            <v>0</v>
          </cell>
          <cell r="J635">
            <v>0</v>
          </cell>
          <cell r="L635">
            <v>0</v>
          </cell>
          <cell r="N635">
            <v>0</v>
          </cell>
          <cell r="P635">
            <v>0</v>
          </cell>
          <cell r="R635">
            <v>0</v>
          </cell>
        </row>
        <row r="636">
          <cell r="A636">
            <v>27</v>
          </cell>
          <cell r="B636" t="str">
            <v>Kaca bening 10 mm</v>
          </cell>
          <cell r="C636" t="str">
            <v>M2</v>
          </cell>
          <cell r="D636">
            <v>280895.75</v>
          </cell>
          <cell r="F636">
            <v>0</v>
          </cell>
          <cell r="G636">
            <v>0</v>
          </cell>
          <cell r="H636">
            <v>0</v>
          </cell>
          <cell r="I636">
            <v>0</v>
          </cell>
          <cell r="J636">
            <v>0</v>
          </cell>
          <cell r="K636">
            <v>0.89999999999999991</v>
          </cell>
          <cell r="L636">
            <v>252806.17499999999</v>
          </cell>
          <cell r="M636">
            <v>0.89999999999999991</v>
          </cell>
          <cell r="N636">
            <v>252806.17499999999</v>
          </cell>
          <cell r="P636">
            <v>0</v>
          </cell>
          <cell r="R636">
            <v>0</v>
          </cell>
        </row>
        <row r="637">
          <cell r="A637">
            <v>28</v>
          </cell>
          <cell r="B637" t="str">
            <v>Kaca Bening 12 mm</v>
          </cell>
          <cell r="C637" t="str">
            <v>M2</v>
          </cell>
          <cell r="D637">
            <v>403787.64062499994</v>
          </cell>
          <cell r="F637">
            <v>0</v>
          </cell>
          <cell r="G637">
            <v>0</v>
          </cell>
          <cell r="H637">
            <v>0</v>
          </cell>
          <cell r="I637">
            <v>1.3</v>
          </cell>
          <cell r="J637">
            <v>524923.93281249993</v>
          </cell>
          <cell r="L637">
            <v>0</v>
          </cell>
          <cell r="N637">
            <v>0</v>
          </cell>
          <cell r="P637">
            <v>0</v>
          </cell>
          <cell r="R637">
            <v>0</v>
          </cell>
        </row>
        <row r="638">
          <cell r="A638">
            <v>29</v>
          </cell>
          <cell r="B638" t="str">
            <v>Besi hollow 4/4</v>
          </cell>
          <cell r="C638" t="str">
            <v>M'</v>
          </cell>
          <cell r="D638">
            <v>48625.000000000051</v>
          </cell>
          <cell r="F638">
            <v>0</v>
          </cell>
          <cell r="G638">
            <v>0</v>
          </cell>
          <cell r="H638">
            <v>0</v>
          </cell>
          <cell r="J638">
            <v>0</v>
          </cell>
          <cell r="L638">
            <v>0</v>
          </cell>
          <cell r="N638">
            <v>0</v>
          </cell>
          <cell r="P638">
            <v>0</v>
          </cell>
          <cell r="R638">
            <v>0</v>
          </cell>
        </row>
        <row r="639">
          <cell r="A639">
            <v>30</v>
          </cell>
          <cell r="B639" t="str">
            <v>Besi hollow 6/6</v>
          </cell>
          <cell r="C639" t="str">
            <v>M'</v>
          </cell>
          <cell r="D639">
            <v>74462.500000000058</v>
          </cell>
          <cell r="F639">
            <v>0</v>
          </cell>
          <cell r="G639">
            <v>0</v>
          </cell>
          <cell r="H639">
            <v>0</v>
          </cell>
          <cell r="J639">
            <v>0</v>
          </cell>
          <cell r="L639">
            <v>0</v>
          </cell>
          <cell r="N639">
            <v>0</v>
          </cell>
          <cell r="P639">
            <v>0</v>
          </cell>
          <cell r="R639">
            <v>0</v>
          </cell>
        </row>
        <row r="640">
          <cell r="A640">
            <v>31</v>
          </cell>
          <cell r="B640" t="str">
            <v>Besi hollow 2.5/5</v>
          </cell>
          <cell r="C640" t="str">
            <v>Kg</v>
          </cell>
          <cell r="D640">
            <v>74462.500000000058</v>
          </cell>
          <cell r="F640">
            <v>0</v>
          </cell>
          <cell r="G640">
            <v>0</v>
          </cell>
          <cell r="H640">
            <v>0</v>
          </cell>
          <cell r="J640">
            <v>0</v>
          </cell>
          <cell r="L640">
            <v>0</v>
          </cell>
          <cell r="N640">
            <v>0</v>
          </cell>
          <cell r="P640">
            <v>0</v>
          </cell>
          <cell r="R640">
            <v>0</v>
          </cell>
        </row>
        <row r="641">
          <cell r="A641">
            <v>32</v>
          </cell>
          <cell r="B641" t="str">
            <v>Besi hollow 5/5</v>
          </cell>
          <cell r="C641" t="str">
            <v>Kg</v>
          </cell>
          <cell r="D641">
            <v>74462.500000000058</v>
          </cell>
          <cell r="F641">
            <v>0</v>
          </cell>
          <cell r="G641">
            <v>0</v>
          </cell>
          <cell r="H641">
            <v>0</v>
          </cell>
          <cell r="J641">
            <v>0</v>
          </cell>
          <cell r="L641">
            <v>0</v>
          </cell>
          <cell r="N641">
            <v>0</v>
          </cell>
          <cell r="P641">
            <v>0</v>
          </cell>
          <cell r="R641">
            <v>0</v>
          </cell>
        </row>
        <row r="642">
          <cell r="A642">
            <v>33</v>
          </cell>
          <cell r="B642" t="str">
            <v>Besi hollow 2/2</v>
          </cell>
          <cell r="C642" t="str">
            <v>Kg</v>
          </cell>
          <cell r="D642">
            <v>74462.500000000058</v>
          </cell>
          <cell r="F642">
            <v>0</v>
          </cell>
          <cell r="G642">
            <v>0</v>
          </cell>
          <cell r="H642">
            <v>0</v>
          </cell>
          <cell r="J642">
            <v>0</v>
          </cell>
          <cell r="L642">
            <v>0</v>
          </cell>
          <cell r="N642">
            <v>0</v>
          </cell>
          <cell r="P642">
            <v>0</v>
          </cell>
          <cell r="R642">
            <v>0</v>
          </cell>
        </row>
        <row r="643">
          <cell r="A643">
            <v>34</v>
          </cell>
          <cell r="B643" t="str">
            <v>Besi hollow 2/4</v>
          </cell>
          <cell r="C643" t="str">
            <v>Kg</v>
          </cell>
          <cell r="D643">
            <v>74462.500000000058</v>
          </cell>
          <cell r="F643">
            <v>0</v>
          </cell>
          <cell r="G643">
            <v>0</v>
          </cell>
          <cell r="H643">
            <v>0</v>
          </cell>
          <cell r="J643">
            <v>0</v>
          </cell>
          <cell r="L643">
            <v>0</v>
          </cell>
          <cell r="N643">
            <v>0</v>
          </cell>
          <cell r="P643">
            <v>0</v>
          </cell>
          <cell r="R643">
            <v>0</v>
          </cell>
        </row>
        <row r="644">
          <cell r="A644">
            <v>35</v>
          </cell>
          <cell r="B644" t="str">
            <v>Kaca Tempered 12 mm</v>
          </cell>
          <cell r="C644" t="str">
            <v>M2</v>
          </cell>
          <cell r="D644">
            <v>528395.75</v>
          </cell>
          <cell r="F644">
            <v>0</v>
          </cell>
          <cell r="G644">
            <v>0</v>
          </cell>
          <cell r="H644">
            <v>0</v>
          </cell>
          <cell r="J644">
            <v>0</v>
          </cell>
          <cell r="L644">
            <v>0</v>
          </cell>
          <cell r="N644">
            <v>0</v>
          </cell>
          <cell r="P644">
            <v>0</v>
          </cell>
          <cell r="R644">
            <v>0</v>
          </cell>
        </row>
        <row r="645">
          <cell r="A645">
            <v>36</v>
          </cell>
          <cell r="B645" t="str">
            <v>Glass Block</v>
          </cell>
          <cell r="C645" t="str">
            <v>Bh</v>
          </cell>
          <cell r="D645">
            <v>45000</v>
          </cell>
          <cell r="F645">
            <v>0</v>
          </cell>
          <cell r="G645">
            <v>0</v>
          </cell>
          <cell r="H645">
            <v>0</v>
          </cell>
          <cell r="J645">
            <v>0</v>
          </cell>
          <cell r="K645">
            <v>0</v>
          </cell>
          <cell r="L645">
            <v>0</v>
          </cell>
          <cell r="N645">
            <v>0</v>
          </cell>
          <cell r="P645">
            <v>0</v>
          </cell>
          <cell r="R645">
            <v>0</v>
          </cell>
        </row>
        <row r="646">
          <cell r="A646">
            <v>37</v>
          </cell>
          <cell r="B646" t="str">
            <v>Kaca Es</v>
          </cell>
          <cell r="C646" t="str">
            <v>M2</v>
          </cell>
          <cell r="D646">
            <v>66700</v>
          </cell>
          <cell r="F646">
            <v>0</v>
          </cell>
          <cell r="G646">
            <v>0</v>
          </cell>
          <cell r="H646">
            <v>0</v>
          </cell>
          <cell r="J646">
            <v>0</v>
          </cell>
          <cell r="L646">
            <v>0</v>
          </cell>
          <cell r="N646">
            <v>0</v>
          </cell>
          <cell r="P646">
            <v>0</v>
          </cell>
          <cell r="R646">
            <v>0</v>
          </cell>
        </row>
        <row r="647">
          <cell r="A647">
            <v>38</v>
          </cell>
          <cell r="B647" t="str">
            <v>Krepyak Kaca Nako + Kerangka</v>
          </cell>
          <cell r="C647" t="str">
            <v>M2</v>
          </cell>
          <cell r="D647">
            <v>81300</v>
          </cell>
          <cell r="F647">
            <v>0</v>
          </cell>
          <cell r="G647">
            <v>0</v>
          </cell>
          <cell r="H647">
            <v>0</v>
          </cell>
          <cell r="J647">
            <v>0</v>
          </cell>
          <cell r="L647">
            <v>0</v>
          </cell>
          <cell r="N647">
            <v>0</v>
          </cell>
          <cell r="P647">
            <v>0</v>
          </cell>
          <cell r="R647">
            <v>0</v>
          </cell>
        </row>
        <row r="648">
          <cell r="A648">
            <v>39</v>
          </cell>
          <cell r="B648" t="str">
            <v>Sticker Efek Kaca Es</v>
          </cell>
          <cell r="C648" t="str">
            <v>M2</v>
          </cell>
          <cell r="D648">
            <v>150000</v>
          </cell>
          <cell r="F648">
            <v>0</v>
          </cell>
          <cell r="G648">
            <v>0</v>
          </cell>
          <cell r="H648">
            <v>0</v>
          </cell>
          <cell r="J648">
            <v>0</v>
          </cell>
          <cell r="L648">
            <v>0</v>
          </cell>
          <cell r="N648">
            <v>0</v>
          </cell>
          <cell r="P648">
            <v>0</v>
          </cell>
          <cell r="R648">
            <v>0</v>
          </cell>
        </row>
        <row r="649">
          <cell r="A649">
            <v>40</v>
          </cell>
          <cell r="B649" t="str">
            <v>Rel Pintu Dorong</v>
          </cell>
          <cell r="C649" t="str">
            <v>M'</v>
          </cell>
          <cell r="D649">
            <v>275000</v>
          </cell>
          <cell r="F649">
            <v>0</v>
          </cell>
          <cell r="G649">
            <v>0</v>
          </cell>
          <cell r="H649">
            <v>0</v>
          </cell>
          <cell r="J649">
            <v>0</v>
          </cell>
          <cell r="L649">
            <v>0</v>
          </cell>
          <cell r="N649">
            <v>0</v>
          </cell>
          <cell r="P649">
            <v>0</v>
          </cell>
          <cell r="Q649">
            <v>7.36</v>
          </cell>
          <cell r="R649">
            <v>2024000</v>
          </cell>
        </row>
        <row r="650">
          <cell r="A650">
            <v>41</v>
          </cell>
          <cell r="B650" t="str">
            <v>Rolling Door</v>
          </cell>
          <cell r="C650" t="str">
            <v>M2</v>
          </cell>
          <cell r="D650">
            <v>358100</v>
          </cell>
          <cell r="F650">
            <v>0</v>
          </cell>
          <cell r="G650">
            <v>0</v>
          </cell>
          <cell r="H650">
            <v>0</v>
          </cell>
          <cell r="J650">
            <v>0</v>
          </cell>
          <cell r="L650">
            <v>0</v>
          </cell>
          <cell r="N650">
            <v>0</v>
          </cell>
          <cell r="P650">
            <v>0</v>
          </cell>
          <cell r="R650">
            <v>0</v>
          </cell>
        </row>
        <row r="651">
          <cell r="A651">
            <v>42</v>
          </cell>
          <cell r="B651" t="str">
            <v>Roster</v>
          </cell>
          <cell r="C651" t="str">
            <v>M2</v>
          </cell>
          <cell r="D651">
            <v>133850</v>
          </cell>
          <cell r="F651">
            <v>0</v>
          </cell>
          <cell r="G651">
            <v>0</v>
          </cell>
          <cell r="H651">
            <v>0</v>
          </cell>
          <cell r="J651">
            <v>0</v>
          </cell>
          <cell r="L651">
            <v>0</v>
          </cell>
          <cell r="N651">
            <v>0</v>
          </cell>
          <cell r="P651">
            <v>0</v>
          </cell>
          <cell r="R651">
            <v>0</v>
          </cell>
        </row>
        <row r="652">
          <cell r="A652">
            <v>43</v>
          </cell>
          <cell r="B652" t="str">
            <v>Gipsum Board</v>
          </cell>
          <cell r="C652" t="str">
            <v>M2</v>
          </cell>
          <cell r="D652">
            <v>29000</v>
          </cell>
          <cell r="F652">
            <v>0</v>
          </cell>
          <cell r="G652">
            <v>0</v>
          </cell>
          <cell r="H652">
            <v>0</v>
          </cell>
          <cell r="J652">
            <v>0</v>
          </cell>
          <cell r="L652">
            <v>0</v>
          </cell>
          <cell r="N652">
            <v>0</v>
          </cell>
          <cell r="P652">
            <v>0</v>
          </cell>
          <cell r="R652">
            <v>0</v>
          </cell>
        </row>
        <row r="653">
          <cell r="A653">
            <v>44</v>
          </cell>
          <cell r="B653" t="str">
            <v>List Gipsum</v>
          </cell>
          <cell r="C653" t="str">
            <v>M'</v>
          </cell>
          <cell r="D653">
            <v>17300</v>
          </cell>
          <cell r="F653">
            <v>0</v>
          </cell>
          <cell r="G653">
            <v>0</v>
          </cell>
          <cell r="H653">
            <v>0</v>
          </cell>
          <cell r="J653">
            <v>0</v>
          </cell>
          <cell r="K653">
            <v>0</v>
          </cell>
          <cell r="L653">
            <v>0</v>
          </cell>
          <cell r="N653">
            <v>0</v>
          </cell>
          <cell r="P653">
            <v>0</v>
          </cell>
          <cell r="R653">
            <v>0</v>
          </cell>
        </row>
        <row r="654">
          <cell r="A654">
            <v>45</v>
          </cell>
          <cell r="B654" t="str">
            <v>Sealent</v>
          </cell>
          <cell r="C654" t="str">
            <v>M'</v>
          </cell>
          <cell r="D654">
            <v>8400</v>
          </cell>
          <cell r="E654">
            <v>4.32</v>
          </cell>
          <cell r="F654">
            <v>36288</v>
          </cell>
          <cell r="G654">
            <v>0</v>
          </cell>
          <cell r="H654">
            <v>0</v>
          </cell>
          <cell r="I654">
            <v>10.6</v>
          </cell>
          <cell r="J654">
            <v>89040</v>
          </cell>
          <cell r="K654">
            <v>8.4</v>
          </cell>
          <cell r="L654">
            <v>70560</v>
          </cell>
          <cell r="M654">
            <v>8.4</v>
          </cell>
          <cell r="N654">
            <v>70560</v>
          </cell>
          <cell r="P654">
            <v>0</v>
          </cell>
          <cell r="R654">
            <v>0</v>
          </cell>
        </row>
        <row r="655">
          <cell r="A655">
            <v>46</v>
          </cell>
          <cell r="B655" t="str">
            <v>Benangan Kusen</v>
          </cell>
          <cell r="C655" t="str">
            <v>M'</v>
          </cell>
          <cell r="D655">
            <v>4296.0074999999997</v>
          </cell>
          <cell r="E655">
            <v>11.7</v>
          </cell>
          <cell r="F655">
            <v>50263.287749999996</v>
          </cell>
          <cell r="G655">
            <v>5.7839999999999998</v>
          </cell>
          <cell r="H655">
            <v>24848.107379999998</v>
          </cell>
          <cell r="I655">
            <v>21.2</v>
          </cell>
          <cell r="J655">
            <v>91075.358999999997</v>
          </cell>
          <cell r="K655">
            <v>16.8</v>
          </cell>
          <cell r="L655">
            <v>72172.925999999992</v>
          </cell>
          <cell r="M655">
            <v>16.8</v>
          </cell>
          <cell r="N655">
            <v>72172.925999999992</v>
          </cell>
          <cell r="P655">
            <v>0</v>
          </cell>
          <cell r="R655">
            <v>0</v>
          </cell>
        </row>
        <row r="656">
          <cell r="A656">
            <v>47</v>
          </cell>
          <cell r="B656" t="str">
            <v xml:space="preserve">Cat Kayu </v>
          </cell>
          <cell r="C656" t="str">
            <v>M2</v>
          </cell>
          <cell r="D656">
            <v>19370.5</v>
          </cell>
          <cell r="E656">
            <v>3</v>
          </cell>
          <cell r="F656">
            <v>58111.5</v>
          </cell>
          <cell r="G656">
            <v>4.0991999999999997</v>
          </cell>
          <cell r="H656">
            <v>79403.553599999999</v>
          </cell>
          <cell r="J656">
            <v>0</v>
          </cell>
          <cell r="L656">
            <v>0</v>
          </cell>
          <cell r="N656">
            <v>0</v>
          </cell>
          <cell r="P656">
            <v>0</v>
          </cell>
          <cell r="R656">
            <v>0</v>
          </cell>
        </row>
        <row r="657">
          <cell r="A657">
            <v>48</v>
          </cell>
          <cell r="B657" t="str">
            <v>Cat Besi</v>
          </cell>
          <cell r="C657" t="str">
            <v>M2</v>
          </cell>
          <cell r="D657">
            <v>13698</v>
          </cell>
          <cell r="F657">
            <v>0</v>
          </cell>
          <cell r="G657">
            <v>0</v>
          </cell>
          <cell r="H657">
            <v>0</v>
          </cell>
          <cell r="J657">
            <v>0</v>
          </cell>
          <cell r="L657">
            <v>0</v>
          </cell>
          <cell r="N657">
            <v>0</v>
          </cell>
          <cell r="O657">
            <v>5.12</v>
          </cell>
          <cell r="P657">
            <v>70133.759999999995</v>
          </cell>
          <cell r="Q657">
            <v>5.12</v>
          </cell>
          <cell r="R657">
            <v>70133.759999999995</v>
          </cell>
        </row>
        <row r="658">
          <cell r="A658">
            <v>49</v>
          </cell>
          <cell r="B658" t="str">
            <v>Cat Dinding</v>
          </cell>
          <cell r="C658" t="str">
            <v>M2</v>
          </cell>
          <cell r="D658">
            <v>9900</v>
          </cell>
          <cell r="F658">
            <v>0</v>
          </cell>
          <cell r="G658">
            <v>0</v>
          </cell>
          <cell r="H658">
            <v>0</v>
          </cell>
          <cell r="J658">
            <v>0</v>
          </cell>
          <cell r="L658">
            <v>0</v>
          </cell>
          <cell r="N658">
            <v>0</v>
          </cell>
          <cell r="P658">
            <v>0</v>
          </cell>
          <cell r="R658">
            <v>0</v>
          </cell>
        </row>
        <row r="659">
          <cell r="A659">
            <v>50</v>
          </cell>
          <cell r="B659" t="str">
            <v>Rel Jendela Geser</v>
          </cell>
          <cell r="C659" t="str">
            <v>M'</v>
          </cell>
          <cell r="D659">
            <v>275000</v>
          </cell>
          <cell r="F659">
            <v>0</v>
          </cell>
          <cell r="J659">
            <v>0</v>
          </cell>
          <cell r="L659">
            <v>0</v>
          </cell>
          <cell r="N659">
            <v>0</v>
          </cell>
          <cell r="P659">
            <v>0</v>
          </cell>
          <cell r="R659">
            <v>0</v>
          </cell>
        </row>
        <row r="660">
          <cell r="R660">
            <v>0</v>
          </cell>
        </row>
        <row r="661">
          <cell r="B661" t="str">
            <v>Jumlah Harga</v>
          </cell>
          <cell r="F661">
            <v>691295.96775000007</v>
          </cell>
          <cell r="H661">
            <v>1690743.9109799999</v>
          </cell>
          <cell r="J661">
            <v>705039.29181249999</v>
          </cell>
          <cell r="L661">
            <v>395539.10099999997</v>
          </cell>
          <cell r="N661">
            <v>395539.10099999997</v>
          </cell>
          <cell r="P661">
            <v>869800.95999999996</v>
          </cell>
          <cell r="R661">
            <v>3158800.96</v>
          </cell>
        </row>
        <row r="663">
          <cell r="P663">
            <v>869800.95999999996</v>
          </cell>
        </row>
        <row r="664">
          <cell r="R664">
            <v>3158800.96</v>
          </cell>
        </row>
        <row r="665">
          <cell r="A665" t="str">
            <v>No.</v>
          </cell>
          <cell r="B665" t="str">
            <v>Item Pekerjaan</v>
          </cell>
          <cell r="C665" t="str">
            <v>Satuan</v>
          </cell>
          <cell r="D665" t="str">
            <v>Harga Satuan</v>
          </cell>
          <cell r="E665" t="str">
            <v>P1</v>
          </cell>
          <cell r="G665" t="str">
            <v>P2</v>
          </cell>
          <cell r="I665" t="str">
            <v>P2'</v>
          </cell>
          <cell r="K665" t="str">
            <v>P3</v>
          </cell>
          <cell r="M665" t="str">
            <v>P3'</v>
          </cell>
          <cell r="O665" t="str">
            <v>P4</v>
          </cell>
          <cell r="Q665" t="str">
            <v>J1</v>
          </cell>
          <cell r="S665" t="str">
            <v>J2</v>
          </cell>
          <cell r="U665" t="str">
            <v>J3</v>
          </cell>
          <cell r="W665" t="str">
            <v>BV1</v>
          </cell>
          <cell r="Y665" t="str">
            <v>BV2</v>
          </cell>
          <cell r="AA665" t="str">
            <v>ROLLING DOOR</v>
          </cell>
        </row>
        <row r="666">
          <cell r="D666" t="str">
            <v>Rp.</v>
          </cell>
          <cell r="E666" t="str">
            <v>Vol.</v>
          </cell>
          <cell r="F666" t="str">
            <v>Jumlah Harga</v>
          </cell>
          <cell r="G666" t="str">
            <v>Vol.</v>
          </cell>
          <cell r="H666" t="str">
            <v>Jumlah Harga</v>
          </cell>
          <cell r="I666" t="str">
            <v>Vol.</v>
          </cell>
          <cell r="J666" t="str">
            <v>Jumlah Harga</v>
          </cell>
          <cell r="K666" t="str">
            <v>Vol.</v>
          </cell>
          <cell r="L666" t="str">
            <v>Jumlah Harga</v>
          </cell>
          <cell r="M666" t="str">
            <v>Vol.</v>
          </cell>
          <cell r="N666" t="str">
            <v>Jumlah Harga</v>
          </cell>
          <cell r="O666" t="str">
            <v>Vol.</v>
          </cell>
          <cell r="P666" t="str">
            <v>Jumlah Harga</v>
          </cell>
          <cell r="Q666" t="str">
            <v>Vol.</v>
          </cell>
          <cell r="R666" t="str">
            <v>Jumlah Harga</v>
          </cell>
          <cell r="S666" t="str">
            <v>Vol.</v>
          </cell>
          <cell r="T666" t="str">
            <v>Jumlah Harga</v>
          </cell>
          <cell r="U666" t="str">
            <v>Vol.</v>
          </cell>
          <cell r="V666" t="str">
            <v>Jumlah Harga</v>
          </cell>
          <cell r="W666" t="str">
            <v>Vol.</v>
          </cell>
          <cell r="X666" t="str">
            <v>Jumlah Harga</v>
          </cell>
          <cell r="Y666" t="str">
            <v>Vol.</v>
          </cell>
          <cell r="Z666" t="str">
            <v>Jumlah Harga</v>
          </cell>
          <cell r="AA666" t="str">
            <v>Vol.</v>
          </cell>
          <cell r="AB666" t="str">
            <v>Jumlah Harga</v>
          </cell>
        </row>
        <row r="667">
          <cell r="A667" t="str">
            <v>X.</v>
          </cell>
          <cell r="B667" t="str">
            <v>UNIT KOLAM RENANG</v>
          </cell>
          <cell r="D667" t="str">
            <v>Rp.</v>
          </cell>
          <cell r="E667" t="str">
            <v>Vol.</v>
          </cell>
          <cell r="F667" t="str">
            <v>Jumlah Harga</v>
          </cell>
          <cell r="G667" t="str">
            <v>Vol.</v>
          </cell>
          <cell r="H667" t="str">
            <v>Jumlah Harga</v>
          </cell>
          <cell r="I667" t="str">
            <v>Vol.</v>
          </cell>
          <cell r="J667" t="str">
            <v>Jumlah Harga</v>
          </cell>
          <cell r="K667" t="str">
            <v>Vol.</v>
          </cell>
          <cell r="L667" t="str">
            <v>Jumlah Harga</v>
          </cell>
          <cell r="M667" t="str">
            <v>Vol.</v>
          </cell>
          <cell r="N667" t="str">
            <v>Jumlah Harga</v>
          </cell>
          <cell r="O667" t="str">
            <v>Vol.</v>
          </cell>
          <cell r="P667" t="str">
            <v>Jumlah Harga</v>
          </cell>
          <cell r="Q667" t="str">
            <v>Vol.</v>
          </cell>
          <cell r="R667" t="str">
            <v>Jumlah Harga</v>
          </cell>
          <cell r="S667" t="str">
            <v>Vol.</v>
          </cell>
          <cell r="T667" t="str">
            <v>Jumlah Harga</v>
          </cell>
          <cell r="U667" t="str">
            <v>Vol.</v>
          </cell>
          <cell r="V667" t="str">
            <v>Jumlah Harga</v>
          </cell>
          <cell r="W667" t="str">
            <v>Vol.</v>
          </cell>
          <cell r="X667" t="str">
            <v>Jumlah Harga</v>
          </cell>
          <cell r="Y667" t="str">
            <v>Vol.</v>
          </cell>
          <cell r="Z667" t="str">
            <v>Jumlah Harga</v>
          </cell>
          <cell r="AA667" t="str">
            <v>Vol.</v>
          </cell>
          <cell r="AB667" t="str">
            <v>Jumlah Harga</v>
          </cell>
        </row>
        <row r="668">
          <cell r="A668" t="str">
            <v>X.</v>
          </cell>
          <cell r="B668" t="str">
            <v>UNIT KOLAM RENANG</v>
          </cell>
        </row>
        <row r="669">
          <cell r="A669">
            <v>1</v>
          </cell>
          <cell r="B669" t="str">
            <v>Kayu 6/12</v>
          </cell>
          <cell r="C669" t="str">
            <v>M3</v>
          </cell>
          <cell r="D669">
            <v>0</v>
          </cell>
          <cell r="E669">
            <v>2.3120000000000002E-2</v>
          </cell>
          <cell r="F669">
            <v>0</v>
          </cell>
          <cell r="G669">
            <v>0</v>
          </cell>
          <cell r="H669">
            <v>0</v>
          </cell>
          <cell r="I669">
            <v>0</v>
          </cell>
          <cell r="J669">
            <v>0</v>
          </cell>
          <cell r="K669">
            <v>3.6144000000000003E-2</v>
          </cell>
          <cell r="L669">
            <v>0</v>
          </cell>
          <cell r="M669">
            <v>3.6144000000000003E-2</v>
          </cell>
          <cell r="N669">
            <v>0</v>
          </cell>
          <cell r="O669">
            <v>0</v>
          </cell>
          <cell r="P669">
            <v>0</v>
          </cell>
          <cell r="R669">
            <v>0</v>
          </cell>
          <cell r="T669">
            <v>0</v>
          </cell>
          <cell r="U669">
            <v>0</v>
          </cell>
          <cell r="V669">
            <v>0</v>
          </cell>
          <cell r="X669">
            <v>0</v>
          </cell>
          <cell r="Z669">
            <v>0</v>
          </cell>
          <cell r="AB669">
            <v>0</v>
          </cell>
        </row>
        <row r="670">
          <cell r="A670">
            <v>2</v>
          </cell>
          <cell r="B670" t="str">
            <v>Kayu Slimar 3/10</v>
          </cell>
          <cell r="C670" t="str">
            <v>M3</v>
          </cell>
          <cell r="D670">
            <v>0</v>
          </cell>
          <cell r="E670">
            <v>6.4000000000000012E-3</v>
          </cell>
          <cell r="F670">
            <v>0</v>
          </cell>
          <cell r="G670">
            <v>0</v>
          </cell>
          <cell r="H670">
            <v>0</v>
          </cell>
          <cell r="I670">
            <v>0</v>
          </cell>
          <cell r="J670">
            <v>0</v>
          </cell>
          <cell r="K670">
            <v>1.4159999999999999E-2</v>
          </cell>
          <cell r="L670">
            <v>0</v>
          </cell>
          <cell r="M670">
            <v>1.4159999999999999E-2</v>
          </cell>
          <cell r="N670">
            <v>0</v>
          </cell>
          <cell r="O670">
            <v>0</v>
          </cell>
          <cell r="P670">
            <v>0</v>
          </cell>
          <cell r="R670">
            <v>0</v>
          </cell>
          <cell r="T670">
            <v>0</v>
          </cell>
          <cell r="U670">
            <v>0</v>
          </cell>
          <cell r="V670">
            <v>0</v>
          </cell>
          <cell r="X670">
            <v>0</v>
          </cell>
          <cell r="Z670">
            <v>0</v>
          </cell>
          <cell r="AB670">
            <v>0</v>
          </cell>
        </row>
        <row r="671">
          <cell r="A671">
            <v>3</v>
          </cell>
          <cell r="B671" t="str">
            <v>Kayu Slimar 3/15</v>
          </cell>
          <cell r="C671" t="str">
            <v>M3</v>
          </cell>
          <cell r="D671">
            <v>0</v>
          </cell>
          <cell r="E671">
            <v>14.399999999999999</v>
          </cell>
          <cell r="F671">
            <v>0</v>
          </cell>
          <cell r="G671">
            <v>0</v>
          </cell>
          <cell r="H671">
            <v>0</v>
          </cell>
          <cell r="I671">
            <v>0</v>
          </cell>
          <cell r="J671">
            <v>0</v>
          </cell>
          <cell r="K671">
            <v>2.6999999999999997E-3</v>
          </cell>
          <cell r="L671">
            <v>0</v>
          </cell>
          <cell r="M671">
            <v>2.6999999999999997E-3</v>
          </cell>
          <cell r="N671">
            <v>0</v>
          </cell>
          <cell r="O671">
            <v>0</v>
          </cell>
          <cell r="P671">
            <v>0</v>
          </cell>
          <cell r="R671">
            <v>0</v>
          </cell>
          <cell r="T671">
            <v>0</v>
          </cell>
          <cell r="U671">
            <v>0</v>
          </cell>
          <cell r="V671">
            <v>0</v>
          </cell>
          <cell r="X671">
            <v>0</v>
          </cell>
          <cell r="Z671">
            <v>0</v>
          </cell>
          <cell r="AB671">
            <v>0</v>
          </cell>
        </row>
        <row r="672">
          <cell r="A672">
            <v>4</v>
          </cell>
          <cell r="B672" t="str">
            <v>Kayu Slimar 3/20</v>
          </cell>
          <cell r="C672" t="str">
            <v>M3</v>
          </cell>
          <cell r="D672">
            <v>0</v>
          </cell>
          <cell r="E672">
            <v>6.6879999999999997</v>
          </cell>
          <cell r="F672">
            <v>0</v>
          </cell>
          <cell r="G672">
            <v>0</v>
          </cell>
          <cell r="H672">
            <v>0</v>
          </cell>
          <cell r="I672">
            <v>0</v>
          </cell>
          <cell r="J672">
            <v>0</v>
          </cell>
          <cell r="K672">
            <v>3.5999999999999999E-3</v>
          </cell>
          <cell r="L672">
            <v>0</v>
          </cell>
          <cell r="M672">
            <v>3.5999999999999999E-3</v>
          </cell>
          <cell r="N672">
            <v>0</v>
          </cell>
          <cell r="O672">
            <v>0</v>
          </cell>
          <cell r="P672">
            <v>0</v>
          </cell>
          <cell r="R672">
            <v>0</v>
          </cell>
          <cell r="T672">
            <v>0</v>
          </cell>
          <cell r="U672">
            <v>0</v>
          </cell>
          <cell r="V672">
            <v>0</v>
          </cell>
          <cell r="X672">
            <v>0</v>
          </cell>
          <cell r="Z672">
            <v>0</v>
          </cell>
          <cell r="AB672">
            <v>0</v>
          </cell>
        </row>
        <row r="673">
          <cell r="A673">
            <v>5</v>
          </cell>
          <cell r="B673" t="str">
            <v>Kayu 2/10</v>
          </cell>
          <cell r="C673" t="str">
            <v>M3</v>
          </cell>
          <cell r="D673">
            <v>0</v>
          </cell>
          <cell r="E673">
            <v>6</v>
          </cell>
          <cell r="F673">
            <v>0</v>
          </cell>
          <cell r="G673">
            <v>0</v>
          </cell>
          <cell r="H673">
            <v>0</v>
          </cell>
          <cell r="I673">
            <v>0</v>
          </cell>
          <cell r="J673">
            <v>0</v>
          </cell>
          <cell r="K673">
            <v>5.4000000000000012E-3</v>
          </cell>
          <cell r="L673">
            <v>0</v>
          </cell>
          <cell r="M673">
            <v>5.4000000000000012E-3</v>
          </cell>
          <cell r="N673">
            <v>0</v>
          </cell>
          <cell r="O673">
            <v>0</v>
          </cell>
          <cell r="P673">
            <v>0</v>
          </cell>
          <cell r="Q673">
            <v>10.25</v>
          </cell>
          <cell r="R673">
            <v>0</v>
          </cell>
          <cell r="S673">
            <v>3.4999999999999996</v>
          </cell>
          <cell r="T673">
            <v>0</v>
          </cell>
          <cell r="U673">
            <v>5.9</v>
          </cell>
          <cell r="V673">
            <v>0</v>
          </cell>
          <cell r="W673">
            <v>2</v>
          </cell>
          <cell r="X673">
            <v>0</v>
          </cell>
          <cell r="Y673">
            <v>2</v>
          </cell>
          <cell r="Z673">
            <v>0</v>
          </cell>
          <cell r="AB673">
            <v>0</v>
          </cell>
        </row>
        <row r="674">
          <cell r="A674">
            <v>6</v>
          </cell>
          <cell r="B674" t="str">
            <v>Panil t = 3 cm</v>
          </cell>
          <cell r="C674" t="str">
            <v>M2</v>
          </cell>
          <cell r="D674">
            <v>0</v>
          </cell>
          <cell r="F674">
            <v>0</v>
          </cell>
          <cell r="G674">
            <v>0</v>
          </cell>
          <cell r="H674">
            <v>0</v>
          </cell>
          <cell r="I674">
            <v>0</v>
          </cell>
          <cell r="J674">
            <v>0</v>
          </cell>
          <cell r="K674">
            <v>0.49500000000000005</v>
          </cell>
          <cell r="L674">
            <v>0</v>
          </cell>
          <cell r="M674">
            <v>0.49500000000000005</v>
          </cell>
          <cell r="N674">
            <v>0</v>
          </cell>
          <cell r="O674">
            <v>0</v>
          </cell>
          <cell r="P674">
            <v>0</v>
          </cell>
          <cell r="R674">
            <v>0</v>
          </cell>
          <cell r="T674">
            <v>0</v>
          </cell>
          <cell r="U674">
            <v>0</v>
          </cell>
          <cell r="V674">
            <v>0</v>
          </cell>
          <cell r="X674">
            <v>0</v>
          </cell>
          <cell r="Z674">
            <v>0</v>
          </cell>
          <cell r="AB674">
            <v>0</v>
          </cell>
        </row>
        <row r="675">
          <cell r="A675">
            <v>1</v>
          </cell>
          <cell r="B675" t="str">
            <v>Kusen Aluminium 5/10</v>
          </cell>
          <cell r="C675" t="str">
            <v>M'</v>
          </cell>
          <cell r="D675">
            <v>124948</v>
          </cell>
          <cell r="F675">
            <v>0</v>
          </cell>
          <cell r="G675">
            <v>0</v>
          </cell>
          <cell r="H675">
            <v>0</v>
          </cell>
          <cell r="I675">
            <v>0</v>
          </cell>
          <cell r="J675">
            <v>0</v>
          </cell>
          <cell r="K675">
            <v>5</v>
          </cell>
          <cell r="L675">
            <v>624740</v>
          </cell>
          <cell r="M675">
            <v>5</v>
          </cell>
          <cell r="N675">
            <v>624740</v>
          </cell>
          <cell r="O675">
            <v>6.1999999999999993</v>
          </cell>
          <cell r="P675">
            <v>774677.59999999986</v>
          </cell>
          <cell r="R675">
            <v>0</v>
          </cell>
          <cell r="T675">
            <v>0</v>
          </cell>
          <cell r="U675">
            <v>0</v>
          </cell>
          <cell r="V675">
            <v>0</v>
          </cell>
          <cell r="X675">
            <v>0</v>
          </cell>
          <cell r="Z675">
            <v>0</v>
          </cell>
          <cell r="AB675">
            <v>0</v>
          </cell>
        </row>
        <row r="676">
          <cell r="A676">
            <v>2</v>
          </cell>
          <cell r="B676" t="str">
            <v xml:space="preserve">Rangka Daun Jendela Alumunium </v>
          </cell>
          <cell r="C676" t="str">
            <v>M'</v>
          </cell>
          <cell r="D676">
            <v>124948</v>
          </cell>
          <cell r="F676">
            <v>0</v>
          </cell>
          <cell r="G676">
            <v>0</v>
          </cell>
          <cell r="H676">
            <v>0</v>
          </cell>
          <cell r="I676">
            <v>0</v>
          </cell>
          <cell r="J676">
            <v>0</v>
          </cell>
          <cell r="K676">
            <v>0</v>
          </cell>
          <cell r="L676">
            <v>0</v>
          </cell>
          <cell r="M676">
            <v>0</v>
          </cell>
          <cell r="N676">
            <v>0</v>
          </cell>
          <cell r="O676">
            <v>0</v>
          </cell>
          <cell r="P676">
            <v>0</v>
          </cell>
          <cell r="Q676">
            <v>7</v>
          </cell>
          <cell r="R676">
            <v>874636</v>
          </cell>
          <cell r="S676">
            <v>3.0999999999999996</v>
          </cell>
          <cell r="T676">
            <v>387338.79999999993</v>
          </cell>
          <cell r="U676">
            <v>0</v>
          </cell>
          <cell r="V676">
            <v>0</v>
          </cell>
          <cell r="X676">
            <v>0</v>
          </cell>
          <cell r="Z676">
            <v>0</v>
          </cell>
          <cell r="AB676">
            <v>0</v>
          </cell>
        </row>
        <row r="677">
          <cell r="A677">
            <v>3</v>
          </cell>
          <cell r="B677" t="str">
            <v>Rangka Tiang Sirip Alumunium 1/1 Putih</v>
          </cell>
          <cell r="C677" t="str">
            <v>M'</v>
          </cell>
          <cell r="D677">
            <v>62474</v>
          </cell>
          <cell r="F677">
            <v>0</v>
          </cell>
          <cell r="G677">
            <v>0</v>
          </cell>
          <cell r="H677">
            <v>0</v>
          </cell>
          <cell r="I677">
            <v>0</v>
          </cell>
          <cell r="J677">
            <v>0</v>
          </cell>
          <cell r="K677">
            <v>0</v>
          </cell>
          <cell r="L677">
            <v>0</v>
          </cell>
          <cell r="M677">
            <v>0</v>
          </cell>
          <cell r="N677">
            <v>0</v>
          </cell>
          <cell r="O677">
            <v>0</v>
          </cell>
          <cell r="P677">
            <v>0</v>
          </cell>
          <cell r="Q677">
            <v>2.6</v>
          </cell>
          <cell r="R677">
            <v>162432.4</v>
          </cell>
          <cell r="T677">
            <v>0</v>
          </cell>
          <cell r="U677">
            <v>1.85</v>
          </cell>
          <cell r="V677">
            <v>115576.90000000001</v>
          </cell>
          <cell r="X677">
            <v>0</v>
          </cell>
          <cell r="Z677">
            <v>0</v>
          </cell>
          <cell r="AB677">
            <v>0</v>
          </cell>
        </row>
        <row r="678">
          <cell r="A678">
            <v>4</v>
          </cell>
          <cell r="B678" t="str">
            <v>Pasang Shading Sirip Alumunium 0.2/10 +Rangka</v>
          </cell>
          <cell r="C678" t="str">
            <v>M2</v>
          </cell>
          <cell r="D678">
            <v>0</v>
          </cell>
          <cell r="F678">
            <v>0</v>
          </cell>
          <cell r="G678">
            <v>0</v>
          </cell>
          <cell r="H678">
            <v>0</v>
          </cell>
          <cell r="I678">
            <v>0</v>
          </cell>
          <cell r="J678">
            <v>0</v>
          </cell>
          <cell r="K678">
            <v>0</v>
          </cell>
          <cell r="L678">
            <v>0</v>
          </cell>
          <cell r="M678">
            <v>0</v>
          </cell>
          <cell r="N678">
            <v>0</v>
          </cell>
          <cell r="O678">
            <v>0</v>
          </cell>
          <cell r="P678">
            <v>0</v>
          </cell>
          <cell r="Q678">
            <v>0.26250000000000001</v>
          </cell>
          <cell r="R678">
            <v>0</v>
          </cell>
          <cell r="T678">
            <v>0</v>
          </cell>
          <cell r="U678">
            <v>0.14499999999999999</v>
          </cell>
          <cell r="V678">
            <v>0</v>
          </cell>
          <cell r="X678">
            <v>0</v>
          </cell>
          <cell r="Z678">
            <v>0</v>
          </cell>
          <cell r="AB678">
            <v>0</v>
          </cell>
        </row>
        <row r="679">
          <cell r="A679">
            <v>5</v>
          </cell>
          <cell r="B679" t="str">
            <v>Daun Pintu Panil Kamper</v>
          </cell>
          <cell r="C679" t="str">
            <v>bh</v>
          </cell>
          <cell r="D679">
            <v>550000</v>
          </cell>
          <cell r="E679">
            <v>0.19440000000000002</v>
          </cell>
          <cell r="F679">
            <v>106920.00000000001</v>
          </cell>
          <cell r="G679">
            <v>0</v>
          </cell>
          <cell r="H679">
            <v>0</v>
          </cell>
          <cell r="I679">
            <v>0</v>
          </cell>
          <cell r="J679">
            <v>0</v>
          </cell>
          <cell r="K679">
            <v>1.2</v>
          </cell>
          <cell r="L679">
            <v>660000</v>
          </cell>
          <cell r="M679">
            <v>1.2</v>
          </cell>
          <cell r="N679">
            <v>660000</v>
          </cell>
          <cell r="O679">
            <v>0.16056000000000001</v>
          </cell>
          <cell r="P679">
            <v>88308</v>
          </cell>
          <cell r="R679">
            <v>0</v>
          </cell>
          <cell r="T679">
            <v>0</v>
          </cell>
          <cell r="U679">
            <v>0</v>
          </cell>
          <cell r="V679">
            <v>0</v>
          </cell>
          <cell r="X679">
            <v>0</v>
          </cell>
          <cell r="Z679">
            <v>0</v>
          </cell>
          <cell r="AB679">
            <v>0</v>
          </cell>
        </row>
        <row r="680">
          <cell r="A680">
            <v>6</v>
          </cell>
          <cell r="B680" t="str">
            <v>Plat besi t = 2 mm</v>
          </cell>
          <cell r="C680" t="str">
            <v>Kg</v>
          </cell>
          <cell r="D680">
            <v>0</v>
          </cell>
          <cell r="F680">
            <v>0</v>
          </cell>
          <cell r="G680">
            <v>57.085200000000007</v>
          </cell>
          <cell r="H680">
            <v>0</v>
          </cell>
          <cell r="I680">
            <v>57.085200000000007</v>
          </cell>
          <cell r="J680">
            <v>0</v>
          </cell>
          <cell r="K680">
            <v>0</v>
          </cell>
          <cell r="L680">
            <v>0</v>
          </cell>
          <cell r="M680">
            <v>0</v>
          </cell>
          <cell r="N680">
            <v>0</v>
          </cell>
          <cell r="P680">
            <v>0</v>
          </cell>
          <cell r="R680">
            <v>0</v>
          </cell>
          <cell r="T680">
            <v>0</v>
          </cell>
          <cell r="U680">
            <v>0</v>
          </cell>
          <cell r="V680">
            <v>0</v>
          </cell>
          <cell r="X680">
            <v>0</v>
          </cell>
          <cell r="Z680">
            <v>0</v>
          </cell>
          <cell r="AB680">
            <v>0</v>
          </cell>
        </row>
        <row r="681">
          <cell r="A681">
            <v>7</v>
          </cell>
          <cell r="B681" t="str">
            <v>C 40.40.2  (pesan khusus)</v>
          </cell>
          <cell r="C681" t="str">
            <v>Kg</v>
          </cell>
          <cell r="D681">
            <v>14122.3</v>
          </cell>
          <cell r="F681">
            <v>0</v>
          </cell>
          <cell r="G681">
            <v>42.56</v>
          </cell>
          <cell r="H681">
            <v>601045.08799999999</v>
          </cell>
          <cell r="I681">
            <v>42.56</v>
          </cell>
          <cell r="J681">
            <v>601045.08799999999</v>
          </cell>
          <cell r="K681">
            <v>0</v>
          </cell>
          <cell r="L681">
            <v>0</v>
          </cell>
          <cell r="M681">
            <v>0</v>
          </cell>
          <cell r="N681">
            <v>0</v>
          </cell>
          <cell r="P681">
            <v>0</v>
          </cell>
          <cell r="R681">
            <v>0</v>
          </cell>
          <cell r="T681">
            <v>0</v>
          </cell>
          <cell r="U681">
            <v>0</v>
          </cell>
          <cell r="V681">
            <v>0</v>
          </cell>
          <cell r="X681">
            <v>0</v>
          </cell>
          <cell r="Z681">
            <v>0</v>
          </cell>
          <cell r="AB681">
            <v>0</v>
          </cell>
        </row>
        <row r="682">
          <cell r="A682">
            <v>8</v>
          </cell>
          <cell r="B682" t="str">
            <v>Handle besi dia 16 mm</v>
          </cell>
          <cell r="C682" t="str">
            <v>Set</v>
          </cell>
          <cell r="D682">
            <v>129652.5</v>
          </cell>
          <cell r="F682">
            <v>0</v>
          </cell>
          <cell r="G682">
            <v>1</v>
          </cell>
          <cell r="H682">
            <v>129652.5</v>
          </cell>
          <cell r="I682">
            <v>1</v>
          </cell>
          <cell r="J682">
            <v>129652.5</v>
          </cell>
          <cell r="K682">
            <v>0</v>
          </cell>
          <cell r="L682">
            <v>0</v>
          </cell>
          <cell r="M682">
            <v>0</v>
          </cell>
          <cell r="N682">
            <v>0</v>
          </cell>
          <cell r="P682">
            <v>0</v>
          </cell>
          <cell r="R682">
            <v>0</v>
          </cell>
          <cell r="T682">
            <v>0</v>
          </cell>
          <cell r="U682">
            <v>0</v>
          </cell>
          <cell r="V682">
            <v>0</v>
          </cell>
          <cell r="X682">
            <v>0</v>
          </cell>
          <cell r="Z682">
            <v>0</v>
          </cell>
          <cell r="AB682">
            <v>0</v>
          </cell>
        </row>
        <row r="683">
          <cell r="A683">
            <v>9</v>
          </cell>
          <cell r="B683" t="str">
            <v>Hendle pintu Stainless</v>
          </cell>
          <cell r="C683" t="str">
            <v>Set</v>
          </cell>
          <cell r="D683">
            <v>261652.5</v>
          </cell>
          <cell r="E683">
            <v>2</v>
          </cell>
          <cell r="F683">
            <v>523305</v>
          </cell>
          <cell r="G683">
            <v>0</v>
          </cell>
          <cell r="H683">
            <v>0</v>
          </cell>
          <cell r="I683">
            <v>0</v>
          </cell>
          <cell r="J683">
            <v>0</v>
          </cell>
          <cell r="K683">
            <v>0</v>
          </cell>
          <cell r="L683">
            <v>0</v>
          </cell>
          <cell r="M683">
            <v>0</v>
          </cell>
          <cell r="N683">
            <v>0</v>
          </cell>
          <cell r="P683">
            <v>0</v>
          </cell>
          <cell r="R683">
            <v>0</v>
          </cell>
          <cell r="T683">
            <v>0</v>
          </cell>
          <cell r="U683">
            <v>0</v>
          </cell>
          <cell r="V683">
            <v>0</v>
          </cell>
          <cell r="X683">
            <v>0</v>
          </cell>
          <cell r="Z683">
            <v>0</v>
          </cell>
          <cell r="AB683">
            <v>0</v>
          </cell>
        </row>
        <row r="684">
          <cell r="A684">
            <v>10</v>
          </cell>
          <cell r="B684" t="str">
            <v>Kunci Pintu Handle stainleess (dorma)</v>
          </cell>
          <cell r="C684" t="str">
            <v>Set</v>
          </cell>
          <cell r="D684">
            <v>650000</v>
          </cell>
          <cell r="E684">
            <v>2</v>
          </cell>
          <cell r="F684">
            <v>1300000</v>
          </cell>
          <cell r="G684">
            <v>0</v>
          </cell>
          <cell r="H684">
            <v>0</v>
          </cell>
          <cell r="I684">
            <v>0</v>
          </cell>
          <cell r="J684">
            <v>0</v>
          </cell>
          <cell r="K684">
            <v>0</v>
          </cell>
          <cell r="L684">
            <v>0</v>
          </cell>
          <cell r="M684">
            <v>0</v>
          </cell>
          <cell r="N684">
            <v>0</v>
          </cell>
          <cell r="P684">
            <v>0</v>
          </cell>
          <cell r="R684">
            <v>0</v>
          </cell>
          <cell r="T684">
            <v>0</v>
          </cell>
          <cell r="U684">
            <v>0</v>
          </cell>
          <cell r="V684">
            <v>0</v>
          </cell>
          <cell r="X684">
            <v>0</v>
          </cell>
          <cell r="Z684">
            <v>0</v>
          </cell>
          <cell r="AB684">
            <v>0</v>
          </cell>
        </row>
        <row r="685">
          <cell r="A685">
            <v>11</v>
          </cell>
          <cell r="B685" t="str">
            <v>Kunci tanam Antik</v>
          </cell>
          <cell r="C685" t="str">
            <v>Set</v>
          </cell>
          <cell r="D685">
            <v>265000</v>
          </cell>
          <cell r="F685">
            <v>0</v>
          </cell>
          <cell r="G685">
            <v>0</v>
          </cell>
          <cell r="H685">
            <v>0</v>
          </cell>
          <cell r="I685">
            <v>0</v>
          </cell>
          <cell r="J685">
            <v>0</v>
          </cell>
          <cell r="K685">
            <v>0</v>
          </cell>
          <cell r="L685">
            <v>0</v>
          </cell>
          <cell r="M685">
            <v>0</v>
          </cell>
          <cell r="N685">
            <v>0</v>
          </cell>
          <cell r="P685">
            <v>0</v>
          </cell>
          <cell r="R685">
            <v>0</v>
          </cell>
          <cell r="T685">
            <v>0</v>
          </cell>
          <cell r="U685">
            <v>0</v>
          </cell>
          <cell r="V685">
            <v>0</v>
          </cell>
          <cell r="X685">
            <v>0</v>
          </cell>
          <cell r="Z685">
            <v>0</v>
          </cell>
          <cell r="AB685">
            <v>0</v>
          </cell>
        </row>
        <row r="686">
          <cell r="A686">
            <v>12</v>
          </cell>
          <cell r="B686" t="str">
            <v>Kunci tanam biasa</v>
          </cell>
          <cell r="C686" t="str">
            <v>Set</v>
          </cell>
          <cell r="D686">
            <v>168565</v>
          </cell>
          <cell r="E686">
            <v>2</v>
          </cell>
          <cell r="F686">
            <v>337130</v>
          </cell>
          <cell r="G686">
            <v>1</v>
          </cell>
          <cell r="H686">
            <v>168565</v>
          </cell>
          <cell r="I686">
            <v>1</v>
          </cell>
          <cell r="J686">
            <v>168565</v>
          </cell>
          <cell r="K686">
            <v>1</v>
          </cell>
          <cell r="L686">
            <v>168565</v>
          </cell>
          <cell r="M686">
            <v>1</v>
          </cell>
          <cell r="N686">
            <v>168565</v>
          </cell>
          <cell r="O686">
            <v>2</v>
          </cell>
          <cell r="P686">
            <v>337130</v>
          </cell>
          <cell r="R686">
            <v>0</v>
          </cell>
          <cell r="T686">
            <v>0</v>
          </cell>
          <cell r="U686">
            <v>0</v>
          </cell>
          <cell r="V686">
            <v>0</v>
          </cell>
          <cell r="X686">
            <v>0</v>
          </cell>
          <cell r="Z686">
            <v>0</v>
          </cell>
          <cell r="AA686">
            <v>2</v>
          </cell>
          <cell r="AB686">
            <v>337130</v>
          </cell>
        </row>
        <row r="687">
          <cell r="A687">
            <v>13</v>
          </cell>
          <cell r="B687" t="str">
            <v>Kunci Silinder</v>
          </cell>
          <cell r="C687" t="str">
            <v>Set</v>
          </cell>
          <cell r="D687">
            <v>217900</v>
          </cell>
          <cell r="F687">
            <v>0</v>
          </cell>
          <cell r="G687">
            <v>0</v>
          </cell>
          <cell r="H687">
            <v>0</v>
          </cell>
          <cell r="I687">
            <v>0</v>
          </cell>
          <cell r="J687">
            <v>0</v>
          </cell>
          <cell r="K687">
            <v>0</v>
          </cell>
          <cell r="L687">
            <v>0</v>
          </cell>
          <cell r="M687">
            <v>0</v>
          </cell>
          <cell r="N687">
            <v>0</v>
          </cell>
          <cell r="P687">
            <v>0</v>
          </cell>
          <cell r="R687">
            <v>0</v>
          </cell>
          <cell r="T687">
            <v>0</v>
          </cell>
          <cell r="U687">
            <v>0</v>
          </cell>
          <cell r="V687">
            <v>0</v>
          </cell>
          <cell r="X687">
            <v>0</v>
          </cell>
          <cell r="Z687">
            <v>0</v>
          </cell>
          <cell r="AB687">
            <v>0</v>
          </cell>
        </row>
        <row r="688">
          <cell r="A688">
            <v>14</v>
          </cell>
          <cell r="B688" t="str">
            <v>Kunci Selot</v>
          </cell>
          <cell r="C688" t="str">
            <v>Set</v>
          </cell>
          <cell r="D688">
            <v>48300</v>
          </cell>
          <cell r="E688">
            <v>0</v>
          </cell>
          <cell r="F688">
            <v>0</v>
          </cell>
          <cell r="G688">
            <v>0</v>
          </cell>
          <cell r="H688">
            <v>0</v>
          </cell>
          <cell r="I688">
            <v>0</v>
          </cell>
          <cell r="J688">
            <v>0</v>
          </cell>
          <cell r="K688">
            <v>0</v>
          </cell>
          <cell r="L688">
            <v>0</v>
          </cell>
          <cell r="M688">
            <v>0</v>
          </cell>
          <cell r="N688">
            <v>0</v>
          </cell>
          <cell r="O688">
            <v>1</v>
          </cell>
          <cell r="P688">
            <v>48300</v>
          </cell>
          <cell r="R688">
            <v>0</v>
          </cell>
          <cell r="T688">
            <v>0</v>
          </cell>
          <cell r="U688">
            <v>0</v>
          </cell>
          <cell r="V688">
            <v>0</v>
          </cell>
          <cell r="X688">
            <v>0</v>
          </cell>
          <cell r="Z688">
            <v>0</v>
          </cell>
          <cell r="AB688">
            <v>0</v>
          </cell>
        </row>
        <row r="689">
          <cell r="A689">
            <v>15</v>
          </cell>
          <cell r="B689" t="str">
            <v>Engsel jendela</v>
          </cell>
          <cell r="C689" t="str">
            <v>Bh</v>
          </cell>
          <cell r="D689">
            <v>16600</v>
          </cell>
          <cell r="E689">
            <v>0</v>
          </cell>
          <cell r="F689">
            <v>0</v>
          </cell>
          <cell r="G689">
            <v>0</v>
          </cell>
          <cell r="H689">
            <v>0</v>
          </cell>
          <cell r="I689">
            <v>0</v>
          </cell>
          <cell r="J689">
            <v>0</v>
          </cell>
          <cell r="K689">
            <v>0</v>
          </cell>
          <cell r="L689">
            <v>0</v>
          </cell>
          <cell r="M689">
            <v>0</v>
          </cell>
          <cell r="N689">
            <v>0</v>
          </cell>
          <cell r="P689">
            <v>0</v>
          </cell>
          <cell r="Q689">
            <v>6</v>
          </cell>
          <cell r="R689">
            <v>99600</v>
          </cell>
          <cell r="S689">
            <v>2</v>
          </cell>
          <cell r="T689">
            <v>33200</v>
          </cell>
          <cell r="U689">
            <v>0</v>
          </cell>
          <cell r="V689">
            <v>0</v>
          </cell>
          <cell r="X689">
            <v>0</v>
          </cell>
          <cell r="Z689">
            <v>0</v>
          </cell>
          <cell r="AB689">
            <v>0</v>
          </cell>
        </row>
        <row r="690">
          <cell r="A690">
            <v>16</v>
          </cell>
          <cell r="B690" t="str">
            <v>Engsel pintu</v>
          </cell>
          <cell r="C690" t="str">
            <v>Bh</v>
          </cell>
          <cell r="D690">
            <v>44395.75</v>
          </cell>
          <cell r="E690">
            <v>4</v>
          </cell>
          <cell r="F690">
            <v>177583</v>
          </cell>
          <cell r="G690">
            <v>0</v>
          </cell>
          <cell r="H690">
            <v>0</v>
          </cell>
          <cell r="I690">
            <v>0</v>
          </cell>
          <cell r="J690">
            <v>0</v>
          </cell>
          <cell r="K690">
            <v>3</v>
          </cell>
          <cell r="L690">
            <v>133187.25</v>
          </cell>
          <cell r="M690">
            <v>3</v>
          </cell>
          <cell r="N690">
            <v>133187.25</v>
          </cell>
          <cell r="O690">
            <v>4</v>
          </cell>
          <cell r="P690">
            <v>177583</v>
          </cell>
          <cell r="R690">
            <v>0</v>
          </cell>
          <cell r="T690">
            <v>0</v>
          </cell>
          <cell r="U690">
            <v>0</v>
          </cell>
          <cell r="V690">
            <v>0</v>
          </cell>
          <cell r="X690">
            <v>0</v>
          </cell>
          <cell r="Z690">
            <v>0</v>
          </cell>
          <cell r="AB690">
            <v>0</v>
          </cell>
        </row>
        <row r="691">
          <cell r="A691">
            <v>17</v>
          </cell>
          <cell r="B691" t="str">
            <v>Engsel Pintu dari pipa besi dia 2 cm</v>
          </cell>
          <cell r="C691" t="str">
            <v>Bh</v>
          </cell>
          <cell r="D691">
            <v>66593.625</v>
          </cell>
          <cell r="F691">
            <v>0</v>
          </cell>
          <cell r="G691">
            <v>2</v>
          </cell>
          <cell r="H691">
            <v>133187.25</v>
          </cell>
          <cell r="I691">
            <v>2</v>
          </cell>
          <cell r="J691">
            <v>133187.25</v>
          </cell>
          <cell r="K691">
            <v>0</v>
          </cell>
          <cell r="L691">
            <v>0</v>
          </cell>
          <cell r="M691">
            <v>0</v>
          </cell>
          <cell r="N691">
            <v>0</v>
          </cell>
          <cell r="P691">
            <v>0</v>
          </cell>
          <cell r="R691">
            <v>0</v>
          </cell>
          <cell r="T691">
            <v>0</v>
          </cell>
          <cell r="U691">
            <v>0</v>
          </cell>
          <cell r="V691">
            <v>0</v>
          </cell>
          <cell r="X691">
            <v>0</v>
          </cell>
          <cell r="Z691">
            <v>0</v>
          </cell>
          <cell r="AB691">
            <v>0</v>
          </cell>
        </row>
        <row r="692">
          <cell r="A692">
            <v>18</v>
          </cell>
          <cell r="B692" t="str">
            <v>Kait/hak angin</v>
          </cell>
          <cell r="C692" t="str">
            <v>Set</v>
          </cell>
          <cell r="D692">
            <v>27000</v>
          </cell>
          <cell r="E692">
            <v>0</v>
          </cell>
          <cell r="F692">
            <v>0</v>
          </cell>
          <cell r="G692">
            <v>0</v>
          </cell>
          <cell r="H692">
            <v>0</v>
          </cell>
          <cell r="I692">
            <v>0</v>
          </cell>
          <cell r="J692">
            <v>0</v>
          </cell>
          <cell r="K692">
            <v>0</v>
          </cell>
          <cell r="L692">
            <v>0</v>
          </cell>
          <cell r="M692">
            <v>0</v>
          </cell>
          <cell r="N692">
            <v>0</v>
          </cell>
          <cell r="P692">
            <v>0</v>
          </cell>
          <cell r="Q692">
            <v>6</v>
          </cell>
          <cell r="R692">
            <v>162000</v>
          </cell>
          <cell r="S692">
            <v>2</v>
          </cell>
          <cell r="T692">
            <v>54000</v>
          </cell>
          <cell r="U692">
            <v>0</v>
          </cell>
          <cell r="V692">
            <v>0</v>
          </cell>
          <cell r="X692">
            <v>0</v>
          </cell>
          <cell r="Z692">
            <v>0</v>
          </cell>
          <cell r="AB692">
            <v>0</v>
          </cell>
        </row>
        <row r="693">
          <cell r="A693">
            <v>19</v>
          </cell>
          <cell r="B693" t="str">
            <v>Grendel pintu kuningan</v>
          </cell>
          <cell r="C693" t="str">
            <v>Bh</v>
          </cell>
          <cell r="D693">
            <v>125000</v>
          </cell>
          <cell r="F693">
            <v>0</v>
          </cell>
          <cell r="G693">
            <v>0</v>
          </cell>
          <cell r="H693">
            <v>0</v>
          </cell>
          <cell r="I693">
            <v>0</v>
          </cell>
          <cell r="J693">
            <v>0</v>
          </cell>
          <cell r="K693">
            <v>0</v>
          </cell>
          <cell r="L693">
            <v>0</v>
          </cell>
          <cell r="M693">
            <v>0</v>
          </cell>
          <cell r="N693">
            <v>0</v>
          </cell>
          <cell r="P693">
            <v>0</v>
          </cell>
          <cell r="R693">
            <v>0</v>
          </cell>
          <cell r="T693">
            <v>0</v>
          </cell>
          <cell r="U693">
            <v>0</v>
          </cell>
          <cell r="V693">
            <v>0</v>
          </cell>
          <cell r="X693">
            <v>0</v>
          </cell>
          <cell r="Z693">
            <v>0</v>
          </cell>
          <cell r="AB693">
            <v>0</v>
          </cell>
        </row>
        <row r="694">
          <cell r="A694">
            <v>20</v>
          </cell>
          <cell r="B694" t="str">
            <v xml:space="preserve">Grendel jendela </v>
          </cell>
          <cell r="C694" t="str">
            <v>Bh</v>
          </cell>
          <cell r="D694">
            <v>8100</v>
          </cell>
          <cell r="F694">
            <v>0</v>
          </cell>
          <cell r="G694">
            <v>0</v>
          </cell>
          <cell r="H694">
            <v>0</v>
          </cell>
          <cell r="I694">
            <v>0</v>
          </cell>
          <cell r="J694">
            <v>0</v>
          </cell>
          <cell r="K694">
            <v>0</v>
          </cell>
          <cell r="L694">
            <v>0</v>
          </cell>
          <cell r="M694">
            <v>0</v>
          </cell>
          <cell r="N694">
            <v>0</v>
          </cell>
          <cell r="P694">
            <v>0</v>
          </cell>
          <cell r="R694">
            <v>0</v>
          </cell>
          <cell r="T694">
            <v>0</v>
          </cell>
          <cell r="U694">
            <v>0</v>
          </cell>
          <cell r="V694">
            <v>0</v>
          </cell>
          <cell r="X694">
            <v>0</v>
          </cell>
          <cell r="Z694">
            <v>0</v>
          </cell>
          <cell r="AB694">
            <v>0</v>
          </cell>
        </row>
        <row r="695">
          <cell r="A695">
            <v>21</v>
          </cell>
          <cell r="B695" t="str">
            <v>Grendel pintu</v>
          </cell>
          <cell r="C695" t="str">
            <v>Bh</v>
          </cell>
          <cell r="D695">
            <v>14200</v>
          </cell>
          <cell r="E695">
            <v>2</v>
          </cell>
          <cell r="F695">
            <v>28400</v>
          </cell>
          <cell r="G695">
            <v>0</v>
          </cell>
          <cell r="H695">
            <v>0</v>
          </cell>
          <cell r="I695">
            <v>0</v>
          </cell>
          <cell r="J695">
            <v>0</v>
          </cell>
          <cell r="K695">
            <v>0</v>
          </cell>
          <cell r="L695">
            <v>0</v>
          </cell>
          <cell r="M695">
            <v>0</v>
          </cell>
          <cell r="N695">
            <v>0</v>
          </cell>
          <cell r="O695">
            <v>2</v>
          </cell>
          <cell r="P695">
            <v>28400</v>
          </cell>
          <cell r="Q695">
            <v>3</v>
          </cell>
          <cell r="R695">
            <v>42600</v>
          </cell>
          <cell r="S695">
            <v>1</v>
          </cell>
          <cell r="T695">
            <v>14200</v>
          </cell>
          <cell r="U695">
            <v>0</v>
          </cell>
          <cell r="V695">
            <v>0</v>
          </cell>
          <cell r="X695">
            <v>0</v>
          </cell>
          <cell r="Z695">
            <v>0</v>
          </cell>
          <cell r="AB695">
            <v>0</v>
          </cell>
        </row>
        <row r="696">
          <cell r="A696">
            <v>22</v>
          </cell>
          <cell r="B696" t="str">
            <v>Stripting Knip</v>
          </cell>
          <cell r="C696" t="str">
            <v>Set</v>
          </cell>
          <cell r="D696">
            <v>13700</v>
          </cell>
          <cell r="F696">
            <v>0</v>
          </cell>
          <cell r="G696">
            <v>0</v>
          </cell>
          <cell r="H696">
            <v>0</v>
          </cell>
          <cell r="I696">
            <v>0</v>
          </cell>
          <cell r="J696">
            <v>0</v>
          </cell>
          <cell r="K696">
            <v>0</v>
          </cell>
          <cell r="L696">
            <v>0</v>
          </cell>
          <cell r="M696">
            <v>0</v>
          </cell>
          <cell r="N696">
            <v>0</v>
          </cell>
          <cell r="P696">
            <v>0</v>
          </cell>
          <cell r="R696">
            <v>0</v>
          </cell>
          <cell r="T696">
            <v>0</v>
          </cell>
          <cell r="U696">
            <v>0</v>
          </cell>
          <cell r="V696">
            <v>0</v>
          </cell>
          <cell r="X696">
            <v>0</v>
          </cell>
          <cell r="Z696">
            <v>0</v>
          </cell>
          <cell r="AB696">
            <v>0</v>
          </cell>
        </row>
        <row r="697">
          <cell r="A697">
            <v>23</v>
          </cell>
          <cell r="B697" t="str">
            <v>Door Closer</v>
          </cell>
          <cell r="C697" t="str">
            <v>Set</v>
          </cell>
          <cell r="D697">
            <v>260800</v>
          </cell>
          <cell r="E697">
            <v>2</v>
          </cell>
          <cell r="F697">
            <v>521600</v>
          </cell>
          <cell r="G697">
            <v>0</v>
          </cell>
          <cell r="H697">
            <v>0</v>
          </cell>
          <cell r="I697">
            <v>0</v>
          </cell>
          <cell r="J697">
            <v>0</v>
          </cell>
          <cell r="K697">
            <v>0</v>
          </cell>
          <cell r="L697">
            <v>0</v>
          </cell>
          <cell r="M697">
            <v>0</v>
          </cell>
          <cell r="N697">
            <v>0</v>
          </cell>
          <cell r="O697">
            <v>2</v>
          </cell>
          <cell r="P697">
            <v>521600</v>
          </cell>
          <cell r="R697">
            <v>0</v>
          </cell>
          <cell r="T697">
            <v>0</v>
          </cell>
          <cell r="U697">
            <v>0</v>
          </cell>
          <cell r="V697">
            <v>0</v>
          </cell>
          <cell r="X697">
            <v>0</v>
          </cell>
          <cell r="Z697">
            <v>0</v>
          </cell>
          <cell r="AB697">
            <v>0</v>
          </cell>
        </row>
        <row r="698">
          <cell r="A698">
            <v>24</v>
          </cell>
          <cell r="B698" t="str">
            <v>Door Holder</v>
          </cell>
          <cell r="C698" t="str">
            <v>Set</v>
          </cell>
          <cell r="D698">
            <v>500000</v>
          </cell>
          <cell r="F698">
            <v>0</v>
          </cell>
          <cell r="G698">
            <v>0</v>
          </cell>
          <cell r="H698">
            <v>0</v>
          </cell>
          <cell r="I698">
            <v>0</v>
          </cell>
          <cell r="J698">
            <v>0</v>
          </cell>
          <cell r="K698">
            <v>0</v>
          </cell>
          <cell r="L698">
            <v>0</v>
          </cell>
          <cell r="M698">
            <v>0</v>
          </cell>
          <cell r="N698">
            <v>0</v>
          </cell>
          <cell r="P698">
            <v>0</v>
          </cell>
          <cell r="R698">
            <v>0</v>
          </cell>
          <cell r="T698">
            <v>0</v>
          </cell>
          <cell r="U698">
            <v>0</v>
          </cell>
          <cell r="V698">
            <v>0</v>
          </cell>
          <cell r="X698">
            <v>0</v>
          </cell>
          <cell r="Z698">
            <v>0</v>
          </cell>
          <cell r="AB698">
            <v>0</v>
          </cell>
        </row>
        <row r="699">
          <cell r="A699">
            <v>25</v>
          </cell>
          <cell r="B699" t="str">
            <v>Door Stop</v>
          </cell>
          <cell r="C699" t="str">
            <v>Set</v>
          </cell>
          <cell r="D699">
            <v>32100</v>
          </cell>
          <cell r="E699">
            <v>2</v>
          </cell>
          <cell r="F699">
            <v>64200</v>
          </cell>
          <cell r="G699">
            <v>0</v>
          </cell>
          <cell r="H699">
            <v>0</v>
          </cell>
          <cell r="I699">
            <v>0</v>
          </cell>
          <cell r="J699">
            <v>0</v>
          </cell>
          <cell r="K699">
            <v>0</v>
          </cell>
          <cell r="L699">
            <v>0</v>
          </cell>
          <cell r="M699">
            <v>0</v>
          </cell>
          <cell r="N699">
            <v>0</v>
          </cell>
          <cell r="O699">
            <v>2</v>
          </cell>
          <cell r="P699">
            <v>64200</v>
          </cell>
          <cell r="R699">
            <v>0</v>
          </cell>
          <cell r="T699">
            <v>0</v>
          </cell>
          <cell r="U699">
            <v>0</v>
          </cell>
          <cell r="V699">
            <v>0</v>
          </cell>
          <cell r="X699">
            <v>0</v>
          </cell>
          <cell r="Z699">
            <v>0</v>
          </cell>
          <cell r="AB699">
            <v>0</v>
          </cell>
        </row>
        <row r="700">
          <cell r="A700">
            <v>26</v>
          </cell>
          <cell r="B700" t="str">
            <v>Kaca bening 5 mm</v>
          </cell>
          <cell r="C700" t="str">
            <v>M2</v>
          </cell>
          <cell r="D700">
            <v>66700</v>
          </cell>
          <cell r="E700">
            <v>0.12719999999999998</v>
          </cell>
          <cell r="F700">
            <v>8484.239999999998</v>
          </cell>
          <cell r="G700">
            <v>0</v>
          </cell>
          <cell r="H700">
            <v>0</v>
          </cell>
          <cell r="I700">
            <v>0</v>
          </cell>
          <cell r="J700">
            <v>0</v>
          </cell>
          <cell r="K700">
            <v>0</v>
          </cell>
          <cell r="L700">
            <v>0</v>
          </cell>
          <cell r="M700">
            <v>0</v>
          </cell>
          <cell r="N700">
            <v>0</v>
          </cell>
          <cell r="O700">
            <v>7.6799999999999993E-2</v>
          </cell>
          <cell r="P700">
            <v>5122.5599999999995</v>
          </cell>
          <cell r="Q700">
            <v>0.25919999999999999</v>
          </cell>
          <cell r="R700">
            <v>17288.64</v>
          </cell>
          <cell r="S700">
            <v>0.3276</v>
          </cell>
          <cell r="T700">
            <v>21850.920000000002</v>
          </cell>
          <cell r="U700">
            <v>0</v>
          </cell>
          <cell r="V700">
            <v>0</v>
          </cell>
          <cell r="X700">
            <v>0</v>
          </cell>
          <cell r="Y700">
            <v>0.2</v>
          </cell>
          <cell r="Z700">
            <v>13340</v>
          </cell>
          <cell r="AB700">
            <v>0</v>
          </cell>
        </row>
        <row r="701">
          <cell r="A701">
            <v>27</v>
          </cell>
          <cell r="B701" t="str">
            <v>Kaca bening 10 mm</v>
          </cell>
          <cell r="C701" t="str">
            <v>M2</v>
          </cell>
          <cell r="D701">
            <v>280895.75</v>
          </cell>
          <cell r="F701">
            <v>0</v>
          </cell>
          <cell r="G701">
            <v>0</v>
          </cell>
          <cell r="H701">
            <v>0</v>
          </cell>
          <cell r="I701">
            <v>0</v>
          </cell>
          <cell r="J701">
            <v>0</v>
          </cell>
          <cell r="K701">
            <v>0</v>
          </cell>
          <cell r="L701">
            <v>0</v>
          </cell>
          <cell r="M701">
            <v>0</v>
          </cell>
          <cell r="N701">
            <v>0</v>
          </cell>
          <cell r="P701">
            <v>0</v>
          </cell>
          <cell r="Q701">
            <v>1.1235000000000002</v>
          </cell>
          <cell r="R701">
            <v>315586.37512500002</v>
          </cell>
          <cell r="T701">
            <v>0</v>
          </cell>
          <cell r="U701">
            <v>0.57999999999999996</v>
          </cell>
          <cell r="V701">
            <v>162919.53499999997</v>
          </cell>
          <cell r="X701">
            <v>0</v>
          </cell>
          <cell r="Z701">
            <v>0</v>
          </cell>
          <cell r="AB701">
            <v>0</v>
          </cell>
        </row>
        <row r="702">
          <cell r="A702">
            <v>28</v>
          </cell>
          <cell r="B702" t="str">
            <v>Kaca Bening 12 mm</v>
          </cell>
          <cell r="C702" t="str">
            <v>M2</v>
          </cell>
          <cell r="D702">
            <v>403787.64062499994</v>
          </cell>
          <cell r="F702">
            <v>0</v>
          </cell>
          <cell r="G702">
            <v>0</v>
          </cell>
          <cell r="H702">
            <v>0</v>
          </cell>
          <cell r="I702">
            <v>0</v>
          </cell>
          <cell r="J702">
            <v>0</v>
          </cell>
          <cell r="K702">
            <v>0</v>
          </cell>
          <cell r="L702">
            <v>0</v>
          </cell>
          <cell r="M702">
            <v>0</v>
          </cell>
          <cell r="N702">
            <v>0</v>
          </cell>
          <cell r="P702">
            <v>0</v>
          </cell>
          <cell r="R702">
            <v>0</v>
          </cell>
          <cell r="T702">
            <v>0</v>
          </cell>
          <cell r="U702">
            <v>0</v>
          </cell>
          <cell r="V702">
            <v>0</v>
          </cell>
          <cell r="X702">
            <v>0</v>
          </cell>
          <cell r="Z702">
            <v>0</v>
          </cell>
          <cell r="AB702">
            <v>0</v>
          </cell>
        </row>
        <row r="703">
          <cell r="A703">
            <v>29</v>
          </cell>
          <cell r="B703" t="str">
            <v>Besi hollow 4/4</v>
          </cell>
          <cell r="C703" t="str">
            <v>M'</v>
          </cell>
          <cell r="D703">
            <v>48625.000000000051</v>
          </cell>
          <cell r="F703">
            <v>0</v>
          </cell>
          <cell r="G703">
            <v>5.09</v>
          </cell>
          <cell r="H703">
            <v>247501.25000000026</v>
          </cell>
          <cell r="I703">
            <v>5.09</v>
          </cell>
          <cell r="J703">
            <v>247501.25000000026</v>
          </cell>
          <cell r="K703">
            <v>0</v>
          </cell>
          <cell r="L703">
            <v>0</v>
          </cell>
          <cell r="M703">
            <v>0</v>
          </cell>
          <cell r="N703">
            <v>0</v>
          </cell>
          <cell r="P703">
            <v>0</v>
          </cell>
          <cell r="R703">
            <v>0</v>
          </cell>
          <cell r="T703">
            <v>0</v>
          </cell>
          <cell r="U703">
            <v>0</v>
          </cell>
          <cell r="V703">
            <v>0</v>
          </cell>
          <cell r="X703">
            <v>0</v>
          </cell>
          <cell r="Z703">
            <v>0</v>
          </cell>
          <cell r="AB703">
            <v>0</v>
          </cell>
        </row>
        <row r="704">
          <cell r="A704">
            <v>30</v>
          </cell>
          <cell r="B704" t="str">
            <v>Besi hollow 6/6</v>
          </cell>
          <cell r="C704" t="str">
            <v>M'</v>
          </cell>
          <cell r="D704">
            <v>74462.500000000058</v>
          </cell>
          <cell r="F704">
            <v>0</v>
          </cell>
          <cell r="G704">
            <v>5.09</v>
          </cell>
          <cell r="H704">
            <v>379014.12500000029</v>
          </cell>
          <cell r="I704">
            <v>5.09</v>
          </cell>
          <cell r="J704">
            <v>379014.12500000029</v>
          </cell>
          <cell r="K704">
            <v>0</v>
          </cell>
          <cell r="L704">
            <v>0</v>
          </cell>
          <cell r="M704">
            <v>0</v>
          </cell>
          <cell r="N704">
            <v>0</v>
          </cell>
          <cell r="P704">
            <v>0</v>
          </cell>
          <cell r="R704">
            <v>0</v>
          </cell>
          <cell r="T704">
            <v>0</v>
          </cell>
          <cell r="U704">
            <v>0</v>
          </cell>
          <cell r="V704">
            <v>0</v>
          </cell>
          <cell r="X704">
            <v>0</v>
          </cell>
          <cell r="Z704">
            <v>0</v>
          </cell>
          <cell r="AB704">
            <v>0</v>
          </cell>
        </row>
        <row r="705">
          <cell r="A705">
            <v>31</v>
          </cell>
          <cell r="B705" t="str">
            <v>Besi hollow 2.5/5</v>
          </cell>
          <cell r="C705" t="str">
            <v>Kg</v>
          </cell>
          <cell r="D705">
            <v>74462.500000000058</v>
          </cell>
          <cell r="F705">
            <v>0</v>
          </cell>
          <cell r="G705">
            <v>0</v>
          </cell>
          <cell r="H705">
            <v>0</v>
          </cell>
          <cell r="I705">
            <v>0</v>
          </cell>
          <cell r="J705">
            <v>0</v>
          </cell>
          <cell r="K705">
            <v>0</v>
          </cell>
          <cell r="L705">
            <v>0</v>
          </cell>
          <cell r="M705">
            <v>0</v>
          </cell>
          <cell r="N705">
            <v>0</v>
          </cell>
          <cell r="P705">
            <v>0</v>
          </cell>
          <cell r="R705">
            <v>0</v>
          </cell>
          <cell r="T705">
            <v>0</v>
          </cell>
          <cell r="U705">
            <v>0</v>
          </cell>
          <cell r="V705">
            <v>0</v>
          </cell>
          <cell r="X705">
            <v>0</v>
          </cell>
          <cell r="Z705">
            <v>0</v>
          </cell>
          <cell r="AB705">
            <v>0</v>
          </cell>
        </row>
        <row r="706">
          <cell r="A706">
            <v>32</v>
          </cell>
          <cell r="B706" t="str">
            <v>Besi hollow 5/5</v>
          </cell>
          <cell r="C706" t="str">
            <v>Kg</v>
          </cell>
          <cell r="D706">
            <v>74462.500000000058</v>
          </cell>
          <cell r="F706">
            <v>0</v>
          </cell>
          <cell r="G706">
            <v>0</v>
          </cell>
          <cell r="H706">
            <v>0</v>
          </cell>
          <cell r="I706">
            <v>0</v>
          </cell>
          <cell r="J706">
            <v>0</v>
          </cell>
          <cell r="K706">
            <v>0</v>
          </cell>
          <cell r="L706">
            <v>0</v>
          </cell>
          <cell r="M706">
            <v>0</v>
          </cell>
          <cell r="N706">
            <v>0</v>
          </cell>
          <cell r="P706">
            <v>0</v>
          </cell>
          <cell r="R706">
            <v>0</v>
          </cell>
          <cell r="T706">
            <v>0</v>
          </cell>
          <cell r="U706">
            <v>0</v>
          </cell>
          <cell r="V706">
            <v>0</v>
          </cell>
          <cell r="X706">
            <v>0</v>
          </cell>
          <cell r="Z706">
            <v>0</v>
          </cell>
          <cell r="AB706">
            <v>0</v>
          </cell>
        </row>
        <row r="707">
          <cell r="A707">
            <v>33</v>
          </cell>
          <cell r="B707" t="str">
            <v>Besi hollow 2/2</v>
          </cell>
          <cell r="C707" t="str">
            <v>Kg</v>
          </cell>
          <cell r="D707">
            <v>74462.500000000058</v>
          </cell>
          <cell r="F707">
            <v>0</v>
          </cell>
          <cell r="G707">
            <v>0</v>
          </cell>
          <cell r="H707">
            <v>0</v>
          </cell>
          <cell r="I707">
            <v>0</v>
          </cell>
          <cell r="J707">
            <v>0</v>
          </cell>
          <cell r="K707">
            <v>0</v>
          </cell>
          <cell r="L707">
            <v>0</v>
          </cell>
          <cell r="M707">
            <v>0</v>
          </cell>
          <cell r="N707">
            <v>0</v>
          </cell>
          <cell r="P707">
            <v>0</v>
          </cell>
          <cell r="R707">
            <v>0</v>
          </cell>
          <cell r="T707">
            <v>0</v>
          </cell>
          <cell r="U707">
            <v>0</v>
          </cell>
          <cell r="V707">
            <v>0</v>
          </cell>
          <cell r="X707">
            <v>0</v>
          </cell>
          <cell r="Z707">
            <v>0</v>
          </cell>
          <cell r="AB707">
            <v>0</v>
          </cell>
        </row>
        <row r="708">
          <cell r="A708">
            <v>34</v>
          </cell>
          <cell r="B708" t="str">
            <v>Besi hollow 2/4</v>
          </cell>
          <cell r="C708" t="str">
            <v>Kg</v>
          </cell>
          <cell r="D708">
            <v>74462.500000000058</v>
          </cell>
          <cell r="F708">
            <v>0</v>
          </cell>
          <cell r="G708">
            <v>0</v>
          </cell>
          <cell r="H708">
            <v>0</v>
          </cell>
          <cell r="I708">
            <v>0</v>
          </cell>
          <cell r="J708">
            <v>0</v>
          </cell>
          <cell r="K708">
            <v>0</v>
          </cell>
          <cell r="L708">
            <v>0</v>
          </cell>
          <cell r="M708">
            <v>0</v>
          </cell>
          <cell r="N708">
            <v>0</v>
          </cell>
          <cell r="P708">
            <v>0</v>
          </cell>
          <cell r="R708">
            <v>0</v>
          </cell>
          <cell r="T708">
            <v>0</v>
          </cell>
          <cell r="U708">
            <v>0</v>
          </cell>
          <cell r="V708">
            <v>0</v>
          </cell>
          <cell r="X708">
            <v>0</v>
          </cell>
          <cell r="Z708">
            <v>0</v>
          </cell>
          <cell r="AB708">
            <v>0</v>
          </cell>
        </row>
        <row r="709">
          <cell r="A709">
            <v>35</v>
          </cell>
          <cell r="B709" t="str">
            <v>Kaca Tempered 12 mm</v>
          </cell>
          <cell r="C709" t="str">
            <v>M2</v>
          </cell>
          <cell r="D709">
            <v>528395.75</v>
          </cell>
          <cell r="F709">
            <v>0</v>
          </cell>
          <cell r="G709">
            <v>0</v>
          </cell>
          <cell r="H709">
            <v>0</v>
          </cell>
          <cell r="I709">
            <v>0</v>
          </cell>
          <cell r="J709">
            <v>0</v>
          </cell>
          <cell r="K709">
            <v>0</v>
          </cell>
          <cell r="L709">
            <v>0</v>
          </cell>
          <cell r="M709">
            <v>0</v>
          </cell>
          <cell r="N709">
            <v>0</v>
          </cell>
          <cell r="P709">
            <v>0</v>
          </cell>
          <cell r="R709">
            <v>0</v>
          </cell>
          <cell r="T709">
            <v>0</v>
          </cell>
          <cell r="U709">
            <v>0</v>
          </cell>
          <cell r="V709">
            <v>0</v>
          </cell>
          <cell r="X709">
            <v>0</v>
          </cell>
          <cell r="Z709">
            <v>0</v>
          </cell>
          <cell r="AB709">
            <v>0</v>
          </cell>
        </row>
        <row r="710">
          <cell r="A710">
            <v>36</v>
          </cell>
          <cell r="B710" t="str">
            <v>Glass Block</v>
          </cell>
          <cell r="C710" t="str">
            <v>Bh</v>
          </cell>
          <cell r="D710">
            <v>45000</v>
          </cell>
          <cell r="F710">
            <v>0</v>
          </cell>
          <cell r="G710">
            <v>0</v>
          </cell>
          <cell r="H710">
            <v>0</v>
          </cell>
          <cell r="I710">
            <v>0</v>
          </cell>
          <cell r="J710">
            <v>0</v>
          </cell>
          <cell r="K710">
            <v>0</v>
          </cell>
          <cell r="L710">
            <v>0</v>
          </cell>
          <cell r="M710">
            <v>0</v>
          </cell>
          <cell r="N710">
            <v>0</v>
          </cell>
          <cell r="P710">
            <v>0</v>
          </cell>
          <cell r="R710">
            <v>0</v>
          </cell>
          <cell r="T710">
            <v>0</v>
          </cell>
          <cell r="U710">
            <v>0</v>
          </cell>
          <cell r="V710">
            <v>0</v>
          </cell>
          <cell r="X710">
            <v>0</v>
          </cell>
          <cell r="Z710">
            <v>0</v>
          </cell>
          <cell r="AB710">
            <v>0</v>
          </cell>
        </row>
        <row r="711">
          <cell r="A711">
            <v>37</v>
          </cell>
          <cell r="B711" t="str">
            <v>Kaca Es</v>
          </cell>
          <cell r="C711" t="str">
            <v>M2</v>
          </cell>
          <cell r="D711">
            <v>66700</v>
          </cell>
          <cell r="F711">
            <v>0</v>
          </cell>
          <cell r="G711">
            <v>0</v>
          </cell>
          <cell r="H711">
            <v>0</v>
          </cell>
          <cell r="I711">
            <v>0</v>
          </cell>
          <cell r="J711">
            <v>0</v>
          </cell>
          <cell r="K711">
            <v>0</v>
          </cell>
          <cell r="L711">
            <v>0</v>
          </cell>
          <cell r="M711">
            <v>0</v>
          </cell>
          <cell r="N711">
            <v>0</v>
          </cell>
          <cell r="P711">
            <v>0</v>
          </cell>
          <cell r="R711">
            <v>0</v>
          </cell>
          <cell r="T711">
            <v>0</v>
          </cell>
          <cell r="U711">
            <v>0</v>
          </cell>
          <cell r="V711">
            <v>0</v>
          </cell>
          <cell r="W711">
            <v>0.24</v>
          </cell>
          <cell r="X711">
            <v>16008</v>
          </cell>
          <cell r="Y711">
            <v>0.24</v>
          </cell>
          <cell r="Z711">
            <v>16008</v>
          </cell>
          <cell r="AB711">
            <v>0</v>
          </cell>
        </row>
        <row r="712">
          <cell r="A712">
            <v>38</v>
          </cell>
          <cell r="B712" t="str">
            <v>Krepyak Kaca Nako + Kerangka</v>
          </cell>
          <cell r="C712" t="str">
            <v>M2</v>
          </cell>
          <cell r="D712">
            <v>81300</v>
          </cell>
          <cell r="F712">
            <v>0</v>
          </cell>
          <cell r="G712">
            <v>0</v>
          </cell>
          <cell r="H712">
            <v>0</v>
          </cell>
          <cell r="I712">
            <v>0</v>
          </cell>
          <cell r="J712">
            <v>0</v>
          </cell>
          <cell r="K712">
            <v>0</v>
          </cell>
          <cell r="L712">
            <v>0</v>
          </cell>
          <cell r="M712">
            <v>0</v>
          </cell>
          <cell r="N712">
            <v>0</v>
          </cell>
          <cell r="P712">
            <v>0</v>
          </cell>
          <cell r="R712">
            <v>0</v>
          </cell>
          <cell r="T712">
            <v>0</v>
          </cell>
          <cell r="U712">
            <v>0</v>
          </cell>
          <cell r="V712">
            <v>0</v>
          </cell>
          <cell r="X712">
            <v>0</v>
          </cell>
          <cell r="Z712">
            <v>0</v>
          </cell>
          <cell r="AB712">
            <v>0</v>
          </cell>
        </row>
        <row r="713">
          <cell r="A713">
            <v>39</v>
          </cell>
          <cell r="B713" t="str">
            <v>Sticker Efek Kaca Es</v>
          </cell>
          <cell r="C713" t="str">
            <v>M2</v>
          </cell>
          <cell r="D713">
            <v>150000</v>
          </cell>
          <cell r="F713">
            <v>0</v>
          </cell>
          <cell r="G713">
            <v>0</v>
          </cell>
          <cell r="H713">
            <v>0</v>
          </cell>
          <cell r="I713">
            <v>0</v>
          </cell>
          <cell r="J713">
            <v>0</v>
          </cell>
          <cell r="K713">
            <v>0</v>
          </cell>
          <cell r="L713">
            <v>0</v>
          </cell>
          <cell r="M713">
            <v>0</v>
          </cell>
          <cell r="N713">
            <v>0</v>
          </cell>
          <cell r="P713">
            <v>0</v>
          </cell>
          <cell r="R713">
            <v>0</v>
          </cell>
          <cell r="T713">
            <v>0</v>
          </cell>
          <cell r="U713">
            <v>0</v>
          </cell>
          <cell r="V713">
            <v>0</v>
          </cell>
          <cell r="X713">
            <v>0</v>
          </cell>
          <cell r="Z713">
            <v>0</v>
          </cell>
          <cell r="AB713">
            <v>0</v>
          </cell>
        </row>
        <row r="714">
          <cell r="A714">
            <v>40</v>
          </cell>
          <cell r="B714" t="str">
            <v>Rel Pintu Dorong</v>
          </cell>
          <cell r="C714" t="str">
            <v>M'</v>
          </cell>
          <cell r="D714">
            <v>275000</v>
          </cell>
          <cell r="F714">
            <v>0</v>
          </cell>
          <cell r="G714">
            <v>0</v>
          </cell>
          <cell r="H714">
            <v>0</v>
          </cell>
          <cell r="I714">
            <v>0</v>
          </cell>
          <cell r="J714">
            <v>0</v>
          </cell>
          <cell r="K714">
            <v>0</v>
          </cell>
          <cell r="L714">
            <v>0</v>
          </cell>
          <cell r="M714">
            <v>0</v>
          </cell>
          <cell r="N714">
            <v>0</v>
          </cell>
          <cell r="P714">
            <v>0</v>
          </cell>
          <cell r="R714">
            <v>0</v>
          </cell>
          <cell r="T714">
            <v>0</v>
          </cell>
          <cell r="U714">
            <v>0</v>
          </cell>
          <cell r="V714">
            <v>0</v>
          </cell>
          <cell r="X714">
            <v>0</v>
          </cell>
          <cell r="Z714">
            <v>0</v>
          </cell>
          <cell r="AB714">
            <v>0</v>
          </cell>
        </row>
        <row r="715">
          <cell r="A715">
            <v>41</v>
          </cell>
          <cell r="B715" t="str">
            <v>Rolling Door</v>
          </cell>
          <cell r="C715" t="str">
            <v>M2</v>
          </cell>
          <cell r="D715">
            <v>358100</v>
          </cell>
          <cell r="F715">
            <v>0</v>
          </cell>
          <cell r="G715">
            <v>0</v>
          </cell>
          <cell r="H715">
            <v>0</v>
          </cell>
          <cell r="I715">
            <v>0</v>
          </cell>
          <cell r="J715">
            <v>0</v>
          </cell>
          <cell r="K715">
            <v>0</v>
          </cell>
          <cell r="L715">
            <v>0</v>
          </cell>
          <cell r="M715">
            <v>0</v>
          </cell>
          <cell r="N715">
            <v>0</v>
          </cell>
          <cell r="P715">
            <v>0</v>
          </cell>
          <cell r="R715">
            <v>0</v>
          </cell>
          <cell r="T715">
            <v>0</v>
          </cell>
          <cell r="U715">
            <v>0</v>
          </cell>
          <cell r="V715">
            <v>0</v>
          </cell>
          <cell r="X715">
            <v>0</v>
          </cell>
          <cell r="Z715">
            <v>0</v>
          </cell>
          <cell r="AA715">
            <v>7.789600000000001</v>
          </cell>
          <cell r="AB715">
            <v>2789455.7600000002</v>
          </cell>
        </row>
        <row r="716">
          <cell r="A716">
            <v>42</v>
          </cell>
          <cell r="B716" t="str">
            <v>Roster</v>
          </cell>
          <cell r="C716" t="str">
            <v>M2</v>
          </cell>
          <cell r="D716">
            <v>133850</v>
          </cell>
          <cell r="F716">
            <v>0</v>
          </cell>
          <cell r="G716">
            <v>0</v>
          </cell>
          <cell r="H716">
            <v>0</v>
          </cell>
          <cell r="I716">
            <v>0</v>
          </cell>
          <cell r="J716">
            <v>0</v>
          </cell>
          <cell r="K716">
            <v>0</v>
          </cell>
          <cell r="L716">
            <v>0</v>
          </cell>
          <cell r="M716">
            <v>0</v>
          </cell>
          <cell r="N716">
            <v>0</v>
          </cell>
          <cell r="P716">
            <v>0</v>
          </cell>
          <cell r="R716">
            <v>0</v>
          </cell>
          <cell r="T716">
            <v>0</v>
          </cell>
          <cell r="U716">
            <v>0</v>
          </cell>
          <cell r="V716">
            <v>0</v>
          </cell>
          <cell r="X716">
            <v>0</v>
          </cell>
          <cell r="Z716">
            <v>0</v>
          </cell>
          <cell r="AB716">
            <v>0</v>
          </cell>
        </row>
        <row r="717">
          <cell r="A717">
            <v>43</v>
          </cell>
          <cell r="B717" t="str">
            <v>Gipsum Board</v>
          </cell>
          <cell r="C717" t="str">
            <v>M2</v>
          </cell>
          <cell r="D717">
            <v>29000</v>
          </cell>
          <cell r="F717">
            <v>0</v>
          </cell>
          <cell r="G717">
            <v>0</v>
          </cell>
          <cell r="H717">
            <v>0</v>
          </cell>
          <cell r="I717">
            <v>0</v>
          </cell>
          <cell r="J717">
            <v>0</v>
          </cell>
          <cell r="K717">
            <v>0</v>
          </cell>
          <cell r="L717">
            <v>0</v>
          </cell>
          <cell r="M717">
            <v>0</v>
          </cell>
          <cell r="N717">
            <v>0</v>
          </cell>
          <cell r="P717">
            <v>0</v>
          </cell>
          <cell r="R717">
            <v>0</v>
          </cell>
          <cell r="T717">
            <v>0</v>
          </cell>
          <cell r="U717">
            <v>0</v>
          </cell>
          <cell r="V717">
            <v>0</v>
          </cell>
          <cell r="X717">
            <v>0</v>
          </cell>
          <cell r="Z717">
            <v>0</v>
          </cell>
          <cell r="AB717">
            <v>0</v>
          </cell>
        </row>
        <row r="718">
          <cell r="A718">
            <v>44</v>
          </cell>
          <cell r="B718" t="str">
            <v>List Gipsum</v>
          </cell>
          <cell r="C718" t="str">
            <v>M'</v>
          </cell>
          <cell r="D718">
            <v>17300</v>
          </cell>
          <cell r="F718">
            <v>0</v>
          </cell>
          <cell r="G718">
            <v>0</v>
          </cell>
          <cell r="H718">
            <v>0</v>
          </cell>
          <cell r="I718">
            <v>0</v>
          </cell>
          <cell r="J718">
            <v>0</v>
          </cell>
          <cell r="K718">
            <v>0</v>
          </cell>
          <cell r="L718">
            <v>0</v>
          </cell>
          <cell r="M718">
            <v>0</v>
          </cell>
          <cell r="N718">
            <v>0</v>
          </cell>
          <cell r="P718">
            <v>0</v>
          </cell>
          <cell r="R718">
            <v>0</v>
          </cell>
          <cell r="T718">
            <v>0</v>
          </cell>
          <cell r="U718">
            <v>0</v>
          </cell>
          <cell r="V718">
            <v>0</v>
          </cell>
          <cell r="X718">
            <v>0</v>
          </cell>
          <cell r="Z718">
            <v>0</v>
          </cell>
          <cell r="AB718">
            <v>0</v>
          </cell>
        </row>
        <row r="719">
          <cell r="A719">
            <v>45</v>
          </cell>
          <cell r="B719" t="str">
            <v>Sealent</v>
          </cell>
          <cell r="C719" t="str">
            <v>M'</v>
          </cell>
          <cell r="D719">
            <v>8400</v>
          </cell>
          <cell r="E719">
            <v>5.68</v>
          </cell>
          <cell r="F719">
            <v>47712</v>
          </cell>
          <cell r="G719">
            <v>0</v>
          </cell>
          <cell r="H719">
            <v>0</v>
          </cell>
          <cell r="I719">
            <v>0</v>
          </cell>
          <cell r="J719">
            <v>0</v>
          </cell>
          <cell r="K719">
            <v>0</v>
          </cell>
          <cell r="L719">
            <v>0</v>
          </cell>
          <cell r="M719">
            <v>0</v>
          </cell>
          <cell r="N719">
            <v>0</v>
          </cell>
          <cell r="O719">
            <v>1.76</v>
          </cell>
          <cell r="P719">
            <v>14784</v>
          </cell>
          <cell r="Q719">
            <v>18.04</v>
          </cell>
          <cell r="R719">
            <v>151536</v>
          </cell>
          <cell r="S719">
            <v>5.08</v>
          </cell>
          <cell r="T719">
            <v>42672</v>
          </cell>
          <cell r="U719">
            <v>3.05</v>
          </cell>
          <cell r="V719">
            <v>25620</v>
          </cell>
          <cell r="W719">
            <v>6.4</v>
          </cell>
          <cell r="X719">
            <v>53760</v>
          </cell>
          <cell r="Y719">
            <v>6.4</v>
          </cell>
          <cell r="Z719">
            <v>53760</v>
          </cell>
          <cell r="AA719">
            <v>23.12</v>
          </cell>
          <cell r="AB719">
            <v>194208</v>
          </cell>
        </row>
        <row r="720">
          <cell r="A720">
            <v>46</v>
          </cell>
          <cell r="B720" t="str">
            <v>Benangan Kusen</v>
          </cell>
          <cell r="C720" t="str">
            <v>M'</v>
          </cell>
          <cell r="D720">
            <v>4296.0074999999997</v>
          </cell>
          <cell r="E720">
            <v>11.76</v>
          </cell>
          <cell r="F720">
            <v>50521.048199999997</v>
          </cell>
          <cell r="G720">
            <v>5.5990000000000002</v>
          </cell>
          <cell r="H720">
            <v>24053.345992499999</v>
          </cell>
          <cell r="I720">
            <v>5.5990000000000002</v>
          </cell>
          <cell r="J720">
            <v>24053.345992499999</v>
          </cell>
          <cell r="K720">
            <v>5.7839999999999998</v>
          </cell>
          <cell r="L720">
            <v>24848.107379999998</v>
          </cell>
          <cell r="M720">
            <v>5.7839999999999998</v>
          </cell>
          <cell r="N720">
            <v>24848.107379999998</v>
          </cell>
          <cell r="O720">
            <v>0</v>
          </cell>
          <cell r="P720">
            <v>0</v>
          </cell>
          <cell r="Q720">
            <v>13.6</v>
          </cell>
          <cell r="R720">
            <v>58425.701999999997</v>
          </cell>
          <cell r="S720">
            <v>6.9999999999999991</v>
          </cell>
          <cell r="T720">
            <v>30072.052499999994</v>
          </cell>
          <cell r="U720">
            <v>8.5</v>
          </cell>
          <cell r="V720">
            <v>36516.063750000001</v>
          </cell>
          <cell r="W720">
            <v>4</v>
          </cell>
          <cell r="X720">
            <v>17184.03</v>
          </cell>
          <cell r="Y720">
            <v>4</v>
          </cell>
          <cell r="Z720">
            <v>17184.03</v>
          </cell>
          <cell r="AB720">
            <v>0</v>
          </cell>
        </row>
        <row r="721">
          <cell r="A721">
            <v>47</v>
          </cell>
          <cell r="B721" t="str">
            <v xml:space="preserve">Cat Kayu </v>
          </cell>
          <cell r="C721" t="str">
            <v>M2</v>
          </cell>
          <cell r="D721">
            <v>19370.5</v>
          </cell>
          <cell r="E721">
            <v>6.6879999999999997</v>
          </cell>
          <cell r="F721">
            <v>129549.90399999999</v>
          </cell>
          <cell r="G721">
            <v>0</v>
          </cell>
          <cell r="H721">
            <v>0</v>
          </cell>
          <cell r="I721">
            <v>0</v>
          </cell>
          <cell r="J721">
            <v>0</v>
          </cell>
          <cell r="K721">
            <v>4.0991999999999997</v>
          </cell>
          <cell r="L721">
            <v>79403.553599999999</v>
          </cell>
          <cell r="M721">
            <v>4.0991999999999997</v>
          </cell>
          <cell r="N721">
            <v>79403.553599999999</v>
          </cell>
          <cell r="O721">
            <v>0</v>
          </cell>
          <cell r="P721">
            <v>0</v>
          </cell>
          <cell r="R721">
            <v>0</v>
          </cell>
          <cell r="T721">
            <v>0</v>
          </cell>
          <cell r="U721">
            <v>0</v>
          </cell>
          <cell r="V721">
            <v>0</v>
          </cell>
          <cell r="X721">
            <v>0</v>
          </cell>
          <cell r="Z721">
            <v>0</v>
          </cell>
          <cell r="AB721">
            <v>0</v>
          </cell>
        </row>
        <row r="722">
          <cell r="A722">
            <v>48</v>
          </cell>
          <cell r="B722" t="str">
            <v>Cat Besi</v>
          </cell>
          <cell r="C722" t="str">
            <v>M2</v>
          </cell>
          <cell r="D722">
            <v>13698</v>
          </cell>
          <cell r="F722">
            <v>0</v>
          </cell>
          <cell r="G722">
            <v>5.6445590696960588</v>
          </cell>
          <cell r="H722">
            <v>77319.170136696615</v>
          </cell>
          <cell r="I722">
            <v>5.6445590696960588</v>
          </cell>
          <cell r="J722">
            <v>77319.170136696615</v>
          </cell>
          <cell r="K722">
            <v>0</v>
          </cell>
          <cell r="L722">
            <v>0</v>
          </cell>
          <cell r="M722">
            <v>0</v>
          </cell>
          <cell r="N722">
            <v>0</v>
          </cell>
          <cell r="O722">
            <v>0</v>
          </cell>
          <cell r="P722">
            <v>0</v>
          </cell>
          <cell r="R722">
            <v>0</v>
          </cell>
          <cell r="T722">
            <v>0</v>
          </cell>
          <cell r="U722">
            <v>0</v>
          </cell>
          <cell r="V722">
            <v>0</v>
          </cell>
          <cell r="X722">
            <v>0</v>
          </cell>
          <cell r="Z722">
            <v>0</v>
          </cell>
          <cell r="AB722">
            <v>0</v>
          </cell>
        </row>
        <row r="723">
          <cell r="A723">
            <v>49</v>
          </cell>
          <cell r="B723" t="str">
            <v>Cat Dinding</v>
          </cell>
          <cell r="C723" t="str">
            <v>M2</v>
          </cell>
          <cell r="D723">
            <v>9900</v>
          </cell>
          <cell r="F723">
            <v>0</v>
          </cell>
          <cell r="G723">
            <v>0</v>
          </cell>
          <cell r="H723">
            <v>0</v>
          </cell>
          <cell r="I723">
            <v>0</v>
          </cell>
          <cell r="J723">
            <v>0</v>
          </cell>
          <cell r="K723">
            <v>0</v>
          </cell>
          <cell r="L723">
            <v>0</v>
          </cell>
          <cell r="M723">
            <v>0</v>
          </cell>
          <cell r="N723">
            <v>0</v>
          </cell>
          <cell r="P723">
            <v>0</v>
          </cell>
          <cell r="R723">
            <v>0</v>
          </cell>
          <cell r="T723">
            <v>0</v>
          </cell>
          <cell r="U723">
            <v>0</v>
          </cell>
          <cell r="V723">
            <v>0</v>
          </cell>
          <cell r="X723">
            <v>0</v>
          </cell>
          <cell r="Z723">
            <v>0</v>
          </cell>
          <cell r="AB723">
            <v>0</v>
          </cell>
        </row>
        <row r="724">
          <cell r="A724">
            <v>50</v>
          </cell>
          <cell r="B724" t="str">
            <v>Rel Jendela Geser</v>
          </cell>
          <cell r="C724" t="str">
            <v>M'</v>
          </cell>
          <cell r="D724">
            <v>275000</v>
          </cell>
          <cell r="F724">
            <v>0</v>
          </cell>
          <cell r="I724">
            <v>0</v>
          </cell>
          <cell r="J724">
            <v>0</v>
          </cell>
          <cell r="K724">
            <v>0</v>
          </cell>
          <cell r="L724">
            <v>0</v>
          </cell>
          <cell r="M724">
            <v>0</v>
          </cell>
          <cell r="N724">
            <v>0</v>
          </cell>
          <cell r="P724">
            <v>0</v>
          </cell>
          <cell r="R724">
            <v>0</v>
          </cell>
          <cell r="T724">
            <v>0</v>
          </cell>
          <cell r="U724">
            <v>0</v>
          </cell>
          <cell r="V724">
            <v>0</v>
          </cell>
          <cell r="X724">
            <v>0</v>
          </cell>
          <cell r="Z724">
            <v>0</v>
          </cell>
          <cell r="AB724">
            <v>0</v>
          </cell>
        </row>
        <row r="725">
          <cell r="AB725">
            <v>0</v>
          </cell>
        </row>
        <row r="726">
          <cell r="B726" t="str">
            <v>Jumlah Harga</v>
          </cell>
          <cell r="F726">
            <v>3295405.1922000004</v>
          </cell>
          <cell r="H726">
            <v>1760337.7291291971</v>
          </cell>
          <cell r="J726">
            <v>1760337.7291291971</v>
          </cell>
          <cell r="L726">
            <v>1690743.9109799999</v>
          </cell>
          <cell r="N726">
            <v>1690743.9109799999</v>
          </cell>
          <cell r="P726">
            <v>2060105.16</v>
          </cell>
          <cell r="R726">
            <v>1884105.1171249999</v>
          </cell>
          <cell r="T726">
            <v>583333.77249999996</v>
          </cell>
          <cell r="V726">
            <v>340632.49875000003</v>
          </cell>
          <cell r="X726">
            <v>86952.03</v>
          </cell>
          <cell r="Z726">
            <v>100292.03</v>
          </cell>
          <cell r="AB726">
            <v>3320793.7600000002</v>
          </cell>
        </row>
        <row r="728">
          <cell r="Z728">
            <v>100292.03</v>
          </cell>
        </row>
        <row r="729">
          <cell r="AB729">
            <v>3320793.7600000002</v>
          </cell>
        </row>
        <row r="730">
          <cell r="A730" t="str">
            <v>No.</v>
          </cell>
          <cell r="B730" t="str">
            <v>Item Pekerjaan</v>
          </cell>
          <cell r="C730" t="str">
            <v>Satuan</v>
          </cell>
          <cell r="D730" t="str">
            <v>Harga Satuan</v>
          </cell>
          <cell r="E730" t="str">
            <v>P1</v>
          </cell>
          <cell r="G730" t="str">
            <v>P2</v>
          </cell>
          <cell r="I730" t="str">
            <v>P2'</v>
          </cell>
          <cell r="K730" t="str">
            <v>P3</v>
          </cell>
          <cell r="M730" t="str">
            <v>P3'</v>
          </cell>
          <cell r="O730" t="str">
            <v>J1</v>
          </cell>
          <cell r="Q730" t="str">
            <v>BV1</v>
          </cell>
        </row>
        <row r="731">
          <cell r="D731" t="str">
            <v>Rp.</v>
          </cell>
          <cell r="E731" t="str">
            <v>Vol.</v>
          </cell>
          <cell r="F731" t="str">
            <v>Jumlah Harga</v>
          </cell>
          <cell r="G731" t="str">
            <v>Vol.</v>
          </cell>
          <cell r="H731" t="str">
            <v>Jumlah Harga</v>
          </cell>
          <cell r="I731" t="str">
            <v>Vol.</v>
          </cell>
          <cell r="J731" t="str">
            <v>Jumlah Harga</v>
          </cell>
          <cell r="K731" t="str">
            <v>Vol.</v>
          </cell>
          <cell r="L731" t="str">
            <v>Jumlah Harga</v>
          </cell>
          <cell r="M731" t="str">
            <v>Vol.</v>
          </cell>
          <cell r="N731" t="str">
            <v>Jumlah Harga</v>
          </cell>
          <cell r="O731" t="str">
            <v>Vol.</v>
          </cell>
          <cell r="P731" t="str">
            <v>Jumlah Harga</v>
          </cell>
          <cell r="Q731" t="str">
            <v>Vol.</v>
          </cell>
          <cell r="R731" t="str">
            <v>Jumlah Harga</v>
          </cell>
        </row>
        <row r="732">
          <cell r="A732" t="str">
            <v>X.</v>
          </cell>
          <cell r="B732" t="str">
            <v>UNIT LAP. TENIS (OUT DOOR)</v>
          </cell>
          <cell r="D732" t="str">
            <v>Rp.</v>
          </cell>
          <cell r="E732" t="str">
            <v>Vol.</v>
          </cell>
          <cell r="F732" t="str">
            <v>Jumlah Harga</v>
          </cell>
          <cell r="G732" t="str">
            <v>Vol.</v>
          </cell>
          <cell r="H732" t="str">
            <v>Jumlah Harga</v>
          </cell>
          <cell r="I732" t="str">
            <v>Vol.</v>
          </cell>
          <cell r="J732" t="str">
            <v>Jumlah Harga</v>
          </cell>
          <cell r="K732" t="str">
            <v>Vol.</v>
          </cell>
          <cell r="L732" t="str">
            <v>Jumlah Harga</v>
          </cell>
          <cell r="M732" t="str">
            <v>Vol.</v>
          </cell>
          <cell r="N732" t="str">
            <v>Jumlah Harga</v>
          </cell>
          <cell r="O732" t="str">
            <v>Vol.</v>
          </cell>
          <cell r="P732" t="str">
            <v>Jumlah Harga</v>
          </cell>
          <cell r="Q732" t="str">
            <v>Vol.</v>
          </cell>
          <cell r="R732" t="str">
            <v>Jumlah Harga</v>
          </cell>
        </row>
        <row r="733">
          <cell r="A733" t="str">
            <v>X.</v>
          </cell>
          <cell r="B733" t="str">
            <v>UNIT LAP. TENIS (OUT DOOR)</v>
          </cell>
        </row>
        <row r="734">
          <cell r="A734">
            <v>1</v>
          </cell>
          <cell r="B734" t="str">
            <v>Kayu 6/12</v>
          </cell>
          <cell r="C734" t="str">
            <v>M3</v>
          </cell>
          <cell r="D734">
            <v>0</v>
          </cell>
          <cell r="E734">
            <v>2.3120000000000002E-2</v>
          </cell>
          <cell r="F734">
            <v>0</v>
          </cell>
          <cell r="G734">
            <v>0</v>
          </cell>
          <cell r="H734">
            <v>0</v>
          </cell>
          <cell r="I734">
            <v>0</v>
          </cell>
          <cell r="J734">
            <v>0</v>
          </cell>
          <cell r="K734">
            <v>3.6144000000000003E-2</v>
          </cell>
          <cell r="L734">
            <v>0</v>
          </cell>
          <cell r="M734">
            <v>3.6144000000000003E-2</v>
          </cell>
          <cell r="N734">
            <v>0</v>
          </cell>
          <cell r="O734">
            <v>0</v>
          </cell>
          <cell r="P734">
            <v>0</v>
          </cell>
          <cell r="Q734">
            <v>0</v>
          </cell>
          <cell r="R734">
            <v>0</v>
          </cell>
        </row>
        <row r="735">
          <cell r="A735">
            <v>2</v>
          </cell>
          <cell r="B735" t="str">
            <v>Kayu Slimar 3/10</v>
          </cell>
          <cell r="C735" t="str">
            <v>M3</v>
          </cell>
          <cell r="D735">
            <v>0</v>
          </cell>
          <cell r="E735">
            <v>6.4000000000000012E-3</v>
          </cell>
          <cell r="F735">
            <v>0</v>
          </cell>
          <cell r="G735">
            <v>0</v>
          </cell>
          <cell r="H735">
            <v>0</v>
          </cell>
          <cell r="I735">
            <v>0</v>
          </cell>
          <cell r="J735">
            <v>0</v>
          </cell>
          <cell r="K735">
            <v>1.4159999999999999E-2</v>
          </cell>
          <cell r="L735">
            <v>0</v>
          </cell>
          <cell r="M735">
            <v>1.4159999999999999E-2</v>
          </cell>
          <cell r="N735">
            <v>0</v>
          </cell>
          <cell r="O735">
            <v>0</v>
          </cell>
          <cell r="P735">
            <v>0</v>
          </cell>
          <cell r="Q735">
            <v>0</v>
          </cell>
          <cell r="R735">
            <v>0</v>
          </cell>
        </row>
        <row r="736">
          <cell r="A736">
            <v>3</v>
          </cell>
          <cell r="B736" t="str">
            <v>Kayu Slimar 3/15</v>
          </cell>
          <cell r="C736" t="str">
            <v>M3</v>
          </cell>
          <cell r="D736">
            <v>0</v>
          </cell>
          <cell r="E736">
            <v>14.399999999999999</v>
          </cell>
          <cell r="F736">
            <v>0</v>
          </cell>
          <cell r="G736">
            <v>0</v>
          </cell>
          <cell r="H736">
            <v>0</v>
          </cell>
          <cell r="I736">
            <v>0</v>
          </cell>
          <cell r="J736">
            <v>0</v>
          </cell>
          <cell r="K736">
            <v>2.6999999999999997E-3</v>
          </cell>
          <cell r="L736">
            <v>0</v>
          </cell>
          <cell r="M736">
            <v>2.6999999999999997E-3</v>
          </cell>
          <cell r="N736">
            <v>0</v>
          </cell>
          <cell r="O736">
            <v>0</v>
          </cell>
          <cell r="P736">
            <v>0</v>
          </cell>
          <cell r="Q736">
            <v>0</v>
          </cell>
          <cell r="R736">
            <v>0</v>
          </cell>
        </row>
        <row r="737">
          <cell r="A737">
            <v>4</v>
          </cell>
          <cell r="B737" t="str">
            <v>Kayu Slimar 3/20</v>
          </cell>
          <cell r="C737" t="str">
            <v>M3</v>
          </cell>
          <cell r="D737">
            <v>0</v>
          </cell>
          <cell r="E737">
            <v>6.6879999999999997</v>
          </cell>
          <cell r="F737">
            <v>0</v>
          </cell>
          <cell r="G737">
            <v>0</v>
          </cell>
          <cell r="H737">
            <v>0</v>
          </cell>
          <cell r="I737">
            <v>0</v>
          </cell>
          <cell r="J737">
            <v>0</v>
          </cell>
          <cell r="K737">
            <v>3.5999999999999999E-3</v>
          </cell>
          <cell r="L737">
            <v>0</v>
          </cell>
          <cell r="M737">
            <v>3.5999999999999999E-3</v>
          </cell>
          <cell r="N737">
            <v>0</v>
          </cell>
          <cell r="O737">
            <v>0</v>
          </cell>
          <cell r="P737">
            <v>0</v>
          </cell>
          <cell r="Q737">
            <v>0</v>
          </cell>
          <cell r="R737">
            <v>0</v>
          </cell>
        </row>
        <row r="738">
          <cell r="A738">
            <v>5</v>
          </cell>
          <cell r="B738" t="str">
            <v>Kayu 2/10</v>
          </cell>
          <cell r="C738" t="str">
            <v>M3</v>
          </cell>
          <cell r="D738">
            <v>0</v>
          </cell>
          <cell r="E738">
            <v>6</v>
          </cell>
          <cell r="F738">
            <v>0</v>
          </cell>
          <cell r="G738">
            <v>0</v>
          </cell>
          <cell r="H738">
            <v>0</v>
          </cell>
          <cell r="I738">
            <v>0</v>
          </cell>
          <cell r="J738">
            <v>0</v>
          </cell>
          <cell r="K738">
            <v>5.4000000000000012E-3</v>
          </cell>
          <cell r="L738">
            <v>0</v>
          </cell>
          <cell r="M738">
            <v>5.4000000000000012E-3</v>
          </cell>
          <cell r="N738">
            <v>0</v>
          </cell>
          <cell r="O738">
            <v>10.25</v>
          </cell>
          <cell r="P738">
            <v>0</v>
          </cell>
          <cell r="Q738">
            <v>2</v>
          </cell>
          <cell r="R738">
            <v>0</v>
          </cell>
        </row>
        <row r="739">
          <cell r="A739">
            <v>6</v>
          </cell>
          <cell r="B739" t="str">
            <v>Panil t = 3 cm</v>
          </cell>
          <cell r="C739" t="str">
            <v>M2</v>
          </cell>
          <cell r="D739">
            <v>0</v>
          </cell>
          <cell r="E739">
            <v>0</v>
          </cell>
          <cell r="F739">
            <v>0</v>
          </cell>
          <cell r="G739">
            <v>0</v>
          </cell>
          <cell r="H739">
            <v>0</v>
          </cell>
          <cell r="I739">
            <v>0</v>
          </cell>
          <cell r="J739">
            <v>0</v>
          </cell>
          <cell r="K739">
            <v>0.49500000000000005</v>
          </cell>
          <cell r="L739">
            <v>0</v>
          </cell>
          <cell r="M739">
            <v>0.49500000000000005</v>
          </cell>
          <cell r="N739">
            <v>0</v>
          </cell>
          <cell r="O739">
            <v>0</v>
          </cell>
          <cell r="P739">
            <v>0</v>
          </cell>
          <cell r="Q739">
            <v>0</v>
          </cell>
          <cell r="R739">
            <v>0</v>
          </cell>
        </row>
        <row r="740">
          <cell r="A740">
            <v>1</v>
          </cell>
          <cell r="B740" t="str">
            <v>Kusen Aluminium 5/10</v>
          </cell>
          <cell r="C740" t="str">
            <v>M'</v>
          </cell>
          <cell r="D740">
            <v>124948</v>
          </cell>
          <cell r="E740">
            <v>0</v>
          </cell>
          <cell r="F740">
            <v>0</v>
          </cell>
          <cell r="G740">
            <v>0</v>
          </cell>
          <cell r="H740">
            <v>0</v>
          </cell>
          <cell r="I740">
            <v>0</v>
          </cell>
          <cell r="J740">
            <v>0</v>
          </cell>
          <cell r="K740">
            <v>5</v>
          </cell>
          <cell r="L740">
            <v>624740</v>
          </cell>
          <cell r="M740">
            <v>5</v>
          </cell>
          <cell r="N740">
            <v>624740</v>
          </cell>
          <cell r="O740">
            <v>0</v>
          </cell>
          <cell r="P740">
            <v>0</v>
          </cell>
          <cell r="Q740">
            <v>0</v>
          </cell>
          <cell r="R740">
            <v>0</v>
          </cell>
        </row>
        <row r="741">
          <cell r="A741">
            <v>2</v>
          </cell>
          <cell r="B741" t="str">
            <v xml:space="preserve">Rangka Daun Jendela Alumunium </v>
          </cell>
          <cell r="C741" t="str">
            <v>M'</v>
          </cell>
          <cell r="D741">
            <v>124948</v>
          </cell>
          <cell r="E741">
            <v>0</v>
          </cell>
          <cell r="F741">
            <v>0</v>
          </cell>
          <cell r="G741">
            <v>0</v>
          </cell>
          <cell r="H741">
            <v>0</v>
          </cell>
          <cell r="I741">
            <v>0</v>
          </cell>
          <cell r="J741">
            <v>0</v>
          </cell>
          <cell r="K741">
            <v>0</v>
          </cell>
          <cell r="L741">
            <v>0</v>
          </cell>
          <cell r="M741">
            <v>0</v>
          </cell>
          <cell r="N741">
            <v>0</v>
          </cell>
          <cell r="O741">
            <v>7</v>
          </cell>
          <cell r="P741">
            <v>874636</v>
          </cell>
          <cell r="Q741">
            <v>0</v>
          </cell>
          <cell r="R741">
            <v>0</v>
          </cell>
        </row>
        <row r="742">
          <cell r="A742">
            <v>3</v>
          </cell>
          <cell r="B742" t="str">
            <v>Rangka Tiang Sirip Alumunium 1/1 Putih</v>
          </cell>
          <cell r="C742" t="str">
            <v>M'</v>
          </cell>
          <cell r="D742">
            <v>62474</v>
          </cell>
          <cell r="E742">
            <v>0</v>
          </cell>
          <cell r="F742">
            <v>0</v>
          </cell>
          <cell r="G742">
            <v>0</v>
          </cell>
          <cell r="H742">
            <v>0</v>
          </cell>
          <cell r="I742">
            <v>0</v>
          </cell>
          <cell r="J742">
            <v>0</v>
          </cell>
          <cell r="K742">
            <v>0</v>
          </cell>
          <cell r="L742">
            <v>0</v>
          </cell>
          <cell r="M742">
            <v>0</v>
          </cell>
          <cell r="N742">
            <v>0</v>
          </cell>
          <cell r="O742">
            <v>2.6</v>
          </cell>
          <cell r="P742">
            <v>162432.4</v>
          </cell>
          <cell r="Q742">
            <v>0</v>
          </cell>
          <cell r="R742">
            <v>0</v>
          </cell>
        </row>
        <row r="743">
          <cell r="A743">
            <v>4</v>
          </cell>
          <cell r="B743" t="str">
            <v>Pasang Shading Sirip Alumunium 0.2/10 +Rangka</v>
          </cell>
          <cell r="C743" t="str">
            <v>M2</v>
          </cell>
          <cell r="D743">
            <v>0</v>
          </cell>
          <cell r="E743">
            <v>0</v>
          </cell>
          <cell r="F743">
            <v>0</v>
          </cell>
          <cell r="G743">
            <v>0</v>
          </cell>
          <cell r="H743">
            <v>0</v>
          </cell>
          <cell r="I743">
            <v>0</v>
          </cell>
          <cell r="J743">
            <v>0</v>
          </cell>
          <cell r="K743">
            <v>0</v>
          </cell>
          <cell r="L743">
            <v>0</v>
          </cell>
          <cell r="M743">
            <v>0</v>
          </cell>
          <cell r="N743">
            <v>0</v>
          </cell>
          <cell r="O743">
            <v>0.26250000000000001</v>
          </cell>
          <cell r="P743">
            <v>0</v>
          </cell>
          <cell r="Q743">
            <v>0</v>
          </cell>
          <cell r="R743">
            <v>0</v>
          </cell>
        </row>
        <row r="744">
          <cell r="A744">
            <v>5</v>
          </cell>
          <cell r="B744" t="str">
            <v>Daun Pintu Panil Kamper</v>
          </cell>
          <cell r="C744" t="str">
            <v>bh</v>
          </cell>
          <cell r="D744">
            <v>550000</v>
          </cell>
          <cell r="E744">
            <v>0.19440000000000002</v>
          </cell>
          <cell r="F744">
            <v>106920.00000000001</v>
          </cell>
          <cell r="G744">
            <v>0</v>
          </cell>
          <cell r="H744">
            <v>0</v>
          </cell>
          <cell r="I744">
            <v>0</v>
          </cell>
          <cell r="J744">
            <v>0</v>
          </cell>
          <cell r="K744">
            <v>1.2</v>
          </cell>
          <cell r="L744">
            <v>660000</v>
          </cell>
          <cell r="M744">
            <v>1.2</v>
          </cell>
          <cell r="N744">
            <v>660000</v>
          </cell>
          <cell r="O744">
            <v>0</v>
          </cell>
          <cell r="P744">
            <v>0</v>
          </cell>
          <cell r="Q744">
            <v>0</v>
          </cell>
          <cell r="R744">
            <v>0</v>
          </cell>
        </row>
        <row r="745">
          <cell r="A745">
            <v>6</v>
          </cell>
          <cell r="B745" t="str">
            <v>Plat besi t = 2 mm</v>
          </cell>
          <cell r="C745" t="str">
            <v>Kg</v>
          </cell>
          <cell r="D745">
            <v>0</v>
          </cell>
          <cell r="E745">
            <v>0</v>
          </cell>
          <cell r="F745">
            <v>0</v>
          </cell>
          <cell r="G745">
            <v>57.085200000000007</v>
          </cell>
          <cell r="H745">
            <v>0</v>
          </cell>
          <cell r="I745">
            <v>57.085200000000007</v>
          </cell>
          <cell r="J745">
            <v>0</v>
          </cell>
          <cell r="K745">
            <v>0</v>
          </cell>
          <cell r="L745">
            <v>0</v>
          </cell>
          <cell r="M745">
            <v>0</v>
          </cell>
          <cell r="N745">
            <v>0</v>
          </cell>
          <cell r="O745">
            <v>0</v>
          </cell>
          <cell r="P745">
            <v>0</v>
          </cell>
          <cell r="Q745">
            <v>0</v>
          </cell>
          <cell r="R745">
            <v>0</v>
          </cell>
        </row>
        <row r="746">
          <cell r="A746">
            <v>7</v>
          </cell>
          <cell r="B746" t="str">
            <v>C 40.40.2  (pesan khusus)</v>
          </cell>
          <cell r="C746" t="str">
            <v>Kg</v>
          </cell>
          <cell r="D746">
            <v>14122.3</v>
          </cell>
          <cell r="E746">
            <v>0</v>
          </cell>
          <cell r="F746">
            <v>0</v>
          </cell>
          <cell r="G746">
            <v>42.56</v>
          </cell>
          <cell r="H746">
            <v>601045.08799999999</v>
          </cell>
          <cell r="I746">
            <v>42.56</v>
          </cell>
          <cell r="J746">
            <v>601045.08799999999</v>
          </cell>
          <cell r="K746">
            <v>0</v>
          </cell>
          <cell r="L746">
            <v>0</v>
          </cell>
          <cell r="M746">
            <v>0</v>
          </cell>
          <cell r="N746">
            <v>0</v>
          </cell>
          <cell r="O746">
            <v>0</v>
          </cell>
          <cell r="P746">
            <v>0</v>
          </cell>
          <cell r="Q746">
            <v>0</v>
          </cell>
          <cell r="R746">
            <v>0</v>
          </cell>
        </row>
        <row r="747">
          <cell r="A747">
            <v>8</v>
          </cell>
          <cell r="B747" t="str">
            <v>Handle besi dia 16 mm</v>
          </cell>
          <cell r="C747" t="str">
            <v>Set</v>
          </cell>
          <cell r="D747">
            <v>129652.5</v>
          </cell>
          <cell r="E747">
            <v>0</v>
          </cell>
          <cell r="F747">
            <v>0</v>
          </cell>
          <cell r="G747">
            <v>1</v>
          </cell>
          <cell r="H747">
            <v>129652.5</v>
          </cell>
          <cell r="I747">
            <v>1</v>
          </cell>
          <cell r="J747">
            <v>129652.5</v>
          </cell>
          <cell r="K747">
            <v>0</v>
          </cell>
          <cell r="L747">
            <v>0</v>
          </cell>
          <cell r="M747">
            <v>0</v>
          </cell>
          <cell r="N747">
            <v>0</v>
          </cell>
          <cell r="O747">
            <v>0</v>
          </cell>
          <cell r="P747">
            <v>0</v>
          </cell>
          <cell r="Q747">
            <v>0</v>
          </cell>
          <cell r="R747">
            <v>0</v>
          </cell>
        </row>
        <row r="748">
          <cell r="A748">
            <v>9</v>
          </cell>
          <cell r="B748" t="str">
            <v>Hendle pintu Stainless</v>
          </cell>
          <cell r="C748" t="str">
            <v>Set</v>
          </cell>
          <cell r="D748">
            <v>261652.5</v>
          </cell>
          <cell r="E748">
            <v>2</v>
          </cell>
          <cell r="F748">
            <v>523305</v>
          </cell>
          <cell r="G748">
            <v>0</v>
          </cell>
          <cell r="H748">
            <v>0</v>
          </cell>
          <cell r="I748">
            <v>0</v>
          </cell>
          <cell r="J748">
            <v>0</v>
          </cell>
          <cell r="K748">
            <v>0</v>
          </cell>
          <cell r="L748">
            <v>0</v>
          </cell>
          <cell r="M748">
            <v>0</v>
          </cell>
          <cell r="N748">
            <v>0</v>
          </cell>
          <cell r="O748">
            <v>0</v>
          </cell>
          <cell r="P748">
            <v>0</v>
          </cell>
          <cell r="Q748">
            <v>0</v>
          </cell>
          <cell r="R748">
            <v>0</v>
          </cell>
        </row>
        <row r="749">
          <cell r="A749">
            <v>10</v>
          </cell>
          <cell r="B749" t="str">
            <v>Kunci Pintu Handle stainleess (dorma)</v>
          </cell>
          <cell r="C749" t="str">
            <v>Set</v>
          </cell>
          <cell r="D749">
            <v>650000</v>
          </cell>
          <cell r="E749">
            <v>2</v>
          </cell>
          <cell r="F749">
            <v>1300000</v>
          </cell>
          <cell r="G749">
            <v>0</v>
          </cell>
          <cell r="H749">
            <v>0</v>
          </cell>
          <cell r="I749">
            <v>0</v>
          </cell>
          <cell r="J749">
            <v>0</v>
          </cell>
          <cell r="K749">
            <v>0</v>
          </cell>
          <cell r="L749">
            <v>0</v>
          </cell>
          <cell r="M749">
            <v>0</v>
          </cell>
          <cell r="N749">
            <v>0</v>
          </cell>
          <cell r="O749">
            <v>0</v>
          </cell>
          <cell r="P749">
            <v>0</v>
          </cell>
          <cell r="Q749">
            <v>0</v>
          </cell>
          <cell r="R749">
            <v>0</v>
          </cell>
        </row>
        <row r="750">
          <cell r="A750">
            <v>11</v>
          </cell>
          <cell r="B750" t="str">
            <v>Kunci tanam Antik</v>
          </cell>
          <cell r="C750" t="str">
            <v>Set</v>
          </cell>
          <cell r="D750">
            <v>265000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row>
        <row r="751">
          <cell r="A751">
            <v>12</v>
          </cell>
          <cell r="B751" t="str">
            <v>Kunci tanam biasa</v>
          </cell>
          <cell r="C751" t="str">
            <v>Set</v>
          </cell>
          <cell r="D751">
            <v>168565</v>
          </cell>
          <cell r="E751">
            <v>2</v>
          </cell>
          <cell r="F751">
            <v>337130</v>
          </cell>
          <cell r="G751">
            <v>1</v>
          </cell>
          <cell r="H751">
            <v>168565</v>
          </cell>
          <cell r="I751">
            <v>1</v>
          </cell>
          <cell r="J751">
            <v>168565</v>
          </cell>
          <cell r="K751">
            <v>1</v>
          </cell>
          <cell r="L751">
            <v>168565</v>
          </cell>
          <cell r="M751">
            <v>1</v>
          </cell>
          <cell r="N751">
            <v>168565</v>
          </cell>
          <cell r="O751">
            <v>0</v>
          </cell>
          <cell r="P751">
            <v>0</v>
          </cell>
          <cell r="Q751">
            <v>0</v>
          </cell>
          <cell r="R751">
            <v>0</v>
          </cell>
        </row>
        <row r="752">
          <cell r="A752">
            <v>13</v>
          </cell>
          <cell r="B752" t="str">
            <v>Kunci Silinder</v>
          </cell>
          <cell r="C752" t="str">
            <v>Set</v>
          </cell>
          <cell r="D752">
            <v>217900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row>
        <row r="753">
          <cell r="A753">
            <v>14</v>
          </cell>
          <cell r="B753" t="str">
            <v>Kunci Selot</v>
          </cell>
          <cell r="C753" t="str">
            <v>Set</v>
          </cell>
          <cell r="D753">
            <v>48300</v>
          </cell>
          <cell r="E753">
            <v>0</v>
          </cell>
          <cell r="F753">
            <v>0</v>
          </cell>
          <cell r="G753">
            <v>0</v>
          </cell>
          <cell r="H753">
            <v>0</v>
          </cell>
          <cell r="I753">
            <v>0</v>
          </cell>
          <cell r="J753">
            <v>0</v>
          </cell>
          <cell r="K753">
            <v>0</v>
          </cell>
          <cell r="L753">
            <v>0</v>
          </cell>
          <cell r="M753">
            <v>0</v>
          </cell>
          <cell r="N753">
            <v>0</v>
          </cell>
          <cell r="O753">
            <v>0</v>
          </cell>
          <cell r="P753">
            <v>0</v>
          </cell>
          <cell r="Q753">
            <v>0</v>
          </cell>
          <cell r="R753">
            <v>0</v>
          </cell>
        </row>
        <row r="754">
          <cell r="A754">
            <v>15</v>
          </cell>
          <cell r="B754" t="str">
            <v>Engsel jendela</v>
          </cell>
          <cell r="C754" t="str">
            <v>Bh</v>
          </cell>
          <cell r="D754">
            <v>16600</v>
          </cell>
          <cell r="E754">
            <v>0</v>
          </cell>
          <cell r="F754">
            <v>0</v>
          </cell>
          <cell r="G754">
            <v>0</v>
          </cell>
          <cell r="H754">
            <v>0</v>
          </cell>
          <cell r="I754">
            <v>0</v>
          </cell>
          <cell r="J754">
            <v>0</v>
          </cell>
          <cell r="K754">
            <v>0</v>
          </cell>
          <cell r="L754">
            <v>0</v>
          </cell>
          <cell r="M754">
            <v>0</v>
          </cell>
          <cell r="N754">
            <v>0</v>
          </cell>
          <cell r="O754">
            <v>6</v>
          </cell>
          <cell r="P754">
            <v>99600</v>
          </cell>
          <cell r="Q754">
            <v>0</v>
          </cell>
          <cell r="R754">
            <v>0</v>
          </cell>
        </row>
        <row r="755">
          <cell r="A755">
            <v>16</v>
          </cell>
          <cell r="B755" t="str">
            <v>Engsel pintu</v>
          </cell>
          <cell r="C755" t="str">
            <v>Bh</v>
          </cell>
          <cell r="D755">
            <v>44395.75</v>
          </cell>
          <cell r="E755">
            <v>4</v>
          </cell>
          <cell r="F755">
            <v>177583</v>
          </cell>
          <cell r="G755">
            <v>0</v>
          </cell>
          <cell r="H755">
            <v>0</v>
          </cell>
          <cell r="I755">
            <v>0</v>
          </cell>
          <cell r="J755">
            <v>0</v>
          </cell>
          <cell r="K755">
            <v>3</v>
          </cell>
          <cell r="L755">
            <v>133187.25</v>
          </cell>
          <cell r="M755">
            <v>3</v>
          </cell>
          <cell r="N755">
            <v>133187.25</v>
          </cell>
          <cell r="O755">
            <v>0</v>
          </cell>
          <cell r="P755">
            <v>0</v>
          </cell>
          <cell r="Q755">
            <v>0</v>
          </cell>
          <cell r="R755">
            <v>0</v>
          </cell>
        </row>
        <row r="756">
          <cell r="A756">
            <v>17</v>
          </cell>
          <cell r="B756" t="str">
            <v>Engsel Pintu dari pipa besi dia 2 cm</v>
          </cell>
          <cell r="C756" t="str">
            <v>Bh</v>
          </cell>
          <cell r="D756">
            <v>66593.625</v>
          </cell>
          <cell r="E756">
            <v>0</v>
          </cell>
          <cell r="F756">
            <v>0</v>
          </cell>
          <cell r="G756">
            <v>2</v>
          </cell>
          <cell r="H756">
            <v>133187.25</v>
          </cell>
          <cell r="I756">
            <v>2</v>
          </cell>
          <cell r="J756">
            <v>133187.25</v>
          </cell>
          <cell r="K756">
            <v>0</v>
          </cell>
          <cell r="L756">
            <v>0</v>
          </cell>
          <cell r="M756">
            <v>0</v>
          </cell>
          <cell r="N756">
            <v>0</v>
          </cell>
          <cell r="O756">
            <v>0</v>
          </cell>
          <cell r="P756">
            <v>0</v>
          </cell>
          <cell r="Q756">
            <v>0</v>
          </cell>
          <cell r="R756">
            <v>0</v>
          </cell>
        </row>
        <row r="757">
          <cell r="A757">
            <v>18</v>
          </cell>
          <cell r="B757" t="str">
            <v>Kait/hak angin</v>
          </cell>
          <cell r="C757" t="str">
            <v>Set</v>
          </cell>
          <cell r="D757">
            <v>27000</v>
          </cell>
          <cell r="E757">
            <v>0</v>
          </cell>
          <cell r="F757">
            <v>0</v>
          </cell>
          <cell r="G757">
            <v>0</v>
          </cell>
          <cell r="H757">
            <v>0</v>
          </cell>
          <cell r="I757">
            <v>0</v>
          </cell>
          <cell r="J757">
            <v>0</v>
          </cell>
          <cell r="K757">
            <v>0</v>
          </cell>
          <cell r="L757">
            <v>0</v>
          </cell>
          <cell r="M757">
            <v>0</v>
          </cell>
          <cell r="N757">
            <v>0</v>
          </cell>
          <cell r="O757">
            <v>6</v>
          </cell>
          <cell r="P757">
            <v>162000</v>
          </cell>
          <cell r="Q757">
            <v>0</v>
          </cell>
          <cell r="R757">
            <v>0</v>
          </cell>
        </row>
        <row r="758">
          <cell r="A758">
            <v>19</v>
          </cell>
          <cell r="B758" t="str">
            <v>Grendel pintu kuningan</v>
          </cell>
          <cell r="C758" t="str">
            <v>Bh</v>
          </cell>
          <cell r="D758">
            <v>125000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row>
        <row r="759">
          <cell r="A759">
            <v>20</v>
          </cell>
          <cell r="B759" t="str">
            <v xml:space="preserve">Grendel jendela </v>
          </cell>
          <cell r="C759" t="str">
            <v>Bh</v>
          </cell>
          <cell r="D759">
            <v>8100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row>
        <row r="760">
          <cell r="A760">
            <v>21</v>
          </cell>
          <cell r="B760" t="str">
            <v>Grendel pintu</v>
          </cell>
          <cell r="C760" t="str">
            <v>Bh</v>
          </cell>
          <cell r="D760">
            <v>14200</v>
          </cell>
          <cell r="E760">
            <v>2</v>
          </cell>
          <cell r="F760">
            <v>28400</v>
          </cell>
          <cell r="G760">
            <v>0</v>
          </cell>
          <cell r="H760">
            <v>0</v>
          </cell>
          <cell r="I760">
            <v>0</v>
          </cell>
          <cell r="J760">
            <v>0</v>
          </cell>
          <cell r="K760">
            <v>0</v>
          </cell>
          <cell r="L760">
            <v>0</v>
          </cell>
          <cell r="M760">
            <v>0</v>
          </cell>
          <cell r="N760">
            <v>0</v>
          </cell>
          <cell r="O760">
            <v>3</v>
          </cell>
          <cell r="P760">
            <v>42600</v>
          </cell>
          <cell r="Q760">
            <v>0</v>
          </cell>
          <cell r="R760">
            <v>0</v>
          </cell>
        </row>
        <row r="761">
          <cell r="A761">
            <v>22</v>
          </cell>
          <cell r="B761" t="str">
            <v>Stripting Knip</v>
          </cell>
          <cell r="C761" t="str">
            <v>Set</v>
          </cell>
          <cell r="D761">
            <v>13700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row>
        <row r="762">
          <cell r="A762">
            <v>23</v>
          </cell>
          <cell r="B762" t="str">
            <v>Door Closer</v>
          </cell>
          <cell r="C762" t="str">
            <v>Set</v>
          </cell>
          <cell r="D762">
            <v>260800</v>
          </cell>
          <cell r="E762">
            <v>2</v>
          </cell>
          <cell r="F762">
            <v>521600</v>
          </cell>
          <cell r="G762">
            <v>0</v>
          </cell>
          <cell r="H762">
            <v>0</v>
          </cell>
          <cell r="I762">
            <v>0</v>
          </cell>
          <cell r="J762">
            <v>0</v>
          </cell>
          <cell r="K762">
            <v>0</v>
          </cell>
          <cell r="L762">
            <v>0</v>
          </cell>
          <cell r="M762">
            <v>0</v>
          </cell>
          <cell r="N762">
            <v>0</v>
          </cell>
          <cell r="O762">
            <v>0</v>
          </cell>
          <cell r="P762">
            <v>0</v>
          </cell>
          <cell r="Q762">
            <v>0</v>
          </cell>
          <cell r="R762">
            <v>0</v>
          </cell>
        </row>
        <row r="763">
          <cell r="A763">
            <v>24</v>
          </cell>
          <cell r="B763" t="str">
            <v>Door Holder</v>
          </cell>
          <cell r="C763" t="str">
            <v>Set</v>
          </cell>
          <cell r="D763">
            <v>500000</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row>
        <row r="764">
          <cell r="A764">
            <v>25</v>
          </cell>
          <cell r="B764" t="str">
            <v>Door Stop</v>
          </cell>
          <cell r="C764" t="str">
            <v>Set</v>
          </cell>
          <cell r="D764">
            <v>32100</v>
          </cell>
          <cell r="E764">
            <v>2</v>
          </cell>
          <cell r="F764">
            <v>64200</v>
          </cell>
          <cell r="G764">
            <v>0</v>
          </cell>
          <cell r="H764">
            <v>0</v>
          </cell>
          <cell r="I764">
            <v>0</v>
          </cell>
          <cell r="J764">
            <v>0</v>
          </cell>
          <cell r="K764">
            <v>0</v>
          </cell>
          <cell r="L764">
            <v>0</v>
          </cell>
          <cell r="M764">
            <v>0</v>
          </cell>
          <cell r="N764">
            <v>0</v>
          </cell>
          <cell r="O764">
            <v>0</v>
          </cell>
          <cell r="P764">
            <v>0</v>
          </cell>
          <cell r="Q764">
            <v>0</v>
          </cell>
          <cell r="R764">
            <v>0</v>
          </cell>
        </row>
        <row r="765">
          <cell r="A765">
            <v>26</v>
          </cell>
          <cell r="B765" t="str">
            <v>Kaca bening 5 mm</v>
          </cell>
          <cell r="C765" t="str">
            <v>M2</v>
          </cell>
          <cell r="D765">
            <v>66700</v>
          </cell>
          <cell r="E765">
            <v>0.12719999999999998</v>
          </cell>
          <cell r="F765">
            <v>8484.239999999998</v>
          </cell>
          <cell r="G765">
            <v>0</v>
          </cell>
          <cell r="H765">
            <v>0</v>
          </cell>
          <cell r="I765">
            <v>0</v>
          </cell>
          <cell r="J765">
            <v>0</v>
          </cell>
          <cell r="K765">
            <v>0</v>
          </cell>
          <cell r="L765">
            <v>0</v>
          </cell>
          <cell r="M765">
            <v>0</v>
          </cell>
          <cell r="N765">
            <v>0</v>
          </cell>
          <cell r="O765">
            <v>0.25919999999999999</v>
          </cell>
          <cell r="P765">
            <v>17288.64</v>
          </cell>
          <cell r="Q765">
            <v>0</v>
          </cell>
          <cell r="R765">
            <v>0</v>
          </cell>
        </row>
        <row r="766">
          <cell r="A766">
            <v>27</v>
          </cell>
          <cell r="B766" t="str">
            <v>Kaca bening 10 mm</v>
          </cell>
          <cell r="C766" t="str">
            <v>M2</v>
          </cell>
          <cell r="D766">
            <v>280895.75</v>
          </cell>
          <cell r="E766">
            <v>0</v>
          </cell>
          <cell r="F766">
            <v>0</v>
          </cell>
          <cell r="G766">
            <v>0</v>
          </cell>
          <cell r="H766">
            <v>0</v>
          </cell>
          <cell r="I766">
            <v>0</v>
          </cell>
          <cell r="J766">
            <v>0</v>
          </cell>
          <cell r="K766">
            <v>0</v>
          </cell>
          <cell r="L766">
            <v>0</v>
          </cell>
          <cell r="M766">
            <v>0</v>
          </cell>
          <cell r="N766">
            <v>0</v>
          </cell>
          <cell r="O766">
            <v>1.1235000000000002</v>
          </cell>
          <cell r="P766">
            <v>315586.37512500002</v>
          </cell>
          <cell r="Q766">
            <v>0</v>
          </cell>
          <cell r="R766">
            <v>0</v>
          </cell>
        </row>
        <row r="767">
          <cell r="A767">
            <v>28</v>
          </cell>
          <cell r="B767" t="str">
            <v>Kaca Bening 12 mm</v>
          </cell>
          <cell r="C767" t="str">
            <v>M2</v>
          </cell>
          <cell r="D767">
            <v>403787.64062499994</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row>
        <row r="768">
          <cell r="A768">
            <v>29</v>
          </cell>
          <cell r="B768" t="str">
            <v>Besi hollow 4/4</v>
          </cell>
          <cell r="C768" t="str">
            <v>M'</v>
          </cell>
          <cell r="D768">
            <v>48625.000000000051</v>
          </cell>
          <cell r="E768">
            <v>0</v>
          </cell>
          <cell r="F768">
            <v>0</v>
          </cell>
          <cell r="G768">
            <v>5.09</v>
          </cell>
          <cell r="H768">
            <v>247501.25000000026</v>
          </cell>
          <cell r="I768">
            <v>5.09</v>
          </cell>
          <cell r="J768">
            <v>247501.25000000026</v>
          </cell>
          <cell r="K768">
            <v>0</v>
          </cell>
          <cell r="L768">
            <v>0</v>
          </cell>
          <cell r="M768">
            <v>0</v>
          </cell>
          <cell r="N768">
            <v>0</v>
          </cell>
          <cell r="O768">
            <v>0</v>
          </cell>
          <cell r="P768">
            <v>0</v>
          </cell>
          <cell r="Q768">
            <v>0</v>
          </cell>
          <cell r="R768">
            <v>0</v>
          </cell>
        </row>
        <row r="769">
          <cell r="A769">
            <v>30</v>
          </cell>
          <cell r="B769" t="str">
            <v>Besi hollow 6/6</v>
          </cell>
          <cell r="C769" t="str">
            <v>M'</v>
          </cell>
          <cell r="D769">
            <v>74462.500000000058</v>
          </cell>
          <cell r="E769">
            <v>0</v>
          </cell>
          <cell r="F769">
            <v>0</v>
          </cell>
          <cell r="G769">
            <v>5.09</v>
          </cell>
          <cell r="H769">
            <v>379014.12500000029</v>
          </cell>
          <cell r="I769">
            <v>5.09</v>
          </cell>
          <cell r="J769">
            <v>379014.12500000029</v>
          </cell>
          <cell r="K769">
            <v>0</v>
          </cell>
          <cell r="L769">
            <v>0</v>
          </cell>
          <cell r="M769">
            <v>0</v>
          </cell>
          <cell r="N769">
            <v>0</v>
          </cell>
          <cell r="O769">
            <v>0</v>
          </cell>
          <cell r="P769">
            <v>0</v>
          </cell>
          <cell r="Q769">
            <v>0</v>
          </cell>
          <cell r="R769">
            <v>0</v>
          </cell>
        </row>
        <row r="770">
          <cell r="A770">
            <v>31</v>
          </cell>
          <cell r="B770" t="str">
            <v>Besi hollow 2.5/5</v>
          </cell>
          <cell r="C770" t="str">
            <v>Kg</v>
          </cell>
          <cell r="D770">
            <v>74462.500000000058</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row>
        <row r="771">
          <cell r="A771">
            <v>32</v>
          </cell>
          <cell r="B771" t="str">
            <v>Besi hollow 5/5</v>
          </cell>
          <cell r="C771" t="str">
            <v>Kg</v>
          </cell>
          <cell r="D771">
            <v>74462.500000000058</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row>
        <row r="772">
          <cell r="A772">
            <v>33</v>
          </cell>
          <cell r="B772" t="str">
            <v>Besi hollow 2/2</v>
          </cell>
          <cell r="C772" t="str">
            <v>Kg</v>
          </cell>
          <cell r="D772">
            <v>74462.500000000058</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row>
        <row r="773">
          <cell r="A773">
            <v>34</v>
          </cell>
          <cell r="B773" t="str">
            <v>Besi hollow 2/4</v>
          </cell>
          <cell r="C773" t="str">
            <v>Kg</v>
          </cell>
          <cell r="D773">
            <v>74462.500000000058</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row>
        <row r="774">
          <cell r="A774">
            <v>35</v>
          </cell>
          <cell r="B774" t="str">
            <v>Kaca Tempered 12 mm</v>
          </cell>
          <cell r="C774" t="str">
            <v>M2</v>
          </cell>
          <cell r="D774">
            <v>528395.75</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row>
        <row r="775">
          <cell r="A775">
            <v>36</v>
          </cell>
          <cell r="B775" t="str">
            <v>Glass Block</v>
          </cell>
          <cell r="C775" t="str">
            <v>Bh</v>
          </cell>
          <cell r="D775">
            <v>45000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row>
        <row r="776">
          <cell r="A776">
            <v>37</v>
          </cell>
          <cell r="B776" t="str">
            <v>Kaca Es</v>
          </cell>
          <cell r="C776" t="str">
            <v>M2</v>
          </cell>
          <cell r="D776">
            <v>66700</v>
          </cell>
          <cell r="E776">
            <v>0</v>
          </cell>
          <cell r="F776">
            <v>0</v>
          </cell>
          <cell r="G776">
            <v>0</v>
          </cell>
          <cell r="H776">
            <v>0</v>
          </cell>
          <cell r="I776">
            <v>0</v>
          </cell>
          <cell r="J776">
            <v>0</v>
          </cell>
          <cell r="K776">
            <v>0</v>
          </cell>
          <cell r="L776">
            <v>0</v>
          </cell>
          <cell r="M776">
            <v>0</v>
          </cell>
          <cell r="N776">
            <v>0</v>
          </cell>
          <cell r="O776">
            <v>0</v>
          </cell>
          <cell r="P776">
            <v>0</v>
          </cell>
          <cell r="Q776">
            <v>0.24</v>
          </cell>
          <cell r="R776">
            <v>16008</v>
          </cell>
        </row>
        <row r="777">
          <cell r="A777">
            <v>38</v>
          </cell>
          <cell r="B777" t="str">
            <v>Krepyak Kaca Nako + Kerangka</v>
          </cell>
          <cell r="C777" t="str">
            <v>M2</v>
          </cell>
          <cell r="D777">
            <v>81300</v>
          </cell>
          <cell r="E777">
            <v>0</v>
          </cell>
          <cell r="F777">
            <v>0</v>
          </cell>
          <cell r="G777">
            <v>0</v>
          </cell>
          <cell r="H777">
            <v>0</v>
          </cell>
          <cell r="I777">
            <v>0</v>
          </cell>
          <cell r="J777">
            <v>0</v>
          </cell>
          <cell r="K777">
            <v>0</v>
          </cell>
          <cell r="L777">
            <v>0</v>
          </cell>
          <cell r="M777">
            <v>0</v>
          </cell>
          <cell r="N777">
            <v>0</v>
          </cell>
          <cell r="O777">
            <v>0</v>
          </cell>
          <cell r="P777">
            <v>0</v>
          </cell>
          <cell r="Q777">
            <v>0</v>
          </cell>
          <cell r="R777">
            <v>0</v>
          </cell>
        </row>
        <row r="778">
          <cell r="A778">
            <v>39</v>
          </cell>
          <cell r="B778" t="str">
            <v>Sticker Efek Kaca Es</v>
          </cell>
          <cell r="C778" t="str">
            <v>M2</v>
          </cell>
          <cell r="D778">
            <v>150000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row>
        <row r="779">
          <cell r="A779">
            <v>40</v>
          </cell>
          <cell r="B779" t="str">
            <v>Rel Pintu Dorong</v>
          </cell>
          <cell r="C779" t="str">
            <v>M'</v>
          </cell>
          <cell r="D779">
            <v>275000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row>
        <row r="780">
          <cell r="A780">
            <v>41</v>
          </cell>
          <cell r="B780" t="str">
            <v>Rolling Door</v>
          </cell>
          <cell r="C780" t="str">
            <v>M2</v>
          </cell>
          <cell r="D780">
            <v>358100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row>
        <row r="781">
          <cell r="A781">
            <v>42</v>
          </cell>
          <cell r="B781" t="str">
            <v>Roster</v>
          </cell>
          <cell r="C781" t="str">
            <v>M2</v>
          </cell>
          <cell r="D781">
            <v>133850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row>
        <row r="782">
          <cell r="A782">
            <v>43</v>
          </cell>
          <cell r="B782" t="str">
            <v>Gipsum Board</v>
          </cell>
          <cell r="C782" t="str">
            <v>M2</v>
          </cell>
          <cell r="D782">
            <v>29000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row>
        <row r="783">
          <cell r="A783">
            <v>44</v>
          </cell>
          <cell r="B783" t="str">
            <v>List Gipsum</v>
          </cell>
          <cell r="C783" t="str">
            <v>M'</v>
          </cell>
          <cell r="D783">
            <v>17300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row>
        <row r="784">
          <cell r="A784">
            <v>45</v>
          </cell>
          <cell r="B784" t="str">
            <v>Sealent</v>
          </cell>
          <cell r="C784" t="str">
            <v>M'</v>
          </cell>
          <cell r="D784">
            <v>8400</v>
          </cell>
          <cell r="E784">
            <v>5.68</v>
          </cell>
          <cell r="F784">
            <v>47712</v>
          </cell>
          <cell r="G784">
            <v>0</v>
          </cell>
          <cell r="H784">
            <v>0</v>
          </cell>
          <cell r="I784">
            <v>0</v>
          </cell>
          <cell r="J784">
            <v>0</v>
          </cell>
          <cell r="K784">
            <v>0</v>
          </cell>
          <cell r="L784">
            <v>0</v>
          </cell>
          <cell r="M784">
            <v>0</v>
          </cell>
          <cell r="N784">
            <v>0</v>
          </cell>
          <cell r="O784">
            <v>18.04</v>
          </cell>
          <cell r="P784">
            <v>151536</v>
          </cell>
          <cell r="Q784">
            <v>6.4</v>
          </cell>
          <cell r="R784">
            <v>53760</v>
          </cell>
        </row>
        <row r="785">
          <cell r="A785">
            <v>46</v>
          </cell>
          <cell r="B785" t="str">
            <v>Benangan Kusen</v>
          </cell>
          <cell r="C785" t="str">
            <v>M'</v>
          </cell>
          <cell r="D785">
            <v>4296.0074999999997</v>
          </cell>
          <cell r="E785">
            <v>11.76</v>
          </cell>
          <cell r="F785">
            <v>50521.048199999997</v>
          </cell>
          <cell r="G785">
            <v>5.5990000000000002</v>
          </cell>
          <cell r="H785">
            <v>24053.345992499999</v>
          </cell>
          <cell r="I785">
            <v>5.5990000000000002</v>
          </cell>
          <cell r="J785">
            <v>24053.345992499999</v>
          </cell>
          <cell r="K785">
            <v>5.7839999999999998</v>
          </cell>
          <cell r="L785">
            <v>24848.107379999998</v>
          </cell>
          <cell r="M785">
            <v>5.7839999999999998</v>
          </cell>
          <cell r="N785">
            <v>24848.107379999998</v>
          </cell>
          <cell r="O785">
            <v>13.6</v>
          </cell>
          <cell r="P785">
            <v>58425.701999999997</v>
          </cell>
          <cell r="Q785">
            <v>4</v>
          </cell>
          <cell r="R785">
            <v>17184.03</v>
          </cell>
        </row>
        <row r="786">
          <cell r="A786">
            <v>47</v>
          </cell>
          <cell r="B786" t="str">
            <v xml:space="preserve">Cat Kayu </v>
          </cell>
          <cell r="C786" t="str">
            <v>M2</v>
          </cell>
          <cell r="D786">
            <v>19370.5</v>
          </cell>
          <cell r="E786">
            <v>6.6879999999999997</v>
          </cell>
          <cell r="F786">
            <v>129549.90399999999</v>
          </cell>
          <cell r="G786">
            <v>0</v>
          </cell>
          <cell r="H786">
            <v>0</v>
          </cell>
          <cell r="I786">
            <v>0</v>
          </cell>
          <cell r="J786">
            <v>0</v>
          </cell>
          <cell r="K786">
            <v>4.0991999999999997</v>
          </cell>
          <cell r="L786">
            <v>79403.553599999999</v>
          </cell>
          <cell r="M786">
            <v>4.0991999999999997</v>
          </cell>
          <cell r="N786">
            <v>79403.553599999999</v>
          </cell>
          <cell r="O786">
            <v>0</v>
          </cell>
          <cell r="P786">
            <v>0</v>
          </cell>
          <cell r="Q786">
            <v>0</v>
          </cell>
          <cell r="R786">
            <v>0</v>
          </cell>
        </row>
        <row r="787">
          <cell r="A787">
            <v>48</v>
          </cell>
          <cell r="B787" t="str">
            <v>Cat Besi</v>
          </cell>
          <cell r="C787" t="str">
            <v>M2</v>
          </cell>
          <cell r="D787">
            <v>13698</v>
          </cell>
          <cell r="E787">
            <v>0</v>
          </cell>
          <cell r="F787">
            <v>0</v>
          </cell>
          <cell r="G787">
            <v>5.6445590696960588</v>
          </cell>
          <cell r="H787">
            <v>77319.170136696615</v>
          </cell>
          <cell r="I787">
            <v>5.6445590696960588</v>
          </cell>
          <cell r="J787">
            <v>77319.170136696615</v>
          </cell>
          <cell r="K787">
            <v>0</v>
          </cell>
          <cell r="L787">
            <v>0</v>
          </cell>
          <cell r="M787">
            <v>0</v>
          </cell>
          <cell r="N787">
            <v>0</v>
          </cell>
          <cell r="O787">
            <v>0</v>
          </cell>
          <cell r="P787">
            <v>0</v>
          </cell>
          <cell r="Q787">
            <v>0</v>
          </cell>
          <cell r="R787">
            <v>0</v>
          </cell>
        </row>
        <row r="788">
          <cell r="A788">
            <v>49</v>
          </cell>
          <cell r="B788" t="str">
            <v>Cat Dinding</v>
          </cell>
          <cell r="C788" t="str">
            <v>M2</v>
          </cell>
          <cell r="D788">
            <v>9900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row>
        <row r="789">
          <cell r="A789">
            <v>50</v>
          </cell>
          <cell r="B789" t="str">
            <v>Rel Jendela Geser</v>
          </cell>
          <cell r="C789" t="str">
            <v>M'</v>
          </cell>
          <cell r="D789">
            <v>275000</v>
          </cell>
          <cell r="E789">
            <v>0</v>
          </cell>
          <cell r="F789">
            <v>0</v>
          </cell>
          <cell r="G789">
            <v>0</v>
          </cell>
          <cell r="H789">
            <v>0</v>
          </cell>
          <cell r="I789">
            <v>0</v>
          </cell>
          <cell r="J789">
            <v>0</v>
          </cell>
          <cell r="K789">
            <v>0</v>
          </cell>
          <cell r="L789">
            <v>0</v>
          </cell>
          <cell r="M789">
            <v>0</v>
          </cell>
          <cell r="N789">
            <v>0</v>
          </cell>
          <cell r="R789">
            <v>0</v>
          </cell>
        </row>
        <row r="790">
          <cell r="R790">
            <v>0</v>
          </cell>
        </row>
        <row r="791">
          <cell r="B791" t="str">
            <v>Jumlah Harga</v>
          </cell>
          <cell r="F791">
            <v>3295405.1922000004</v>
          </cell>
          <cell r="H791">
            <v>1760337.7291291971</v>
          </cell>
          <cell r="J791">
            <v>1760337.7291291971</v>
          </cell>
          <cell r="L791">
            <v>1690743.9109799999</v>
          </cell>
          <cell r="N791">
            <v>1690743.9109799999</v>
          </cell>
          <cell r="P791">
            <v>1884105.1171249999</v>
          </cell>
          <cell r="R791">
            <v>86952.03</v>
          </cell>
        </row>
        <row r="792">
          <cell r="P792">
            <v>1884105.1171249999</v>
          </cell>
        </row>
        <row r="793">
          <cell r="R793">
            <v>86952.03</v>
          </cell>
        </row>
        <row r="794">
          <cell r="A794" t="str">
            <v>ANALIS ROSTER (DALAM M2)</v>
          </cell>
        </row>
        <row r="795">
          <cell r="A795" t="str">
            <v>No.</v>
          </cell>
          <cell r="B795" t="str">
            <v>Item Pekerjaan</v>
          </cell>
          <cell r="C795" t="str">
            <v>Satuan</v>
          </cell>
          <cell r="D795" t="str">
            <v>Harga Satuan</v>
          </cell>
          <cell r="E795" t="str">
            <v>P1</v>
          </cell>
        </row>
        <row r="796">
          <cell r="D796" t="str">
            <v>Rp.</v>
          </cell>
          <cell r="E796" t="str">
            <v>Vol.</v>
          </cell>
          <cell r="F796" t="str">
            <v>Jumlah Harga</v>
          </cell>
        </row>
        <row r="797">
          <cell r="A797" t="str">
            <v>XI.</v>
          </cell>
          <cell r="B797" t="str">
            <v>ANALIS ROSTER (DALAM M2)</v>
          </cell>
          <cell r="D797" t="str">
            <v>Rp.</v>
          </cell>
          <cell r="E797" t="str">
            <v>Vol.</v>
          </cell>
          <cell r="F797" t="str">
            <v>Jumlah Harga</v>
          </cell>
        </row>
        <row r="798">
          <cell r="A798" t="str">
            <v>XI.</v>
          </cell>
          <cell r="B798" t="str">
            <v>ANALIS ROSTER (DALAM M2)</v>
          </cell>
        </row>
        <row r="799">
          <cell r="A799">
            <v>1</v>
          </cell>
          <cell r="B799" t="str">
            <v>Roster</v>
          </cell>
          <cell r="C799" t="str">
            <v>M2</v>
          </cell>
          <cell r="D799">
            <v>133850</v>
          </cell>
          <cell r="E799">
            <v>1</v>
          </cell>
          <cell r="F799">
            <v>133850</v>
          </cell>
        </row>
        <row r="800">
          <cell r="A800">
            <v>2</v>
          </cell>
          <cell r="B800" t="str">
            <v>Benangan Kusen</v>
          </cell>
          <cell r="C800" t="str">
            <v>M'</v>
          </cell>
          <cell r="D800">
            <v>4296.0074999999997</v>
          </cell>
          <cell r="E800">
            <v>8</v>
          </cell>
          <cell r="F800">
            <v>34368.06</v>
          </cell>
        </row>
        <row r="801">
          <cell r="A801">
            <v>3</v>
          </cell>
          <cell r="B801" t="str">
            <v>Cat Dinding</v>
          </cell>
          <cell r="C801" t="str">
            <v>M2</v>
          </cell>
          <cell r="D801">
            <v>9900</v>
          </cell>
          <cell r="E801">
            <v>2</v>
          </cell>
          <cell r="F801">
            <v>19800</v>
          </cell>
        </row>
        <row r="802">
          <cell r="A802">
            <v>3</v>
          </cell>
          <cell r="B802" t="str">
            <v>Cat Dinding</v>
          </cell>
          <cell r="C802" t="str">
            <v>M2</v>
          </cell>
          <cell r="D802">
            <v>9900</v>
          </cell>
          <cell r="E802">
            <v>2</v>
          </cell>
          <cell r="F802">
            <v>19800</v>
          </cell>
        </row>
        <row r="803">
          <cell r="B803" t="str">
            <v>Jumlah Harga</v>
          </cell>
          <cell r="F803">
            <v>188018.06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bilang"/>
      <sheetName val="Surat Penawaran"/>
      <sheetName val="Rekap"/>
      <sheetName val="Sub. Rekap"/>
      <sheetName val="Rab"/>
      <sheetName val="Harga Sat"/>
      <sheetName val="harga res"/>
      <sheetName val="Anl"/>
      <sheetName val="Anl. Pipa"/>
      <sheetName val="Time Schedule"/>
      <sheetName val="Metode"/>
      <sheetName val="ku"/>
      <sheetName val="ku (2)"/>
      <sheetName val="Analisa Res"/>
      <sheetName val="Analisa Ok"/>
      <sheetName val="Analisa Ok bq"/>
      <sheetName val="Daftar Harga"/>
      <sheetName val="volume"/>
      <sheetName val="Scedule"/>
      <sheetName val="Analisa O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69">
          <cell r="E69">
            <v>160990.78200000001</v>
          </cell>
        </row>
      </sheetData>
      <sheetData sheetId="17"/>
      <sheetData sheetId="18"/>
      <sheetData sheetId="1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
      <sheetName val="HARGA DASAR MAWAR"/>
      <sheetName val="HARGA DASAR TELAGA"/>
      <sheetName val="HARGA DASAR"/>
      <sheetName val="SCH2 CGA 7,6"/>
      <sheetName val="SCH2 CGA 10 %"/>
      <sheetName val="SCH2 CGA ok"/>
      <sheetName val="SCH2 CGA 9,2"/>
      <sheetName val="SCH2 CGA 14,5"/>
      <sheetName val="SCH2 mawar"/>
      <sheetName val="SCH2 telaga"/>
      <sheetName val="9 PEK-HARIAN"/>
      <sheetName val="8 PEK-MINOR"/>
      <sheetName val="6 PEK ASPAL"/>
      <sheetName val="5 PEK-PERKERASAN"/>
      <sheetName val="3 PEK TANAH"/>
      <sheetName val="2 GORONG2"/>
      <sheetName val="2 Pembesian"/>
      <sheetName val="2 Drainase"/>
      <sheetName val="2 Galian &amp; Urug"/>
      <sheetName val="2 Psr Urug"/>
      <sheetName val="1a MOB"/>
      <sheetName val="1c Relokasi-PLN"/>
      <sheetName val="1b Lab 2"/>
      <sheetName val="0 Peralatan"/>
      <sheetName val="1d Lalu Lintas"/>
      <sheetName val="BOQ"/>
      <sheetName val="Rekap Biaya"/>
      <sheetName val="SCH"/>
      <sheetName val="7 PEK-STRUKTUR"/>
    </sheetNames>
    <sheetDataSet>
      <sheetData sheetId="0">
        <row r="4">
          <cell r="E4" t="str">
            <v>Pembangunan Sarana dan Prasara PON XVII Tahun 2008</v>
          </cell>
        </row>
        <row r="5">
          <cell r="E5" t="str">
            <v>?</v>
          </cell>
        </row>
        <row r="6">
          <cell r="E6" t="str">
            <v>Pekerjaan Penyiapan Lahan, Pembangunan Jalan &amp; Drainase</v>
          </cell>
        </row>
        <row r="7">
          <cell r="E7" t="str">
            <v xml:space="preserve">Propinsi Kalimantan Timur, Kabupaten Kutai Kartanegara </v>
          </cell>
        </row>
      </sheetData>
      <sheetData sheetId="1"/>
      <sheetData sheetId="2"/>
      <sheetData sheetId="3"/>
      <sheetData sheetId="4"/>
      <sheetData sheetId="5"/>
      <sheetData sheetId="6"/>
      <sheetData sheetId="7"/>
      <sheetData sheetId="8"/>
      <sheetData sheetId="9"/>
      <sheetData sheetId="10"/>
      <sheetData sheetId="11">
        <row r="1">
          <cell r="A1" t="str">
            <v>ITEM PEMBAYARAN No.</v>
          </cell>
          <cell r="D1" t="str">
            <v>:  9.4</v>
          </cell>
          <cell r="U1" t="str">
            <v>Analisa EI-94</v>
          </cell>
        </row>
        <row r="2">
          <cell r="A2" t="str">
            <v>JENIS PEKERJAAN</v>
          </cell>
          <cell r="D2" t="str">
            <v>:  PEKERJAAN HARIAN</v>
          </cell>
        </row>
        <row r="3">
          <cell r="A3" t="str">
            <v>SATUAN PEMBAYARAN</v>
          </cell>
          <cell r="D3" t="str">
            <v>:  JAM</v>
          </cell>
          <cell r="J3" t="str">
            <v xml:space="preserve">         URAIAN ANALISA HARGA SATUAN</v>
          </cell>
          <cell r="L3" t="str">
            <v>FORMULIR STANDAR UNTUK</v>
          </cell>
        </row>
        <row r="4">
          <cell r="L4" t="str">
            <v>PEREKAMAN ANALISA MASING-MASING HARGA SATUAN</v>
          </cell>
        </row>
        <row r="5">
          <cell r="L5" t="str">
            <v/>
          </cell>
        </row>
        <row r="6">
          <cell r="A6" t="str">
            <v>No.</v>
          </cell>
          <cell r="C6" t="str">
            <v>U R A I A N</v>
          </cell>
          <cell r="G6" t="str">
            <v>KODE</v>
          </cell>
          <cell r="H6" t="str">
            <v>KOEF.</v>
          </cell>
          <cell r="I6" t="str">
            <v>SATUAN</v>
          </cell>
          <cell r="J6" t="str">
            <v>KET.</v>
          </cell>
        </row>
        <row r="8">
          <cell r="L8" t="str">
            <v>PROYEK</v>
          </cell>
          <cell r="O8" t="str">
            <v>:</v>
          </cell>
          <cell r="P8" t="str">
            <v>Pembangunan Sarana dan Prasara PON XVII Tahun 2008</v>
          </cell>
        </row>
        <row r="9">
          <cell r="A9" t="str">
            <v>A.</v>
          </cell>
          <cell r="C9" t="str">
            <v>URAIAN PERALATAN</v>
          </cell>
          <cell r="L9" t="str">
            <v>No. PAKET KONTRAK</v>
          </cell>
          <cell r="O9" t="str">
            <v>:</v>
          </cell>
          <cell r="P9" t="str">
            <v>?</v>
          </cell>
        </row>
        <row r="10">
          <cell r="L10" t="str">
            <v>NAMA PAKET</v>
          </cell>
          <cell r="O10" t="str">
            <v>:</v>
          </cell>
          <cell r="P10" t="str">
            <v>Pekerjaan Penyiapan Lahan, Pembangunan Jalan &amp; Drainase</v>
          </cell>
        </row>
        <row r="11">
          <cell r="A11" t="str">
            <v xml:space="preserve">1. </v>
          </cell>
          <cell r="C11" t="str">
            <v>Jenis Peralatan</v>
          </cell>
          <cell r="G11" t="str">
            <v>DUMP TRUCK 3-4 M3</v>
          </cell>
          <cell r="J11" t="str">
            <v>(E08)</v>
          </cell>
          <cell r="L11" t="str">
            <v>PROP / KAB / KODYA</v>
          </cell>
          <cell r="O11" t="str">
            <v>:</v>
          </cell>
          <cell r="P11" t="str">
            <v xml:space="preserve">Propinsi Kalimantan Timur, Kabupaten Kutai Kartanegara </v>
          </cell>
        </row>
        <row r="12">
          <cell r="A12" t="str">
            <v xml:space="preserve">2. </v>
          </cell>
          <cell r="C12" t="str">
            <v>Tenaga</v>
          </cell>
          <cell r="G12" t="str">
            <v>Pw</v>
          </cell>
          <cell r="H12">
            <v>100</v>
          </cell>
          <cell r="I12" t="str">
            <v>HP</v>
          </cell>
          <cell r="L12" t="str">
            <v>ITEM PEMBAYARAN NO.</v>
          </cell>
          <cell r="O12" t="str">
            <v>:  9.4</v>
          </cell>
          <cell r="S12" t="str">
            <v>PERKIRAAN VOL. PEK.</v>
          </cell>
          <cell r="U12" t="str">
            <v>:</v>
          </cell>
          <cell r="V12">
            <v>600</v>
          </cell>
        </row>
        <row r="13">
          <cell r="A13" t="str">
            <v xml:space="preserve">3. </v>
          </cell>
          <cell r="C13" t="str">
            <v>Kapasitas</v>
          </cell>
          <cell r="G13" t="str">
            <v>Cp</v>
          </cell>
          <cell r="H13">
            <v>4</v>
          </cell>
          <cell r="I13" t="str">
            <v>Ton</v>
          </cell>
          <cell r="L13" t="str">
            <v>JENIS PEKERJAAN</v>
          </cell>
          <cell r="O13" t="str">
            <v>:  PEKERJAAN HARIAN</v>
          </cell>
          <cell r="S13" t="str">
            <v>TOTAL HARGA (Rp.)</v>
          </cell>
          <cell r="U13" t="str">
            <v>:</v>
          </cell>
          <cell r="V13">
            <v>233557500</v>
          </cell>
        </row>
        <row r="14">
          <cell r="A14" t="str">
            <v xml:space="preserve">4. </v>
          </cell>
          <cell r="C14" t="str">
            <v>Umur Ekonomis</v>
          </cell>
          <cell r="G14" t="str">
            <v>A</v>
          </cell>
          <cell r="H14">
            <v>5</v>
          </cell>
          <cell r="I14" t="str">
            <v>Tahun</v>
          </cell>
          <cell r="J14" t="str">
            <v xml:space="preserve"> Alat Baru</v>
          </cell>
          <cell r="P14" t="str">
            <v>DUMP TRUCK 3-4 M3</v>
          </cell>
          <cell r="S14" t="str">
            <v>% THD. BIAYA PROYEK</v>
          </cell>
          <cell r="U14" t="str">
            <v>:</v>
          </cell>
          <cell r="V14">
            <v>0.1152610563389391</v>
          </cell>
        </row>
        <row r="15">
          <cell r="A15" t="str">
            <v xml:space="preserve">5. </v>
          </cell>
          <cell r="C15" t="str">
            <v>Jam Operasi Dalam 1 Tahun</v>
          </cell>
          <cell r="G15" t="str">
            <v>W</v>
          </cell>
          <cell r="H15">
            <v>2000</v>
          </cell>
          <cell r="I15" t="str">
            <v>Jam</v>
          </cell>
          <cell r="J15" t="str">
            <v xml:space="preserve"> Alat Baru</v>
          </cell>
          <cell r="L15" t="str">
            <v>SATUAN PEMBAYARAN</v>
          </cell>
          <cell r="O15" t="str">
            <v>:  JAM</v>
          </cell>
          <cell r="Q15" t="str">
            <v>(E08)</v>
          </cell>
        </row>
        <row r="16">
          <cell r="A16" t="str">
            <v xml:space="preserve">6. </v>
          </cell>
          <cell r="C16" t="str">
            <v>Harga Alat</v>
          </cell>
          <cell r="G16" t="str">
            <v>B</v>
          </cell>
          <cell r="H16">
            <v>280000000</v>
          </cell>
          <cell r="I16" t="str">
            <v>Rupiah</v>
          </cell>
          <cell r="J16" t="str">
            <v xml:space="preserve"> Alat Baru</v>
          </cell>
        </row>
        <row r="18">
          <cell r="R18" t="str">
            <v>PERKIRAAN</v>
          </cell>
          <cell r="S18" t="str">
            <v>HARGA</v>
          </cell>
          <cell r="T18" t="str">
            <v>JUMLAH</v>
          </cell>
        </row>
        <row r="19">
          <cell r="A19" t="str">
            <v>B.</v>
          </cell>
          <cell r="C19" t="str">
            <v>BIAYA PASTI PER JAM KERJA</v>
          </cell>
          <cell r="L19" t="str">
            <v>NO.</v>
          </cell>
          <cell r="N19" t="str">
            <v>KOMPONEN</v>
          </cell>
          <cell r="Q19" t="str">
            <v>SATUAN</v>
          </cell>
          <cell r="R19" t="str">
            <v>KUANTITAS</v>
          </cell>
          <cell r="S19" t="str">
            <v>SATUAN</v>
          </cell>
          <cell r="T19" t="str">
            <v>HARGA</v>
          </cell>
        </row>
        <row r="20">
          <cell r="S20" t="str">
            <v>(Rp.)</v>
          </cell>
          <cell r="T20" t="str">
            <v>(Rp.)</v>
          </cell>
        </row>
        <row r="21">
          <cell r="A21" t="str">
            <v xml:space="preserve">1. </v>
          </cell>
          <cell r="C21" t="str">
            <v>Nilai Sisa Alat</v>
          </cell>
          <cell r="D21" t="str">
            <v>=  10 % x Harga Alat Baru</v>
          </cell>
          <cell r="G21" t="str">
            <v>C</v>
          </cell>
          <cell r="H21">
            <v>28000000</v>
          </cell>
          <cell r="I21" t="str">
            <v>Rupiah</v>
          </cell>
        </row>
        <row r="23">
          <cell r="A23" t="str">
            <v xml:space="preserve">2. </v>
          </cell>
          <cell r="C23" t="str">
            <v>Faktor Angsuran Modal    =</v>
          </cell>
          <cell r="E23" t="str">
            <v>i x (1 + i)^A</v>
          </cell>
          <cell r="G23" t="str">
            <v>D</v>
          </cell>
          <cell r="H23">
            <v>0.34176532925327435</v>
          </cell>
          <cell r="I23" t="str">
            <v>-</v>
          </cell>
          <cell r="L23" t="str">
            <v>A.</v>
          </cell>
          <cell r="N23" t="str">
            <v>PEKERJA</v>
          </cell>
        </row>
        <row r="24">
          <cell r="E24" t="str">
            <v>(1 + i)^A - 1</v>
          </cell>
        </row>
        <row r="25">
          <cell r="A25" t="str">
            <v xml:space="preserve">3. </v>
          </cell>
          <cell r="C25" t="str">
            <v>Biaya Pasti per Jam  :</v>
          </cell>
          <cell r="L25" t="str">
            <v>1.</v>
          </cell>
          <cell r="N25" t="str">
            <v>-</v>
          </cell>
          <cell r="R25" t="str">
            <v xml:space="preserve">-  </v>
          </cell>
          <cell r="S25" t="str">
            <v xml:space="preserve">-   </v>
          </cell>
          <cell r="V25" t="str">
            <v>-</v>
          </cell>
        </row>
        <row r="26">
          <cell r="C26" t="str">
            <v>a.  Biaya Pengembalian Modal  =</v>
          </cell>
          <cell r="E26" t="str">
            <v>( B - C ) x D</v>
          </cell>
          <cell r="G26" t="str">
            <v>E</v>
          </cell>
          <cell r="H26">
            <v>43062.431485912566</v>
          </cell>
          <cell r="I26" t="str">
            <v>Rupiah</v>
          </cell>
          <cell r="L26" t="str">
            <v>2.</v>
          </cell>
          <cell r="N26" t="str">
            <v>-</v>
          </cell>
          <cell r="R26" t="str">
            <v xml:space="preserve">-  </v>
          </cell>
          <cell r="S26" t="str">
            <v xml:space="preserve">-   </v>
          </cell>
          <cell r="V26" t="str">
            <v>-</v>
          </cell>
        </row>
        <row r="27">
          <cell r="E27" t="str">
            <v>W</v>
          </cell>
        </row>
        <row r="29">
          <cell r="C29" t="str">
            <v>b.  Asuransi, dll =</v>
          </cell>
          <cell r="D29">
            <v>2E-3</v>
          </cell>
          <cell r="E29" t="str">
            <v xml:space="preserve">  x   B</v>
          </cell>
          <cell r="G29" t="str">
            <v>F</v>
          </cell>
          <cell r="H29">
            <v>280</v>
          </cell>
          <cell r="I29" t="str">
            <v>Rupiah</v>
          </cell>
        </row>
        <row r="30">
          <cell r="E30" t="str">
            <v>W</v>
          </cell>
        </row>
        <row r="31">
          <cell r="L31" t="str">
            <v>B.</v>
          </cell>
          <cell r="N31" t="str">
            <v>BAHAN</v>
          </cell>
        </row>
        <row r="32">
          <cell r="C32" t="str">
            <v>Biaya Pasti per Jam             =</v>
          </cell>
          <cell r="E32" t="str">
            <v>( E + F )</v>
          </cell>
          <cell r="G32" t="str">
            <v>G</v>
          </cell>
          <cell r="H32">
            <v>43342.431485912566</v>
          </cell>
          <cell r="I32" t="str">
            <v>Rupiah</v>
          </cell>
        </row>
        <row r="33">
          <cell r="L33" t="str">
            <v>1.</v>
          </cell>
          <cell r="N33" t="str">
            <v>-</v>
          </cell>
          <cell r="R33" t="str">
            <v xml:space="preserve">-  </v>
          </cell>
          <cell r="S33" t="str">
            <v xml:space="preserve">-   </v>
          </cell>
          <cell r="V33" t="str">
            <v>-</v>
          </cell>
        </row>
        <row r="34">
          <cell r="A34" t="str">
            <v>C.</v>
          </cell>
          <cell r="C34" t="str">
            <v>BIAYA OPERASI PER JAM KERJA</v>
          </cell>
          <cell r="L34" t="str">
            <v>2.</v>
          </cell>
          <cell r="N34" t="str">
            <v>-</v>
          </cell>
          <cell r="R34" t="str">
            <v xml:space="preserve">-  </v>
          </cell>
          <cell r="S34" t="str">
            <v xml:space="preserve">-   </v>
          </cell>
          <cell r="V34" t="str">
            <v>-</v>
          </cell>
        </row>
        <row r="36">
          <cell r="A36" t="str">
            <v xml:space="preserve">1. </v>
          </cell>
          <cell r="C36" t="str">
            <v xml:space="preserve">Bahan Bakar  =  (0.125-0.175 Ltr/HP/Jam)   x Pw x Ms </v>
          </cell>
          <cell r="G36" t="str">
            <v>H</v>
          </cell>
          <cell r="H36">
            <v>65625</v>
          </cell>
          <cell r="I36" t="str">
            <v>Rupiah</v>
          </cell>
        </row>
        <row r="38">
          <cell r="A38" t="str">
            <v xml:space="preserve">2. </v>
          </cell>
          <cell r="C38" t="str">
            <v>Pelumas         =  (0.01-0.02 Ltr/HP/Jam) x Pw x Mp</v>
          </cell>
          <cell r="G38" t="str">
            <v>I</v>
          </cell>
          <cell r="H38">
            <v>28186</v>
          </cell>
          <cell r="I38" t="str">
            <v>Rupiah</v>
          </cell>
        </row>
        <row r="40">
          <cell r="A40" t="str">
            <v xml:space="preserve">3. </v>
          </cell>
          <cell r="C40" t="str">
            <v>Perawatan dan</v>
          </cell>
          <cell r="D40" t="str">
            <v>(12,5 % - 17,5 %)  x  B</v>
          </cell>
          <cell r="G40" t="str">
            <v>K</v>
          </cell>
          <cell r="H40">
            <v>17500</v>
          </cell>
          <cell r="I40" t="str">
            <v>Rupiah</v>
          </cell>
        </row>
        <row r="41">
          <cell r="C41" t="str">
            <v xml:space="preserve">        perbaikan    =</v>
          </cell>
          <cell r="D41" t="str">
            <v>W</v>
          </cell>
        </row>
        <row r="42">
          <cell r="L42" t="str">
            <v>C.</v>
          </cell>
          <cell r="N42" t="str">
            <v>ALAT</v>
          </cell>
        </row>
        <row r="43">
          <cell r="A43" t="str">
            <v xml:space="preserve">4. </v>
          </cell>
          <cell r="C43" t="str">
            <v>Operator</v>
          </cell>
          <cell r="D43" t="str">
            <v>=   ( 1  Orang / Jam )  x  U1</v>
          </cell>
          <cell r="G43" t="str">
            <v>L</v>
          </cell>
          <cell r="H43">
            <v>8750</v>
          </cell>
          <cell r="I43" t="str">
            <v>Rupiah</v>
          </cell>
        </row>
        <row r="44">
          <cell r="A44" t="str">
            <v xml:space="preserve">5. </v>
          </cell>
          <cell r="C44" t="str">
            <v>Pembantu Operator</v>
          </cell>
          <cell r="D44" t="str">
            <v>=   ( 1  Orang / Jam )  x  U2</v>
          </cell>
          <cell r="G44" t="str">
            <v>M</v>
          </cell>
          <cell r="H44">
            <v>5750</v>
          </cell>
          <cell r="I44" t="str">
            <v>Rupiah</v>
          </cell>
          <cell r="L44" t="str">
            <v>1.</v>
          </cell>
          <cell r="N44" t="str">
            <v>DUMP TRUCK 3-4 M3</v>
          </cell>
          <cell r="Q44" t="str">
            <v>jam</v>
          </cell>
          <cell r="R44">
            <v>1</v>
          </cell>
          <cell r="S44">
            <v>353875</v>
          </cell>
          <cell r="V44">
            <v>353875</v>
          </cell>
        </row>
        <row r="45">
          <cell r="L45" t="str">
            <v>2.</v>
          </cell>
          <cell r="N45" t="str">
            <v>-</v>
          </cell>
          <cell r="Q45" t="str">
            <v>jam</v>
          </cell>
          <cell r="R45" t="str">
            <v xml:space="preserve">-  </v>
          </cell>
        </row>
        <row r="46">
          <cell r="C46" t="str">
            <v>Biaya Operasi per Jam        =</v>
          </cell>
          <cell r="E46" t="str">
            <v>(H+I+K+L+M)</v>
          </cell>
          <cell r="G46" t="str">
            <v>P</v>
          </cell>
          <cell r="H46">
            <v>125811</v>
          </cell>
          <cell r="I46" t="str">
            <v>Rupiah</v>
          </cell>
        </row>
        <row r="48">
          <cell r="A48" t="str">
            <v>D.</v>
          </cell>
          <cell r="C48" t="str">
            <v>TOTAL BIAYA SEWA ALAT / JAM   =   ( G + P )</v>
          </cell>
          <cell r="G48" t="str">
            <v>S</v>
          </cell>
          <cell r="H48">
            <v>169153.43148591256</v>
          </cell>
          <cell r="I48" t="str">
            <v>Rupiah</v>
          </cell>
        </row>
        <row r="52">
          <cell r="A52" t="str">
            <v>E.</v>
          </cell>
          <cell r="C52" t="str">
            <v>LAIN - LAIN</v>
          </cell>
        </row>
        <row r="53">
          <cell r="L53" t="str">
            <v>D.</v>
          </cell>
          <cell r="N53" t="str">
            <v>JUMLAH HARGA TENAGA, BAHAN DAN ALAT  ( A + B + C )</v>
          </cell>
          <cell r="V53">
            <v>353875</v>
          </cell>
        </row>
        <row r="54">
          <cell r="A54" t="str">
            <v xml:space="preserve">1. </v>
          </cell>
          <cell r="C54" t="str">
            <v>Tingkat Suku Bunga</v>
          </cell>
          <cell r="G54" t="str">
            <v>i</v>
          </cell>
          <cell r="H54">
            <v>21</v>
          </cell>
          <cell r="I54" t="str">
            <v>% / Tahun</v>
          </cell>
          <cell r="L54" t="str">
            <v>E.</v>
          </cell>
          <cell r="N54" t="str">
            <v>OVERHEAD &amp; PROFIT</v>
          </cell>
          <cell r="Q54">
            <v>10</v>
          </cell>
          <cell r="R54" t="str">
            <v>%  x  D</v>
          </cell>
          <cell r="V54">
            <v>35387.5</v>
          </cell>
        </row>
        <row r="55">
          <cell r="A55" t="str">
            <v xml:space="preserve">2. </v>
          </cell>
          <cell r="C55" t="str">
            <v>Upah Operator / Sopir</v>
          </cell>
          <cell r="G55" t="str">
            <v>U1</v>
          </cell>
          <cell r="H55">
            <v>8750</v>
          </cell>
          <cell r="I55" t="str">
            <v>Rp./Jam</v>
          </cell>
          <cell r="L55" t="str">
            <v>F.</v>
          </cell>
          <cell r="N55" t="str">
            <v>HARGA SATUAN PEKERJAAN  ( D + E )</v>
          </cell>
          <cell r="V55">
            <v>389262.5</v>
          </cell>
        </row>
        <row r="56">
          <cell r="A56" t="str">
            <v xml:space="preserve">3. </v>
          </cell>
          <cell r="C56" t="str">
            <v>Upah Pembantu Operator / Pmb.Sopir</v>
          </cell>
          <cell r="G56" t="str">
            <v>U2</v>
          </cell>
          <cell r="H56">
            <v>5750</v>
          </cell>
          <cell r="I56" t="str">
            <v>Rp./Jam</v>
          </cell>
          <cell r="L56" t="str">
            <v>Note: 1</v>
          </cell>
          <cell r="N56" t="str">
            <v>SATUAN dapat berdasarkan atas jam operasi untuk Tenaga Kerja dan Peralatan, volume dan/atau ukuran</v>
          </cell>
        </row>
        <row r="57">
          <cell r="A57" t="str">
            <v xml:space="preserve">4. </v>
          </cell>
          <cell r="C57" t="str">
            <v>Bahan Bakar Bensin</v>
          </cell>
          <cell r="G57" t="str">
            <v>Mb</v>
          </cell>
          <cell r="H57">
            <v>5450</v>
          </cell>
          <cell r="I57" t="str">
            <v>Liter</v>
          </cell>
          <cell r="N57" t="str">
            <v>berat untuk bahan-bahan.</v>
          </cell>
        </row>
        <row r="58">
          <cell r="A58" t="str">
            <v xml:space="preserve">5. </v>
          </cell>
          <cell r="C58" t="str">
            <v>Bahan Bakar Solar</v>
          </cell>
          <cell r="G58" t="str">
            <v>Ms</v>
          </cell>
          <cell r="H58">
            <v>5250</v>
          </cell>
          <cell r="I58" t="str">
            <v>Liter</v>
          </cell>
          <cell r="L58">
            <v>2</v>
          </cell>
          <cell r="N58" t="str">
            <v>Kuantitas satuan adalah kuantitas setiap komponen untuk menyelesaikan satu satuan pekerjaan dari nomor</v>
          </cell>
        </row>
        <row r="59">
          <cell r="A59" t="str">
            <v xml:space="preserve">6. </v>
          </cell>
          <cell r="C59" t="str">
            <v>Minyak Pelumas</v>
          </cell>
          <cell r="G59" t="str">
            <v>Mp</v>
          </cell>
          <cell r="H59">
            <v>28186</v>
          </cell>
          <cell r="I59" t="str">
            <v>Liter</v>
          </cell>
          <cell r="N59" t="str">
            <v>mata pembayaran.</v>
          </cell>
        </row>
        <row r="60">
          <cell r="L60">
            <v>3</v>
          </cell>
          <cell r="N60" t="str">
            <v>Biaya satuan untuk peralatan sudah termasuk bahan bakar, bahan habis dipakai dan operator.</v>
          </cell>
        </row>
        <row r="61">
          <cell r="L61">
            <v>4</v>
          </cell>
          <cell r="N61" t="str">
            <v>Biaya satuan sudah termasuk pengeluaran untuk seluruh pajak yang berkaitan (tetapi tidak termasuk PPN</v>
          </cell>
        </row>
        <row r="62">
          <cell r="N62" t="str">
            <v>yang dibayar dari kontrak) dan biaya-biaya lainnya.</v>
          </cell>
        </row>
        <row r="63">
          <cell r="A63" t="str">
            <v>ITEM PEMBAYARAN No.</v>
          </cell>
          <cell r="D63" t="str">
            <v>:  9.6</v>
          </cell>
          <cell r="U63" t="str">
            <v>Analisa EI-96</v>
          </cell>
        </row>
        <row r="64">
          <cell r="A64" t="str">
            <v>JENIS PEKERJAAN</v>
          </cell>
          <cell r="D64" t="str">
            <v>:  PEKERJAAN HARIAN</v>
          </cell>
        </row>
        <row r="65">
          <cell r="A65" t="str">
            <v>SATUAN PEMBAYARAN</v>
          </cell>
          <cell r="D65" t="str">
            <v>:  JAM</v>
          </cell>
          <cell r="J65" t="str">
            <v xml:space="preserve">         URAIAN ANALISA HARGA SATUAN</v>
          </cell>
          <cell r="L65" t="str">
            <v>FORMULIR STANDAR UNTUK</v>
          </cell>
        </row>
        <row r="66">
          <cell r="L66" t="str">
            <v>PEREKAMAN ANALISA MASING-MASING HARGA SATUAN</v>
          </cell>
        </row>
        <row r="67">
          <cell r="L67" t="str">
            <v/>
          </cell>
        </row>
        <row r="68">
          <cell r="A68" t="str">
            <v>No.</v>
          </cell>
          <cell r="C68" t="str">
            <v>U R A I A N</v>
          </cell>
          <cell r="G68" t="str">
            <v>KODE</v>
          </cell>
          <cell r="H68" t="str">
            <v>KOEF.</v>
          </cell>
          <cell r="I68" t="str">
            <v>SATUAN</v>
          </cell>
          <cell r="J68" t="str">
            <v>KETERANGAN</v>
          </cell>
        </row>
        <row r="70">
          <cell r="L70" t="str">
            <v>PROYEK</v>
          </cell>
          <cell r="O70" t="str">
            <v>:</v>
          </cell>
          <cell r="P70" t="str">
            <v>Pembangunan Sarana dan Prasara PON XVII Tahun 2008</v>
          </cell>
        </row>
        <row r="71">
          <cell r="A71" t="str">
            <v>A.</v>
          </cell>
          <cell r="C71" t="str">
            <v>URAIAN PERALATAN</v>
          </cell>
          <cell r="L71" t="str">
            <v>No. PAKET KONTRAK</v>
          </cell>
          <cell r="O71" t="str">
            <v>:</v>
          </cell>
          <cell r="P71" t="str">
            <v>?</v>
          </cell>
        </row>
        <row r="72">
          <cell r="L72" t="str">
            <v>NAMA PAKET</v>
          </cell>
          <cell r="O72" t="str">
            <v>:</v>
          </cell>
          <cell r="P72" t="str">
            <v>Pekerjaan Penyiapan Lahan, Pembangunan Jalan &amp; Drainase</v>
          </cell>
        </row>
        <row r="73">
          <cell r="A73" t="str">
            <v xml:space="preserve">1. </v>
          </cell>
          <cell r="C73" t="str">
            <v>Jenis Peralatan</v>
          </cell>
          <cell r="G73" t="str">
            <v>WATER TANKER 3000-4500 L.</v>
          </cell>
          <cell r="J73" t="str">
            <v>(E23)</v>
          </cell>
          <cell r="L73" t="str">
            <v>PROP / KAB / KODYA</v>
          </cell>
          <cell r="O73" t="str">
            <v>:</v>
          </cell>
          <cell r="P73" t="str">
            <v xml:space="preserve">Propinsi Kalimantan Timur, Kabupaten Kutai Kartanegara </v>
          </cell>
        </row>
        <row r="74">
          <cell r="A74" t="str">
            <v xml:space="preserve">2. </v>
          </cell>
          <cell r="C74" t="str">
            <v>Tenaga</v>
          </cell>
          <cell r="G74" t="str">
            <v>Pw</v>
          </cell>
          <cell r="H74">
            <v>100</v>
          </cell>
          <cell r="I74" t="str">
            <v>HP</v>
          </cell>
          <cell r="L74" t="str">
            <v>ITEM PEMBAYARAN NO.</v>
          </cell>
          <cell r="O74" t="str">
            <v>:  9.6</v>
          </cell>
          <cell r="S74" t="str">
            <v>PERKIRAAN VOL. PEK.</v>
          </cell>
          <cell r="U74" t="str">
            <v>:</v>
          </cell>
          <cell r="V74">
            <v>1800</v>
          </cell>
        </row>
        <row r="75">
          <cell r="A75" t="str">
            <v xml:space="preserve">3. </v>
          </cell>
          <cell r="C75" t="str">
            <v>Kapasitas</v>
          </cell>
          <cell r="G75" t="str">
            <v>Cp</v>
          </cell>
          <cell r="H75">
            <v>4000</v>
          </cell>
          <cell r="I75" t="str">
            <v>Liter</v>
          </cell>
          <cell r="L75" t="str">
            <v>JENIS PEKERJAAN</v>
          </cell>
          <cell r="O75" t="str">
            <v>:  PEKERJAAN HARIAN</v>
          </cell>
          <cell r="S75" t="str">
            <v>TOTAL HARGA (Rp.)</v>
          </cell>
          <cell r="U75" t="str">
            <v>:</v>
          </cell>
          <cell r="V75">
            <v>742500000</v>
          </cell>
        </row>
        <row r="76">
          <cell r="A76" t="str">
            <v xml:space="preserve">4. </v>
          </cell>
          <cell r="C76" t="str">
            <v>Umur Ekonomis</v>
          </cell>
          <cell r="G76" t="str">
            <v>A</v>
          </cell>
          <cell r="H76">
            <v>5</v>
          </cell>
          <cell r="I76" t="str">
            <v>Tahun</v>
          </cell>
          <cell r="J76" t="str">
            <v xml:space="preserve"> Alat Baru</v>
          </cell>
          <cell r="P76" t="str">
            <v>WATER TANKER 3000-4500 L.</v>
          </cell>
          <cell r="S76" t="str">
            <v>% THD. BIAYA PROYEK</v>
          </cell>
          <cell r="U76" t="str">
            <v>:</v>
          </cell>
          <cell r="V76">
            <v>0.36642511729086963</v>
          </cell>
        </row>
        <row r="77">
          <cell r="A77" t="str">
            <v xml:space="preserve">5. </v>
          </cell>
          <cell r="C77" t="str">
            <v>Jam Operasi Dalam 1 Tahun</v>
          </cell>
          <cell r="G77" t="str">
            <v>W</v>
          </cell>
          <cell r="H77">
            <v>2000</v>
          </cell>
          <cell r="I77" t="str">
            <v>Jam</v>
          </cell>
          <cell r="J77" t="str">
            <v xml:space="preserve"> Alat Baru</v>
          </cell>
          <cell r="L77" t="str">
            <v>SATUAN PEMBAYARAN</v>
          </cell>
          <cell r="O77" t="str">
            <v>:  JAM</v>
          </cell>
          <cell r="Q77" t="str">
            <v>(E23)</v>
          </cell>
        </row>
        <row r="78">
          <cell r="A78" t="str">
            <v xml:space="preserve">6. </v>
          </cell>
          <cell r="C78" t="str">
            <v>Harga Alat</v>
          </cell>
          <cell r="G78" t="str">
            <v>B</v>
          </cell>
          <cell r="H78">
            <v>350000000</v>
          </cell>
          <cell r="I78" t="str">
            <v>Rupiah</v>
          </cell>
          <cell r="J78" t="str">
            <v xml:space="preserve"> Alat Baru</v>
          </cell>
        </row>
        <row r="80">
          <cell r="R80" t="str">
            <v>PERKIRAAN</v>
          </cell>
          <cell r="S80" t="str">
            <v>HARGA</v>
          </cell>
          <cell r="T80" t="str">
            <v>JUMLAH</v>
          </cell>
        </row>
        <row r="81">
          <cell r="A81" t="str">
            <v>B.</v>
          </cell>
          <cell r="C81" t="str">
            <v>BIAYA PASTI PER JAM KERJA</v>
          </cell>
          <cell r="L81" t="str">
            <v>NO.</v>
          </cell>
          <cell r="N81" t="str">
            <v>KOMPONEN</v>
          </cell>
          <cell r="Q81" t="str">
            <v>SATUAN</v>
          </cell>
          <cell r="R81" t="str">
            <v>KUANTITAS</v>
          </cell>
          <cell r="S81" t="str">
            <v>SATUAN</v>
          </cell>
          <cell r="T81" t="str">
            <v>HARGA</v>
          </cell>
        </row>
        <row r="82">
          <cell r="S82" t="str">
            <v>(Rp.)</v>
          </cell>
          <cell r="T82" t="str">
            <v>(Rp.)</v>
          </cell>
        </row>
        <row r="83">
          <cell r="A83" t="str">
            <v xml:space="preserve">1. </v>
          </cell>
          <cell r="C83" t="str">
            <v>Nilai Sisa Alat</v>
          </cell>
          <cell r="D83" t="str">
            <v>=  10 % x Harga Alat Baru</v>
          </cell>
          <cell r="G83" t="str">
            <v>C</v>
          </cell>
          <cell r="H83">
            <v>35000000</v>
          </cell>
          <cell r="I83" t="str">
            <v>Rupiah</v>
          </cell>
        </row>
        <row r="85">
          <cell r="A85" t="str">
            <v xml:space="preserve">2. </v>
          </cell>
          <cell r="C85" t="str">
            <v>Faktor Angsuran Modal    =</v>
          </cell>
          <cell r="E85" t="str">
            <v>i x (1 + i)^A</v>
          </cell>
          <cell r="G85" t="str">
            <v>D</v>
          </cell>
          <cell r="H85">
            <v>0.34176532925327435</v>
          </cell>
          <cell r="I85" t="str">
            <v>-</v>
          </cell>
          <cell r="L85" t="str">
            <v>A.</v>
          </cell>
          <cell r="N85" t="str">
            <v>PEKERJA</v>
          </cell>
        </row>
        <row r="86">
          <cell r="E86" t="str">
            <v>(1 + i)^A - 1</v>
          </cell>
        </row>
        <row r="87">
          <cell r="A87" t="str">
            <v xml:space="preserve">3. </v>
          </cell>
          <cell r="C87" t="str">
            <v>Biaya Pasti per Jam  :</v>
          </cell>
          <cell r="L87" t="str">
            <v>1.</v>
          </cell>
          <cell r="N87" t="str">
            <v>-</v>
          </cell>
          <cell r="R87" t="str">
            <v xml:space="preserve">-  </v>
          </cell>
          <cell r="S87" t="str">
            <v xml:space="preserve">-   </v>
          </cell>
          <cell r="V87" t="str">
            <v>-</v>
          </cell>
        </row>
        <row r="88">
          <cell r="C88" t="str">
            <v>a.  Biaya Pengembalian Modal  =</v>
          </cell>
          <cell r="E88" t="str">
            <v>( B - C ) x D</v>
          </cell>
          <cell r="G88" t="str">
            <v>E</v>
          </cell>
          <cell r="H88">
            <v>53828.039357390706</v>
          </cell>
          <cell r="I88" t="str">
            <v>Rupiah</v>
          </cell>
          <cell r="L88" t="str">
            <v>2.</v>
          </cell>
          <cell r="N88" t="str">
            <v>-</v>
          </cell>
          <cell r="R88" t="str">
            <v xml:space="preserve">-  </v>
          </cell>
          <cell r="S88" t="str">
            <v xml:space="preserve">-   </v>
          </cell>
          <cell r="V88" t="str">
            <v>-</v>
          </cell>
        </row>
        <row r="89">
          <cell r="E89" t="str">
            <v>W</v>
          </cell>
        </row>
        <row r="91">
          <cell r="C91" t="str">
            <v>b.  Asuransi, dll =</v>
          </cell>
          <cell r="D91">
            <v>2E-3</v>
          </cell>
          <cell r="E91" t="str">
            <v xml:space="preserve">  x   B</v>
          </cell>
          <cell r="G91" t="str">
            <v>F</v>
          </cell>
          <cell r="H91">
            <v>350</v>
          </cell>
          <cell r="I91" t="str">
            <v>Rupiah</v>
          </cell>
        </row>
        <row r="92">
          <cell r="E92" t="str">
            <v>W</v>
          </cell>
        </row>
        <row r="93">
          <cell r="L93" t="str">
            <v>B.</v>
          </cell>
          <cell r="N93" t="str">
            <v>BAHAN</v>
          </cell>
        </row>
        <row r="94">
          <cell r="C94" t="str">
            <v>Biaya Pasti per Jam             =</v>
          </cell>
          <cell r="E94" t="str">
            <v>( E + F )</v>
          </cell>
          <cell r="G94" t="str">
            <v>G</v>
          </cell>
          <cell r="H94">
            <v>54178.039357390706</v>
          </cell>
          <cell r="I94" t="str">
            <v>Rupiah</v>
          </cell>
        </row>
        <row r="95">
          <cell r="L95" t="str">
            <v>1.</v>
          </cell>
          <cell r="N95" t="str">
            <v>-</v>
          </cell>
          <cell r="R95" t="str">
            <v xml:space="preserve">-  </v>
          </cell>
          <cell r="S95" t="str">
            <v xml:space="preserve">-   </v>
          </cell>
          <cell r="V95" t="str">
            <v>-</v>
          </cell>
        </row>
        <row r="96">
          <cell r="A96" t="str">
            <v>C.</v>
          </cell>
          <cell r="C96" t="str">
            <v>BIAYA OPERASI PER JAM KERJA</v>
          </cell>
          <cell r="L96" t="str">
            <v>2.</v>
          </cell>
          <cell r="N96" t="str">
            <v>-</v>
          </cell>
          <cell r="R96" t="str">
            <v xml:space="preserve">-  </v>
          </cell>
          <cell r="S96" t="str">
            <v xml:space="preserve">-   </v>
          </cell>
          <cell r="V96" t="str">
            <v>-</v>
          </cell>
        </row>
        <row r="98">
          <cell r="A98" t="str">
            <v xml:space="preserve">1. </v>
          </cell>
          <cell r="C98" t="str">
            <v xml:space="preserve">Bahan Bakar  =  (0.125-0.175 Ltr/HP/Jam)   x Pw x Ms </v>
          </cell>
          <cell r="G98" t="str">
            <v>H</v>
          </cell>
          <cell r="H98">
            <v>65625</v>
          </cell>
          <cell r="I98" t="str">
            <v>Rupiah</v>
          </cell>
        </row>
        <row r="100">
          <cell r="A100" t="str">
            <v xml:space="preserve">2. </v>
          </cell>
          <cell r="C100" t="str">
            <v>Pelumas         =  (0.01-0.02 Ltr/HP/Jam) x Pw x Mp</v>
          </cell>
          <cell r="G100" t="str">
            <v>I</v>
          </cell>
          <cell r="H100">
            <v>28186</v>
          </cell>
          <cell r="I100" t="str">
            <v>Rupiah</v>
          </cell>
        </row>
        <row r="102">
          <cell r="A102" t="str">
            <v xml:space="preserve">3. </v>
          </cell>
          <cell r="C102" t="str">
            <v>Perawatan dan</v>
          </cell>
          <cell r="D102" t="str">
            <v>(12,5 % - 17,5 %)  x  B</v>
          </cell>
          <cell r="G102" t="str">
            <v>K</v>
          </cell>
          <cell r="H102">
            <v>21875</v>
          </cell>
          <cell r="I102" t="str">
            <v>Rupiah</v>
          </cell>
        </row>
        <row r="103">
          <cell r="C103" t="str">
            <v xml:space="preserve">        perbaikan    =</v>
          </cell>
          <cell r="D103" t="str">
            <v>W</v>
          </cell>
        </row>
        <row r="104">
          <cell r="L104" t="str">
            <v>C.</v>
          </cell>
          <cell r="N104" t="str">
            <v>ALAT</v>
          </cell>
        </row>
        <row r="105">
          <cell r="A105" t="str">
            <v xml:space="preserve">4. </v>
          </cell>
          <cell r="C105" t="str">
            <v>Operator</v>
          </cell>
          <cell r="D105" t="str">
            <v>=   ( 1  Orang / Jam )  x  U1</v>
          </cell>
          <cell r="G105" t="str">
            <v>L</v>
          </cell>
          <cell r="H105">
            <v>8750</v>
          </cell>
          <cell r="I105" t="str">
            <v>Rupiah</v>
          </cell>
        </row>
        <row r="106">
          <cell r="A106" t="str">
            <v xml:space="preserve">5. </v>
          </cell>
          <cell r="C106" t="str">
            <v>Pembantu Operator</v>
          </cell>
          <cell r="D106" t="str">
            <v>=   ( 1  Orang / Jam )  x  U2</v>
          </cell>
          <cell r="G106" t="str">
            <v>M</v>
          </cell>
          <cell r="H106">
            <v>5750</v>
          </cell>
          <cell r="I106" t="str">
            <v>Rupiah</v>
          </cell>
          <cell r="L106" t="str">
            <v>1.</v>
          </cell>
          <cell r="N106" t="str">
            <v>WATER TANKER 3000-4500 L.</v>
          </cell>
          <cell r="Q106" t="str">
            <v>jam</v>
          </cell>
          <cell r="R106">
            <v>1</v>
          </cell>
          <cell r="S106">
            <v>375000</v>
          </cell>
          <cell r="V106">
            <v>375000</v>
          </cell>
        </row>
        <row r="107">
          <cell r="L107" t="str">
            <v>2.</v>
          </cell>
          <cell r="N107" t="str">
            <v>-</v>
          </cell>
          <cell r="Q107" t="str">
            <v>jam</v>
          </cell>
          <cell r="R107" t="str">
            <v xml:space="preserve">-  </v>
          </cell>
          <cell r="S107" t="str">
            <v xml:space="preserve">-   </v>
          </cell>
          <cell r="V107" t="str">
            <v>-</v>
          </cell>
        </row>
        <row r="108">
          <cell r="C108" t="str">
            <v>Biaya Operasi per Jam        =</v>
          </cell>
          <cell r="E108" t="str">
            <v>(H+I+K+L+M)</v>
          </cell>
          <cell r="G108" t="str">
            <v>P</v>
          </cell>
          <cell r="H108">
            <v>130186</v>
          </cell>
          <cell r="I108" t="str">
            <v>Rupiah</v>
          </cell>
        </row>
        <row r="110">
          <cell r="A110" t="str">
            <v>D.</v>
          </cell>
          <cell r="C110" t="str">
            <v>TOTAL BIAYA SEWA ALAT / JAM   =   ( G + P )</v>
          </cell>
          <cell r="G110" t="str">
            <v>S</v>
          </cell>
          <cell r="H110">
            <v>184364.03935739072</v>
          </cell>
          <cell r="I110" t="str">
            <v>Rupiah</v>
          </cell>
        </row>
        <row r="114">
          <cell r="A114" t="str">
            <v>E.</v>
          </cell>
          <cell r="C114" t="str">
            <v>LAIN - LAIN</v>
          </cell>
        </row>
        <row r="115">
          <cell r="L115" t="str">
            <v>D.</v>
          </cell>
          <cell r="N115" t="str">
            <v>JUMLAH HARGA TENAGA, BAHAN DAN ALAT  ( A + B + C )</v>
          </cell>
          <cell r="V115">
            <v>375000</v>
          </cell>
        </row>
        <row r="116">
          <cell r="A116" t="str">
            <v xml:space="preserve">1. </v>
          </cell>
          <cell r="C116" t="str">
            <v>Tingkat Suku Bunga</v>
          </cell>
          <cell r="G116" t="str">
            <v>i</v>
          </cell>
          <cell r="H116">
            <v>21</v>
          </cell>
          <cell r="I116" t="str">
            <v>% / Tahun</v>
          </cell>
          <cell r="L116" t="str">
            <v>E.</v>
          </cell>
          <cell r="N116" t="str">
            <v>OVERHEAD &amp; PROFIT</v>
          </cell>
          <cell r="Q116">
            <v>10</v>
          </cell>
          <cell r="R116" t="str">
            <v>%  x  D</v>
          </cell>
          <cell r="V116">
            <v>37500</v>
          </cell>
        </row>
        <row r="117">
          <cell r="A117" t="str">
            <v xml:space="preserve">2. </v>
          </cell>
          <cell r="C117" t="str">
            <v>Upah Operator / Sopir</v>
          </cell>
          <cell r="G117" t="str">
            <v>U1</v>
          </cell>
          <cell r="H117">
            <v>8750</v>
          </cell>
          <cell r="I117" t="str">
            <v>Rp./Jam</v>
          </cell>
          <cell r="L117" t="str">
            <v>F.</v>
          </cell>
          <cell r="N117" t="str">
            <v>HARGA SATUAN PEKERJAAN  ( D + E )</v>
          </cell>
          <cell r="V117">
            <v>412500</v>
          </cell>
        </row>
        <row r="118">
          <cell r="A118" t="str">
            <v xml:space="preserve">3. </v>
          </cell>
          <cell r="C118" t="str">
            <v>Upah Pembantu Operator / Pmb.Sopir</v>
          </cell>
          <cell r="G118" t="str">
            <v>U2</v>
          </cell>
          <cell r="H118">
            <v>5750</v>
          </cell>
          <cell r="I118" t="str">
            <v>Rp./Jam</v>
          </cell>
          <cell r="L118" t="str">
            <v>Note: 1</v>
          </cell>
          <cell r="N118" t="str">
            <v>SATUAN dapat berdasarkan atas jam operasi untuk Tenaga Kerja dan Peralatan, volume dan/atau ukuran</v>
          </cell>
        </row>
        <row r="119">
          <cell r="A119" t="str">
            <v xml:space="preserve">4. </v>
          </cell>
          <cell r="C119" t="str">
            <v>Bahan Bakar Bensin</v>
          </cell>
          <cell r="G119" t="str">
            <v>Mb</v>
          </cell>
          <cell r="H119">
            <v>5450</v>
          </cell>
          <cell r="I119" t="str">
            <v>Liter</v>
          </cell>
          <cell r="N119" t="str">
            <v>berat untuk bahan-bahan.</v>
          </cell>
        </row>
        <row r="120">
          <cell r="A120" t="str">
            <v xml:space="preserve">5. </v>
          </cell>
          <cell r="C120" t="str">
            <v>Bahan Bakar Solar</v>
          </cell>
          <cell r="G120" t="str">
            <v>Ms</v>
          </cell>
          <cell r="H120">
            <v>5250</v>
          </cell>
          <cell r="I120" t="str">
            <v>Liter</v>
          </cell>
          <cell r="L120">
            <v>2</v>
          </cell>
          <cell r="N120" t="str">
            <v>Kuantitas satuan adalah kuantitas setiap komponen untuk menyelesaikan satu satuan pekerjaan dari nomor</v>
          </cell>
        </row>
        <row r="121">
          <cell r="A121" t="str">
            <v xml:space="preserve">6. </v>
          </cell>
          <cell r="C121" t="str">
            <v>Minyak Pelumas</v>
          </cell>
          <cell r="G121" t="str">
            <v>Mp</v>
          </cell>
          <cell r="H121">
            <v>28186</v>
          </cell>
          <cell r="I121" t="str">
            <v>Liter</v>
          </cell>
          <cell r="N121" t="str">
            <v>mata pembayaran.</v>
          </cell>
        </row>
        <row r="122">
          <cell r="L122">
            <v>3</v>
          </cell>
          <cell r="N122" t="str">
            <v>Biaya satuan untuk peralatan sudah termasuk bahan bakar, bahan habis dipakai dan operator.</v>
          </cell>
        </row>
        <row r="123">
          <cell r="L123">
            <v>4</v>
          </cell>
          <cell r="N123" t="str">
            <v>Biaya satuan sudah termasuk pengeluaran untuk seluruh pajak yang berkaitan (tetapi tidak termasuk PPN</v>
          </cell>
        </row>
        <row r="124">
          <cell r="N124" t="str">
            <v>yang dibayar dari kontrak) dan biaya-biaya lainnya.</v>
          </cell>
        </row>
        <row r="125">
          <cell r="A125" t="str">
            <v>ITEM PEMBAYARAN No.</v>
          </cell>
          <cell r="D125" t="str">
            <v>:  9.7</v>
          </cell>
          <cell r="U125" t="str">
            <v>Analisa EI-97</v>
          </cell>
        </row>
        <row r="126">
          <cell r="A126" t="str">
            <v>JENIS PEKERJAAN</v>
          </cell>
          <cell r="D126" t="str">
            <v>:  PEKERJAAN HARIAN</v>
          </cell>
        </row>
        <row r="127">
          <cell r="A127" t="str">
            <v>SATUAN PEMBAYARAN</v>
          </cell>
          <cell r="D127" t="str">
            <v>:  JAM</v>
          </cell>
          <cell r="J127" t="str">
            <v xml:space="preserve">         URAIAN ANALISA HARGA SATUAN</v>
          </cell>
          <cell r="L127" t="str">
            <v>FORMULIR STANDAR UNTUK</v>
          </cell>
        </row>
        <row r="128">
          <cell r="L128" t="str">
            <v>PEREKAMAN ANALISA MASING-MASING HARGA SATUAN</v>
          </cell>
        </row>
        <row r="129">
          <cell r="L129" t="str">
            <v/>
          </cell>
        </row>
        <row r="130">
          <cell r="A130" t="str">
            <v>No.</v>
          </cell>
          <cell r="C130" t="str">
            <v>U R A I A N</v>
          </cell>
          <cell r="G130" t="str">
            <v>KODE</v>
          </cell>
          <cell r="H130" t="str">
            <v>KOEF.</v>
          </cell>
          <cell r="I130" t="str">
            <v>SATUAN</v>
          </cell>
          <cell r="J130" t="str">
            <v>KETERANGAN</v>
          </cell>
        </row>
        <row r="132">
          <cell r="L132" t="str">
            <v>PROYEK</v>
          </cell>
          <cell r="O132" t="str">
            <v>:</v>
          </cell>
          <cell r="P132" t="str">
            <v>Pembangunan Sarana dan Prasara PON XVII Tahun 2008</v>
          </cell>
        </row>
        <row r="133">
          <cell r="A133" t="str">
            <v>A.</v>
          </cell>
          <cell r="C133" t="str">
            <v>URAIAN PERALATAN</v>
          </cell>
          <cell r="L133" t="str">
            <v>No. PAKET KONTRAK</v>
          </cell>
          <cell r="O133" t="str">
            <v>:</v>
          </cell>
          <cell r="P133" t="str">
            <v>?</v>
          </cell>
        </row>
        <row r="134">
          <cell r="L134" t="str">
            <v>NAMA PAKET</v>
          </cell>
          <cell r="O134" t="str">
            <v>:</v>
          </cell>
          <cell r="P134" t="str">
            <v>Pekerjaan Penyiapan Lahan, Pembangunan Jalan &amp; Drainase</v>
          </cell>
        </row>
        <row r="135">
          <cell r="A135" t="str">
            <v xml:space="preserve">1. </v>
          </cell>
          <cell r="C135" t="str">
            <v>Jenis Peralatan</v>
          </cell>
          <cell r="G135" t="str">
            <v>BULLDOZER 100-150 HP</v>
          </cell>
          <cell r="J135" t="str">
            <v>(E04)</v>
          </cell>
          <cell r="L135" t="str">
            <v>PROP / KAB / KODYA</v>
          </cell>
          <cell r="O135" t="str">
            <v>:</v>
          </cell>
          <cell r="P135" t="str">
            <v xml:space="preserve">Propinsi Kalimantan Timur, Kabupaten Kutai Kartanegara </v>
          </cell>
        </row>
        <row r="136">
          <cell r="A136" t="str">
            <v xml:space="preserve">2. </v>
          </cell>
          <cell r="C136" t="str">
            <v>Tenaga</v>
          </cell>
          <cell r="G136" t="str">
            <v>Pw</v>
          </cell>
          <cell r="H136">
            <v>140</v>
          </cell>
          <cell r="I136" t="str">
            <v>HP</v>
          </cell>
          <cell r="L136" t="str">
            <v>ITEM PEMBAYARAN NO.</v>
          </cell>
          <cell r="O136" t="str">
            <v>:  9.7</v>
          </cell>
          <cell r="S136" t="str">
            <v>PERKIRAAN VOL. PEK.</v>
          </cell>
          <cell r="U136" t="str">
            <v>:</v>
          </cell>
          <cell r="V136">
            <v>600</v>
          </cell>
        </row>
        <row r="137">
          <cell r="A137" t="str">
            <v xml:space="preserve">3. </v>
          </cell>
          <cell r="C137" t="str">
            <v>Kapasitas</v>
          </cell>
          <cell r="G137" t="str">
            <v>Cp</v>
          </cell>
          <cell r="H137" t="str">
            <v xml:space="preserve">-  </v>
          </cell>
          <cell r="I137" t="str">
            <v>-</v>
          </cell>
          <cell r="L137" t="str">
            <v>JENIS PEKERJAAN</v>
          </cell>
          <cell r="O137" t="str">
            <v>:  PEKERJAAN HARIAN</v>
          </cell>
          <cell r="S137" t="str">
            <v>TOTAL HARGA (Rp.)</v>
          </cell>
          <cell r="U137" t="str">
            <v>:</v>
          </cell>
          <cell r="V137">
            <v>507672000</v>
          </cell>
        </row>
        <row r="138">
          <cell r="A138" t="str">
            <v xml:space="preserve">4. </v>
          </cell>
          <cell r="C138" t="str">
            <v>Umur Ekonomis</v>
          </cell>
          <cell r="G138" t="str">
            <v>A</v>
          </cell>
          <cell r="H138">
            <v>5</v>
          </cell>
          <cell r="I138" t="str">
            <v>Tahun</v>
          </cell>
          <cell r="J138" t="str">
            <v xml:space="preserve"> Alat Baru</v>
          </cell>
          <cell r="P138" t="str">
            <v>BULLDOZER 100-150 HP</v>
          </cell>
          <cell r="S138" t="str">
            <v>% THD. BIAYA PROYEK</v>
          </cell>
          <cell r="U138" t="str">
            <v>:</v>
          </cell>
          <cell r="V138">
            <v>0.25053706686234395</v>
          </cell>
        </row>
        <row r="139">
          <cell r="A139" t="str">
            <v xml:space="preserve">5. </v>
          </cell>
          <cell r="C139" t="str">
            <v>Jam Operasi Dalam 1 Tahun</v>
          </cell>
          <cell r="G139" t="str">
            <v>W</v>
          </cell>
          <cell r="H139">
            <v>2000</v>
          </cell>
          <cell r="I139" t="str">
            <v>Jam</v>
          </cell>
          <cell r="J139" t="str">
            <v xml:space="preserve"> Alat Baru</v>
          </cell>
          <cell r="L139" t="str">
            <v>SATUAN PEMBAYARAN</v>
          </cell>
          <cell r="O139" t="str">
            <v>:  JAM</v>
          </cell>
          <cell r="Q139" t="str">
            <v>(E04)</v>
          </cell>
        </row>
        <row r="140">
          <cell r="A140" t="str">
            <v xml:space="preserve">6. </v>
          </cell>
          <cell r="C140" t="str">
            <v>Harga Alat</v>
          </cell>
          <cell r="G140" t="str">
            <v>B</v>
          </cell>
          <cell r="H140">
            <v>1650000000</v>
          </cell>
          <cell r="I140" t="str">
            <v>Rupiah</v>
          </cell>
          <cell r="J140" t="str">
            <v xml:space="preserve"> Alat Baru</v>
          </cell>
        </row>
        <row r="142">
          <cell r="R142" t="str">
            <v>PERKIRAAN</v>
          </cell>
          <cell r="S142" t="str">
            <v>HARGA</v>
          </cell>
          <cell r="T142" t="str">
            <v>JUMLAH</v>
          </cell>
        </row>
        <row r="143">
          <cell r="A143" t="str">
            <v>B.</v>
          </cell>
          <cell r="C143" t="str">
            <v>BIAYA PASTI PER JAM KERJA</v>
          </cell>
          <cell r="L143" t="str">
            <v>NO.</v>
          </cell>
          <cell r="N143" t="str">
            <v>KOMPONEN</v>
          </cell>
          <cell r="Q143" t="str">
            <v>SATUAN</v>
          </cell>
          <cell r="R143" t="str">
            <v>KUANTITAS</v>
          </cell>
          <cell r="S143" t="str">
            <v>SATUAN</v>
          </cell>
          <cell r="T143" t="str">
            <v>HARGA</v>
          </cell>
        </row>
        <row r="144">
          <cell r="S144" t="str">
            <v>(Rp.)</v>
          </cell>
          <cell r="T144" t="str">
            <v>(Rp.)</v>
          </cell>
        </row>
        <row r="145">
          <cell r="A145" t="str">
            <v xml:space="preserve">1. </v>
          </cell>
          <cell r="C145" t="str">
            <v>Nilai Sisa Alat</v>
          </cell>
          <cell r="D145" t="str">
            <v>=  10 % x Harga Alat Baru</v>
          </cell>
          <cell r="G145" t="str">
            <v>C</v>
          </cell>
          <cell r="H145">
            <v>165000000</v>
          </cell>
          <cell r="I145" t="str">
            <v>Rupiah</v>
          </cell>
        </row>
        <row r="147">
          <cell r="A147" t="str">
            <v xml:space="preserve">2. </v>
          </cell>
          <cell r="C147" t="str">
            <v>Faktor Angsuran Modal    =</v>
          </cell>
          <cell r="E147" t="str">
            <v>i x (1 + i)^A</v>
          </cell>
          <cell r="G147" t="str">
            <v>D</v>
          </cell>
          <cell r="H147">
            <v>0.34176532925327435</v>
          </cell>
          <cell r="I147" t="str">
            <v>-</v>
          </cell>
          <cell r="L147" t="str">
            <v>A.</v>
          </cell>
          <cell r="N147" t="str">
            <v>PEKERJA</v>
          </cell>
        </row>
        <row r="148">
          <cell r="E148" t="str">
            <v>(1 + i)^A - 1</v>
          </cell>
        </row>
        <row r="149">
          <cell r="A149" t="str">
            <v xml:space="preserve">3. </v>
          </cell>
          <cell r="C149" t="str">
            <v>Biaya Pasti per Jam  :</v>
          </cell>
          <cell r="L149" t="str">
            <v>1.</v>
          </cell>
          <cell r="N149" t="str">
            <v>-</v>
          </cell>
          <cell r="R149" t="str">
            <v xml:space="preserve">-  </v>
          </cell>
          <cell r="S149" t="str">
            <v xml:space="preserve">-   </v>
          </cell>
          <cell r="V149" t="str">
            <v>-</v>
          </cell>
        </row>
        <row r="150">
          <cell r="C150" t="str">
            <v>a.  Biaya Pengembalian Modal  =</v>
          </cell>
          <cell r="E150" t="str">
            <v>( B - C ) x D</v>
          </cell>
          <cell r="G150" t="str">
            <v>E</v>
          </cell>
          <cell r="H150">
            <v>253760.75697055619</v>
          </cell>
          <cell r="I150" t="str">
            <v>Rupiah</v>
          </cell>
          <cell r="L150" t="str">
            <v>2.</v>
          </cell>
          <cell r="N150" t="str">
            <v>-</v>
          </cell>
          <cell r="R150" t="str">
            <v xml:space="preserve">-  </v>
          </cell>
          <cell r="S150" t="str">
            <v xml:space="preserve">-   </v>
          </cell>
          <cell r="V150" t="str">
            <v>-</v>
          </cell>
        </row>
        <row r="151">
          <cell r="E151" t="str">
            <v>W</v>
          </cell>
        </row>
        <row r="153">
          <cell r="C153" t="str">
            <v>b.  Asuransi, dll =</v>
          </cell>
          <cell r="D153">
            <v>2E-3</v>
          </cell>
          <cell r="E153" t="str">
            <v xml:space="preserve">  x   B</v>
          </cell>
          <cell r="G153" t="str">
            <v>F</v>
          </cell>
          <cell r="H153">
            <v>1650</v>
          </cell>
          <cell r="I153" t="str">
            <v>Rupiah</v>
          </cell>
        </row>
        <row r="154">
          <cell r="E154" t="str">
            <v>W</v>
          </cell>
        </row>
        <row r="155">
          <cell r="L155" t="str">
            <v>B.</v>
          </cell>
          <cell r="N155" t="str">
            <v>BAHAN</v>
          </cell>
        </row>
        <row r="156">
          <cell r="C156" t="str">
            <v>Biaya Pasti per Jam             =</v>
          </cell>
          <cell r="E156" t="str">
            <v>( E + F )</v>
          </cell>
          <cell r="G156" t="str">
            <v>G</v>
          </cell>
          <cell r="H156">
            <v>255410.75697055619</v>
          </cell>
          <cell r="I156" t="str">
            <v>Rupiah</v>
          </cell>
        </row>
        <row r="157">
          <cell r="L157" t="str">
            <v>1.</v>
          </cell>
          <cell r="N157" t="str">
            <v>-</v>
          </cell>
          <cell r="R157" t="str">
            <v xml:space="preserve">-  </v>
          </cell>
          <cell r="S157" t="str">
            <v xml:space="preserve">-   </v>
          </cell>
          <cell r="V157" t="str">
            <v>-</v>
          </cell>
        </row>
        <row r="158">
          <cell r="A158" t="str">
            <v>C.</v>
          </cell>
          <cell r="C158" t="str">
            <v>BIAYA OPERASI PER JAM KERJA</v>
          </cell>
          <cell r="L158" t="str">
            <v>2.</v>
          </cell>
          <cell r="N158" t="str">
            <v>-</v>
          </cell>
          <cell r="R158" t="str">
            <v xml:space="preserve">-  </v>
          </cell>
          <cell r="S158" t="str">
            <v xml:space="preserve">-   </v>
          </cell>
          <cell r="V158" t="str">
            <v>-</v>
          </cell>
        </row>
        <row r="160">
          <cell r="A160" t="str">
            <v xml:space="preserve">1. </v>
          </cell>
          <cell r="C160" t="str">
            <v xml:space="preserve">Bahan Bakar  =  (0.125-0.175 Ltr/HP/Jam)   x Pw x Ms </v>
          </cell>
          <cell r="G160" t="str">
            <v>H</v>
          </cell>
          <cell r="H160">
            <v>91875</v>
          </cell>
          <cell r="I160" t="str">
            <v>Rupiah</v>
          </cell>
        </row>
        <row r="162">
          <cell r="A162" t="str">
            <v xml:space="preserve">2. </v>
          </cell>
          <cell r="C162" t="str">
            <v>Pelumas         =  (0.01-0.02 Ltr/HP/Jam) x Pw x Mp</v>
          </cell>
          <cell r="G162" t="str">
            <v>I</v>
          </cell>
          <cell r="H162">
            <v>39460.400000000001</v>
          </cell>
          <cell r="I162" t="str">
            <v>Rupiah</v>
          </cell>
        </row>
        <row r="164">
          <cell r="A164" t="str">
            <v xml:space="preserve">3. </v>
          </cell>
          <cell r="C164" t="str">
            <v>Perawatan dan</v>
          </cell>
          <cell r="D164" t="str">
            <v>(12,5 % - 17,5 %)  x  B</v>
          </cell>
          <cell r="G164" t="str">
            <v>K</v>
          </cell>
          <cell r="H164">
            <v>103125</v>
          </cell>
          <cell r="I164" t="str">
            <v>Rupiah</v>
          </cell>
        </row>
        <row r="165">
          <cell r="C165" t="str">
            <v xml:space="preserve">        perbaikan    =</v>
          </cell>
          <cell r="D165" t="str">
            <v>W</v>
          </cell>
        </row>
        <row r="166">
          <cell r="L166" t="str">
            <v>C.</v>
          </cell>
          <cell r="N166" t="str">
            <v>ALAT</v>
          </cell>
        </row>
        <row r="167">
          <cell r="A167" t="str">
            <v xml:space="preserve">4. </v>
          </cell>
          <cell r="C167" t="str">
            <v>Operator</v>
          </cell>
          <cell r="D167" t="str">
            <v>=   ( 1  Orang / Jam )  x  U1</v>
          </cell>
          <cell r="G167" t="str">
            <v>L</v>
          </cell>
          <cell r="H167">
            <v>8750</v>
          </cell>
          <cell r="I167" t="str">
            <v>Rupiah</v>
          </cell>
        </row>
        <row r="168">
          <cell r="A168" t="str">
            <v xml:space="preserve">5. </v>
          </cell>
          <cell r="C168" t="str">
            <v>Pembantu Operator</v>
          </cell>
          <cell r="D168" t="str">
            <v>=   ( 1  Orang / Jam )  x  U2</v>
          </cell>
          <cell r="G168" t="str">
            <v>M</v>
          </cell>
          <cell r="H168">
            <v>5750</v>
          </cell>
          <cell r="I168" t="str">
            <v>Rupiah</v>
          </cell>
          <cell r="L168" t="str">
            <v>1.</v>
          </cell>
          <cell r="N168" t="str">
            <v>BULLDOZER 100-150 HP</v>
          </cell>
          <cell r="Q168" t="str">
            <v>jam</v>
          </cell>
          <cell r="R168">
            <v>1</v>
          </cell>
          <cell r="S168">
            <v>769200</v>
          </cell>
          <cell r="V168">
            <v>769200</v>
          </cell>
        </row>
        <row r="169">
          <cell r="L169" t="str">
            <v>2.</v>
          </cell>
          <cell r="N169" t="str">
            <v>-</v>
          </cell>
          <cell r="Q169" t="str">
            <v>jam</v>
          </cell>
          <cell r="R169" t="str">
            <v xml:space="preserve">-  </v>
          </cell>
          <cell r="S169" t="str">
            <v xml:space="preserve">-   </v>
          </cell>
          <cell r="V169" t="str">
            <v>-</v>
          </cell>
        </row>
        <row r="170">
          <cell r="C170" t="str">
            <v>Biaya Operasi per Jam        =</v>
          </cell>
          <cell r="E170" t="str">
            <v>(H+I+K+L+M)</v>
          </cell>
          <cell r="G170" t="str">
            <v>P</v>
          </cell>
          <cell r="H170">
            <v>248960.4</v>
          </cell>
          <cell r="I170" t="str">
            <v>Rupiah</v>
          </cell>
        </row>
        <row r="172">
          <cell r="A172" t="str">
            <v>D.</v>
          </cell>
          <cell r="C172" t="str">
            <v>TOTAL BIAYA SEWA ALAT / JAM   =   ( G + P )</v>
          </cell>
          <cell r="G172" t="str">
            <v>S</v>
          </cell>
          <cell r="H172">
            <v>504371.15697055619</v>
          </cell>
          <cell r="I172" t="str">
            <v>Rupiah</v>
          </cell>
        </row>
        <row r="176">
          <cell r="A176" t="str">
            <v>E.</v>
          </cell>
          <cell r="C176" t="str">
            <v>LAIN - LAIN</v>
          </cell>
        </row>
        <row r="177">
          <cell r="L177" t="str">
            <v>D.</v>
          </cell>
          <cell r="N177" t="str">
            <v>JUMLAH HARGA TENAGA, BAHAN DAN ALAT  ( A + B + C )</v>
          </cell>
          <cell r="V177">
            <v>769200</v>
          </cell>
        </row>
        <row r="178">
          <cell r="A178" t="str">
            <v xml:space="preserve">1. </v>
          </cell>
          <cell r="C178" t="str">
            <v>Tingkat Suku Bunga</v>
          </cell>
          <cell r="G178" t="str">
            <v>i</v>
          </cell>
          <cell r="H178">
            <v>21</v>
          </cell>
          <cell r="I178" t="str">
            <v>% / Tahun</v>
          </cell>
          <cell r="L178" t="str">
            <v>E.</v>
          </cell>
          <cell r="N178" t="str">
            <v>OVERHEAD &amp; PROFIT</v>
          </cell>
          <cell r="Q178">
            <v>10</v>
          </cell>
          <cell r="R178" t="str">
            <v>%  x  D</v>
          </cell>
          <cell r="V178">
            <v>76920</v>
          </cell>
        </row>
        <row r="179">
          <cell r="A179" t="str">
            <v xml:space="preserve">2. </v>
          </cell>
          <cell r="C179" t="str">
            <v>Upah Operator / Sopir</v>
          </cell>
          <cell r="G179" t="str">
            <v>U1</v>
          </cell>
          <cell r="H179">
            <v>8750</v>
          </cell>
          <cell r="I179" t="str">
            <v>Rp./Jam</v>
          </cell>
          <cell r="L179" t="str">
            <v>F.</v>
          </cell>
          <cell r="N179" t="str">
            <v>HARGA SATUAN PEKERJAAN  ( D + E )</v>
          </cell>
          <cell r="V179">
            <v>846120</v>
          </cell>
        </row>
        <row r="180">
          <cell r="A180" t="str">
            <v xml:space="preserve">3. </v>
          </cell>
          <cell r="C180" t="str">
            <v>Upah Pembantu Operator / Pmb.Sopir</v>
          </cell>
          <cell r="G180" t="str">
            <v>U2</v>
          </cell>
          <cell r="H180">
            <v>5750</v>
          </cell>
          <cell r="I180" t="str">
            <v>Rp./Jam</v>
          </cell>
          <cell r="L180" t="str">
            <v>Note: 1</v>
          </cell>
          <cell r="N180" t="str">
            <v>SATUAN dapat berdasarkan atas jam operasi untuk Tenaga Kerja dan Peralatan, volume dan/atau ukuran</v>
          </cell>
        </row>
        <row r="181">
          <cell r="A181" t="str">
            <v xml:space="preserve">4. </v>
          </cell>
          <cell r="C181" t="str">
            <v>Bahan Bakar Bensin</v>
          </cell>
          <cell r="G181" t="str">
            <v>Mb</v>
          </cell>
          <cell r="H181">
            <v>5450</v>
          </cell>
          <cell r="I181" t="str">
            <v>Liter</v>
          </cell>
          <cell r="N181" t="str">
            <v>berat untuk bahan-bahan.</v>
          </cell>
        </row>
        <row r="182">
          <cell r="A182" t="str">
            <v xml:space="preserve">5. </v>
          </cell>
          <cell r="C182" t="str">
            <v>Bahan Bakar Solar</v>
          </cell>
          <cell r="G182" t="str">
            <v>Ms</v>
          </cell>
          <cell r="H182">
            <v>5250</v>
          </cell>
          <cell r="I182" t="str">
            <v>Liter</v>
          </cell>
          <cell r="L182">
            <v>2</v>
          </cell>
          <cell r="N182" t="str">
            <v>Kuantitas satuan adalah kuantitas setiap komponen untuk menyelesaikan satu satuan pekerjaan dari nomor</v>
          </cell>
        </row>
        <row r="183">
          <cell r="A183" t="str">
            <v xml:space="preserve">6. </v>
          </cell>
          <cell r="C183" t="str">
            <v>Minyak Pelumas</v>
          </cell>
          <cell r="G183" t="str">
            <v>Mp</v>
          </cell>
          <cell r="H183">
            <v>28186</v>
          </cell>
          <cell r="I183" t="str">
            <v>Liter</v>
          </cell>
          <cell r="N183" t="str">
            <v>mata pembayaran.</v>
          </cell>
        </row>
        <row r="184">
          <cell r="L184">
            <v>3</v>
          </cell>
          <cell r="N184" t="str">
            <v>Biaya satuan untuk peralatan sudah termasuk bahan bakar, bahan habis dipakai dan operator.</v>
          </cell>
        </row>
        <row r="185">
          <cell r="L185">
            <v>4</v>
          </cell>
          <cell r="N185" t="str">
            <v>Biaya satuan sudah termasuk pengeluaran untuk seluruh pajak yang berkaitan (tetapi tidak termasuk PPN</v>
          </cell>
        </row>
        <row r="186">
          <cell r="N186" t="str">
            <v>yang dibayar dari kontrak) dan biaya-biaya lainnya.</v>
          </cell>
        </row>
        <row r="187">
          <cell r="A187" t="str">
            <v>ITEM PEMBAYARAN No.</v>
          </cell>
          <cell r="D187" t="str">
            <v>:  9.11</v>
          </cell>
          <cell r="U187" t="str">
            <v>Analisa EI-911</v>
          </cell>
        </row>
        <row r="188">
          <cell r="A188" t="str">
            <v>JENIS PEKERJAAN</v>
          </cell>
          <cell r="D188" t="str">
            <v>:  PEKERJAAN HARIAN</v>
          </cell>
        </row>
        <row r="189">
          <cell r="A189" t="str">
            <v>SATUAN PEMBAYARAN</v>
          </cell>
          <cell r="D189" t="str">
            <v>:  JAM</v>
          </cell>
          <cell r="J189" t="str">
            <v xml:space="preserve">         URAIAN ANALISA HARGA SATUAN</v>
          </cell>
          <cell r="L189" t="str">
            <v>FORMULIR STANDAR UNTUK</v>
          </cell>
        </row>
        <row r="190">
          <cell r="L190" t="str">
            <v>PEREKAMAN ANALISA MASING-MASING HARGA SATUAN</v>
          </cell>
        </row>
        <row r="191">
          <cell r="L191" t="str">
            <v/>
          </cell>
        </row>
        <row r="192">
          <cell r="A192" t="str">
            <v>No.</v>
          </cell>
          <cell r="C192" t="str">
            <v>U R A I A N</v>
          </cell>
          <cell r="G192" t="str">
            <v>KODE</v>
          </cell>
          <cell r="H192" t="str">
            <v>KOEF.</v>
          </cell>
          <cell r="I192" t="str">
            <v>SATUAN</v>
          </cell>
          <cell r="J192" t="str">
            <v>KETERANGAN</v>
          </cell>
        </row>
        <row r="194">
          <cell r="L194" t="str">
            <v>PROYEK</v>
          </cell>
          <cell r="O194" t="str">
            <v>:</v>
          </cell>
          <cell r="P194" t="str">
            <v>Pembangunan Sarana dan Prasara PON XVII Tahun 2008</v>
          </cell>
        </row>
        <row r="195">
          <cell r="A195" t="str">
            <v>A.</v>
          </cell>
          <cell r="C195" t="str">
            <v>URAIAN PERALATAN</v>
          </cell>
          <cell r="L195" t="str">
            <v>No. PAKET KONTRAK</v>
          </cell>
          <cell r="O195" t="str">
            <v>:</v>
          </cell>
          <cell r="P195" t="str">
            <v>?</v>
          </cell>
        </row>
        <row r="196">
          <cell r="L196" t="str">
            <v>NAMA PAKET</v>
          </cell>
          <cell r="O196" t="str">
            <v>:</v>
          </cell>
          <cell r="P196" t="str">
            <v>Pekerjaan Penyiapan Lahan, Pembangunan Jalan &amp; Drainase</v>
          </cell>
        </row>
        <row r="197">
          <cell r="A197" t="str">
            <v xml:space="preserve">1. </v>
          </cell>
          <cell r="C197" t="str">
            <v>Jenis Peralatan</v>
          </cell>
          <cell r="G197" t="str">
            <v>EXCAVATOR 80-140 HP</v>
          </cell>
          <cell r="J197" t="str">
            <v>(E10)</v>
          </cell>
          <cell r="L197" t="str">
            <v>PROP / KAB / KODYA</v>
          </cell>
          <cell r="O197" t="str">
            <v>:</v>
          </cell>
          <cell r="P197" t="str">
            <v xml:space="preserve">Propinsi Kalimantan Timur, Kabupaten Kutai Kartanegara </v>
          </cell>
        </row>
        <row r="198">
          <cell r="A198" t="str">
            <v xml:space="preserve">2. </v>
          </cell>
          <cell r="C198" t="str">
            <v>Tenaga</v>
          </cell>
          <cell r="G198" t="str">
            <v>Pw</v>
          </cell>
          <cell r="H198">
            <v>80</v>
          </cell>
          <cell r="I198" t="str">
            <v>HP</v>
          </cell>
          <cell r="L198" t="str">
            <v>ITEM PEMBAYARAN NO.</v>
          </cell>
          <cell r="O198" t="str">
            <v>:  9.11</v>
          </cell>
          <cell r="S198" t="str">
            <v>PERKIRAAN VOL. PEK.</v>
          </cell>
          <cell r="U198" t="str">
            <v>:</v>
          </cell>
          <cell r="V198">
            <v>600</v>
          </cell>
        </row>
        <row r="199">
          <cell r="A199" t="str">
            <v xml:space="preserve">3. </v>
          </cell>
          <cell r="C199" t="str">
            <v>Kapasitas</v>
          </cell>
          <cell r="G199" t="str">
            <v>Cp</v>
          </cell>
          <cell r="H199">
            <v>0.5</v>
          </cell>
          <cell r="I199" t="str">
            <v>M3</v>
          </cell>
          <cell r="L199" t="str">
            <v>JENIS PEKERJAAN</v>
          </cell>
          <cell r="O199" t="str">
            <v>:  PEKERJAAN HARIAN</v>
          </cell>
          <cell r="S199" t="str">
            <v>TOTAL HARGA (Rp.)</v>
          </cell>
          <cell r="U199" t="str">
            <v>:</v>
          </cell>
          <cell r="V199">
            <v>424861800</v>
          </cell>
        </row>
        <row r="200">
          <cell r="A200" t="str">
            <v xml:space="preserve">4. </v>
          </cell>
          <cell r="C200" t="str">
            <v>Umur Ekonomis</v>
          </cell>
          <cell r="G200" t="str">
            <v>A</v>
          </cell>
          <cell r="H200">
            <v>5</v>
          </cell>
          <cell r="I200" t="str">
            <v>Tahun</v>
          </cell>
          <cell r="J200" t="str">
            <v xml:space="preserve"> Alat Baru</v>
          </cell>
          <cell r="P200" t="str">
            <v>EXCAVATOR 80-140 HP</v>
          </cell>
          <cell r="S200" t="str">
            <v>% THD. BIAYA PROYEK</v>
          </cell>
          <cell r="U200" t="str">
            <v>:</v>
          </cell>
          <cell r="V200">
            <v>0.20967008066991247</v>
          </cell>
        </row>
        <row r="201">
          <cell r="A201" t="str">
            <v xml:space="preserve">5. </v>
          </cell>
          <cell r="C201" t="str">
            <v>Jam Operasi Dalam 1 Tahun</v>
          </cell>
          <cell r="G201" t="str">
            <v>W</v>
          </cell>
          <cell r="H201">
            <v>2000</v>
          </cell>
          <cell r="I201" t="str">
            <v>Jam</v>
          </cell>
          <cell r="J201" t="str">
            <v xml:space="preserve"> Alat Baru</v>
          </cell>
          <cell r="L201" t="str">
            <v>SATUAN PEMBAYARAN</v>
          </cell>
          <cell r="O201" t="str">
            <v>:  JAM</v>
          </cell>
          <cell r="Q201" t="str">
            <v>(E10)</v>
          </cell>
        </row>
        <row r="202">
          <cell r="A202" t="str">
            <v xml:space="preserve">6. </v>
          </cell>
          <cell r="C202" t="str">
            <v>Harga Alat</v>
          </cell>
          <cell r="G202" t="str">
            <v>B</v>
          </cell>
          <cell r="H202">
            <v>900000000</v>
          </cell>
          <cell r="I202" t="str">
            <v>Rupiah</v>
          </cell>
          <cell r="J202" t="str">
            <v xml:space="preserve"> Alat Baru</v>
          </cell>
        </row>
        <row r="204">
          <cell r="R204" t="str">
            <v>PERKIRAAN</v>
          </cell>
          <cell r="S204" t="str">
            <v>HARGA</v>
          </cell>
          <cell r="T204" t="str">
            <v>JUMLAH</v>
          </cell>
        </row>
        <row r="205">
          <cell r="A205" t="str">
            <v>B.</v>
          </cell>
          <cell r="C205" t="str">
            <v>BIAYA PASTI PER JAM KERJA</v>
          </cell>
          <cell r="L205" t="str">
            <v>NO.</v>
          </cell>
          <cell r="N205" t="str">
            <v>KOMPONEN</v>
          </cell>
          <cell r="Q205" t="str">
            <v>SATUAN</v>
          </cell>
          <cell r="R205" t="str">
            <v>KUANTITAS</v>
          </cell>
          <cell r="S205" t="str">
            <v>SATUAN</v>
          </cell>
          <cell r="T205" t="str">
            <v>HARGA</v>
          </cell>
        </row>
        <row r="206">
          <cell r="S206" t="str">
            <v>(Rp.)</v>
          </cell>
          <cell r="T206" t="str">
            <v>(Rp.)</v>
          </cell>
        </row>
        <row r="207">
          <cell r="A207" t="str">
            <v xml:space="preserve">1. </v>
          </cell>
          <cell r="C207" t="str">
            <v>Nilai Sisa Alat</v>
          </cell>
          <cell r="D207" t="str">
            <v>=  10 % x Harga Alat Baru</v>
          </cell>
          <cell r="G207" t="str">
            <v>C</v>
          </cell>
          <cell r="H207">
            <v>90000000</v>
          </cell>
          <cell r="I207" t="str">
            <v>Rupiah</v>
          </cell>
        </row>
        <row r="209">
          <cell r="A209" t="str">
            <v xml:space="preserve">2. </v>
          </cell>
          <cell r="C209" t="str">
            <v>Faktor Angsuran Modal    =</v>
          </cell>
          <cell r="E209" t="str">
            <v>i x (1 + i)^A</v>
          </cell>
          <cell r="G209" t="str">
            <v>D</v>
          </cell>
          <cell r="H209">
            <v>0.34176532925327435</v>
          </cell>
          <cell r="I209" t="str">
            <v>-</v>
          </cell>
          <cell r="L209" t="str">
            <v>A.</v>
          </cell>
          <cell r="N209" t="str">
            <v>PEKERJA</v>
          </cell>
        </row>
        <row r="210">
          <cell r="E210" t="str">
            <v>(1 + i)^A - 1</v>
          </cell>
        </row>
        <row r="211">
          <cell r="A211" t="str">
            <v xml:space="preserve">3. </v>
          </cell>
          <cell r="C211" t="str">
            <v>Biaya Pasti per Jam  :</v>
          </cell>
          <cell r="L211" t="str">
            <v>1.</v>
          </cell>
          <cell r="N211" t="str">
            <v>-</v>
          </cell>
          <cell r="R211" t="str">
            <v xml:space="preserve">-  </v>
          </cell>
          <cell r="S211" t="str">
            <v xml:space="preserve">-   </v>
          </cell>
          <cell r="V211" t="str">
            <v>-</v>
          </cell>
        </row>
        <row r="212">
          <cell r="C212" t="str">
            <v>a.  Biaya Pengembalian Modal  =</v>
          </cell>
          <cell r="E212" t="str">
            <v>( B - C ) x D</v>
          </cell>
          <cell r="G212" t="str">
            <v>E</v>
          </cell>
          <cell r="H212">
            <v>138414.95834757612</v>
          </cell>
          <cell r="I212" t="str">
            <v>Rupiah</v>
          </cell>
          <cell r="L212" t="str">
            <v>2.</v>
          </cell>
          <cell r="N212" t="str">
            <v>-</v>
          </cell>
          <cell r="R212" t="str">
            <v xml:space="preserve">-  </v>
          </cell>
          <cell r="S212" t="str">
            <v xml:space="preserve">-   </v>
          </cell>
          <cell r="V212" t="str">
            <v>-</v>
          </cell>
        </row>
        <row r="213">
          <cell r="E213" t="str">
            <v>W</v>
          </cell>
        </row>
        <row r="215">
          <cell r="C215" t="str">
            <v>b.  Asuransi, dll =</v>
          </cell>
          <cell r="D215">
            <v>2E-3</v>
          </cell>
          <cell r="E215" t="str">
            <v xml:space="preserve">  x   B</v>
          </cell>
          <cell r="G215" t="str">
            <v>F</v>
          </cell>
          <cell r="H215">
            <v>900</v>
          </cell>
          <cell r="I215" t="str">
            <v>Rupiah</v>
          </cell>
        </row>
        <row r="216">
          <cell r="E216" t="str">
            <v>W</v>
          </cell>
        </row>
        <row r="217">
          <cell r="L217" t="str">
            <v>B.</v>
          </cell>
          <cell r="N217" t="str">
            <v>BAHAN</v>
          </cell>
        </row>
        <row r="218">
          <cell r="C218" t="str">
            <v>Biaya Pasti per Jam             =</v>
          </cell>
          <cell r="E218" t="str">
            <v>( E + F )</v>
          </cell>
          <cell r="G218" t="str">
            <v>G</v>
          </cell>
          <cell r="H218">
            <v>139314.95834757612</v>
          </cell>
          <cell r="I218" t="str">
            <v>Rupiah</v>
          </cell>
        </row>
        <row r="219">
          <cell r="L219" t="str">
            <v>1.</v>
          </cell>
          <cell r="N219" t="str">
            <v>-</v>
          </cell>
          <cell r="R219" t="str">
            <v xml:space="preserve">-  </v>
          </cell>
          <cell r="S219" t="str">
            <v xml:space="preserve">-   </v>
          </cell>
          <cell r="V219" t="str">
            <v>-</v>
          </cell>
        </row>
        <row r="220">
          <cell r="A220" t="str">
            <v>C.</v>
          </cell>
          <cell r="C220" t="str">
            <v>BIAYA OPERASI PER JAM KERJA</v>
          </cell>
          <cell r="L220" t="str">
            <v>2.</v>
          </cell>
          <cell r="N220" t="str">
            <v>-</v>
          </cell>
          <cell r="R220" t="str">
            <v xml:space="preserve">-  </v>
          </cell>
          <cell r="S220" t="str">
            <v xml:space="preserve">-   </v>
          </cell>
          <cell r="V220" t="str">
            <v>-</v>
          </cell>
        </row>
        <row r="222">
          <cell r="A222" t="str">
            <v xml:space="preserve">1. </v>
          </cell>
          <cell r="C222" t="str">
            <v xml:space="preserve">Bahan Bakar  =  (0.125-0.175 Ltr/HP/Jam)   x Pw x Ms </v>
          </cell>
          <cell r="G222" t="str">
            <v>H</v>
          </cell>
          <cell r="H222">
            <v>52500</v>
          </cell>
          <cell r="I222" t="str">
            <v>Rupiah</v>
          </cell>
        </row>
        <row r="224">
          <cell r="A224" t="str">
            <v xml:space="preserve">2. </v>
          </cell>
          <cell r="C224" t="str">
            <v>Pelumas         =  (0.01-0.02 Ltr/HP/Jam) x Pw x Mp</v>
          </cell>
          <cell r="G224" t="str">
            <v>I</v>
          </cell>
          <cell r="H224">
            <v>22548.800000000003</v>
          </cell>
          <cell r="I224" t="str">
            <v>Rupiah</v>
          </cell>
        </row>
        <row r="226">
          <cell r="A226" t="str">
            <v xml:space="preserve">3. </v>
          </cell>
          <cell r="C226" t="str">
            <v>Perawatan dan</v>
          </cell>
          <cell r="D226" t="str">
            <v>(12,5 % - 17,5 %)  x  B</v>
          </cell>
          <cell r="G226" t="str">
            <v>K</v>
          </cell>
          <cell r="H226">
            <v>56250</v>
          </cell>
          <cell r="I226" t="str">
            <v>Rupiah</v>
          </cell>
        </row>
        <row r="227">
          <cell r="C227" t="str">
            <v xml:space="preserve">        perbaikan    =</v>
          </cell>
          <cell r="D227" t="str">
            <v>W</v>
          </cell>
        </row>
        <row r="228">
          <cell r="L228" t="str">
            <v>C.</v>
          </cell>
          <cell r="N228" t="str">
            <v>ALAT</v>
          </cell>
        </row>
        <row r="229">
          <cell r="A229" t="str">
            <v xml:space="preserve">4. </v>
          </cell>
          <cell r="C229" t="str">
            <v>Operator</v>
          </cell>
          <cell r="D229" t="str">
            <v>=   ( 1  Orang / Jam )  x  U1</v>
          </cell>
          <cell r="G229" t="str">
            <v>L</v>
          </cell>
          <cell r="H229">
            <v>8750</v>
          </cell>
          <cell r="I229" t="str">
            <v>Rupiah</v>
          </cell>
        </row>
        <row r="230">
          <cell r="A230" t="str">
            <v xml:space="preserve">5. </v>
          </cell>
          <cell r="C230" t="str">
            <v>Pembantu Operator</v>
          </cell>
          <cell r="D230" t="str">
            <v>=   ( 1  Orang / Jam )  x  U2</v>
          </cell>
          <cell r="G230" t="str">
            <v>M</v>
          </cell>
          <cell r="H230">
            <v>5750</v>
          </cell>
          <cell r="I230" t="str">
            <v>Rupiah</v>
          </cell>
          <cell r="L230" t="str">
            <v>1.</v>
          </cell>
          <cell r="N230" t="str">
            <v>EXCAVATOR 80-140 HP</v>
          </cell>
          <cell r="Q230" t="str">
            <v>jam</v>
          </cell>
          <cell r="R230">
            <v>1</v>
          </cell>
          <cell r="S230">
            <v>643730</v>
          </cell>
          <cell r="V230">
            <v>643730</v>
          </cell>
        </row>
        <row r="231">
          <cell r="L231" t="str">
            <v>2.</v>
          </cell>
          <cell r="N231" t="str">
            <v>-</v>
          </cell>
          <cell r="Q231" t="str">
            <v>jam</v>
          </cell>
          <cell r="R231" t="str">
            <v xml:space="preserve">-  </v>
          </cell>
          <cell r="S231" t="str">
            <v xml:space="preserve">-   </v>
          </cell>
          <cell r="V231" t="str">
            <v>-</v>
          </cell>
        </row>
        <row r="232">
          <cell r="C232" t="str">
            <v>Biaya Operasi per Jam        =</v>
          </cell>
          <cell r="E232" t="str">
            <v>(H+I+K+L+M)</v>
          </cell>
          <cell r="G232" t="str">
            <v>P</v>
          </cell>
          <cell r="H232">
            <v>145798.79999999999</v>
          </cell>
          <cell r="I232" t="str">
            <v>Rupiah</v>
          </cell>
        </row>
        <row r="234">
          <cell r="A234" t="str">
            <v>D.</v>
          </cell>
          <cell r="C234" t="str">
            <v>TOTAL BIAYA SEWA ALAT / JAM   =   ( G + P )</v>
          </cell>
          <cell r="G234" t="str">
            <v>S</v>
          </cell>
          <cell r="H234">
            <v>285113.75834757613</v>
          </cell>
          <cell r="I234" t="str">
            <v>Rupiah</v>
          </cell>
        </row>
        <row r="238">
          <cell r="A238" t="str">
            <v>E.</v>
          </cell>
          <cell r="C238" t="str">
            <v>LAIN - LAIN</v>
          </cell>
        </row>
        <row r="239">
          <cell r="L239" t="str">
            <v>D.</v>
          </cell>
          <cell r="N239" t="str">
            <v>JUMLAH HARGA TENAGA, BAHAN DAN ALAT  ( A + B + C )</v>
          </cell>
          <cell r="V239">
            <v>643730</v>
          </cell>
        </row>
        <row r="240">
          <cell r="A240" t="str">
            <v xml:space="preserve">1. </v>
          </cell>
          <cell r="C240" t="str">
            <v>Tingkat Suku Bunga</v>
          </cell>
          <cell r="G240" t="str">
            <v>i</v>
          </cell>
          <cell r="H240">
            <v>21</v>
          </cell>
          <cell r="I240" t="str">
            <v>% / Tahun</v>
          </cell>
          <cell r="L240" t="str">
            <v>E.</v>
          </cell>
          <cell r="N240" t="str">
            <v>OVERHEAD &amp; PROFIT</v>
          </cell>
          <cell r="Q240">
            <v>10</v>
          </cell>
          <cell r="R240" t="str">
            <v>%  x  D</v>
          </cell>
          <cell r="V240">
            <v>64373</v>
          </cell>
        </row>
        <row r="241">
          <cell r="A241" t="str">
            <v xml:space="preserve">2. </v>
          </cell>
          <cell r="C241" t="str">
            <v>Upah Operator / Sopir</v>
          </cell>
          <cell r="G241" t="str">
            <v>U1</v>
          </cell>
          <cell r="H241">
            <v>8750</v>
          </cell>
          <cell r="I241" t="str">
            <v>Rp./Jam</v>
          </cell>
          <cell r="L241" t="str">
            <v>F.</v>
          </cell>
          <cell r="N241" t="str">
            <v>HARGA SATUAN PEKERJAAN  ( D + E )</v>
          </cell>
          <cell r="V241">
            <v>708103</v>
          </cell>
        </row>
        <row r="242">
          <cell r="A242" t="str">
            <v xml:space="preserve">3. </v>
          </cell>
          <cell r="C242" t="str">
            <v>Upah Pembantu Operator / Pmb.Sopir</v>
          </cell>
          <cell r="G242" t="str">
            <v>U2</v>
          </cell>
          <cell r="H242">
            <v>5750</v>
          </cell>
          <cell r="I242" t="str">
            <v>Rp./Jam</v>
          </cell>
          <cell r="L242" t="str">
            <v>Note: 1</v>
          </cell>
          <cell r="N242" t="str">
            <v>SATUAN dapat berdasarkan atas jam operasi untuk Tenaga Kerja dan Peralatan, volume dan/atau ukuran</v>
          </cell>
        </row>
        <row r="243">
          <cell r="A243" t="str">
            <v xml:space="preserve">4. </v>
          </cell>
          <cell r="C243" t="str">
            <v>Bahan Bakar Bensin</v>
          </cell>
          <cell r="G243" t="str">
            <v>Mb</v>
          </cell>
          <cell r="H243">
            <v>5450</v>
          </cell>
          <cell r="I243" t="str">
            <v>Liter</v>
          </cell>
          <cell r="N243" t="str">
            <v>berat untuk bahan-bahan.</v>
          </cell>
        </row>
        <row r="244">
          <cell r="A244" t="str">
            <v xml:space="preserve">5. </v>
          </cell>
          <cell r="C244" t="str">
            <v>Bahan Bakar Solar</v>
          </cell>
          <cell r="G244" t="str">
            <v>Ms</v>
          </cell>
          <cell r="H244">
            <v>5250</v>
          </cell>
          <cell r="I244" t="str">
            <v>Liter</v>
          </cell>
          <cell r="L244">
            <v>2</v>
          </cell>
          <cell r="N244" t="str">
            <v>Kuantitas satuan adalah kuantitas setiap komponen untuk menyelesaikan satu satuan pekerjaan dari nomor</v>
          </cell>
        </row>
        <row r="245">
          <cell r="A245" t="str">
            <v xml:space="preserve">6. </v>
          </cell>
          <cell r="C245" t="str">
            <v>Minyak Pelumas</v>
          </cell>
          <cell r="G245" t="str">
            <v>Mp</v>
          </cell>
          <cell r="H245">
            <v>28186</v>
          </cell>
          <cell r="I245" t="str">
            <v>Liter</v>
          </cell>
          <cell r="N245" t="str">
            <v>mata pembayaran.</v>
          </cell>
        </row>
        <row r="246">
          <cell r="L246">
            <v>3</v>
          </cell>
          <cell r="N246" t="str">
            <v>Biaya satuan untuk peralatan sudah termasuk bahan bakar, bahan habis dipakai dan operator.</v>
          </cell>
        </row>
        <row r="247">
          <cell r="L247">
            <v>4</v>
          </cell>
          <cell r="N247" t="str">
            <v>Biaya satuan sudah termasuk pengeluaran untuk seluruh pajak yang berkaitan (tetapi tidak termasuk PPN</v>
          </cell>
        </row>
        <row r="248">
          <cell r="N248" t="str">
            <v>yang dibayar dari kontrak) dan biaya-biaya lainnya.</v>
          </cell>
        </row>
        <row r="249">
          <cell r="A249" t="str">
            <v>ITEM PEMBAYARAN No.</v>
          </cell>
          <cell r="D249" t="str">
            <v>:  9.13</v>
          </cell>
          <cell r="U249" t="str">
            <v>Analisa EI-913</v>
          </cell>
        </row>
        <row r="250">
          <cell r="A250" t="str">
            <v>JENIS PEKERJAAN</v>
          </cell>
          <cell r="D250" t="str">
            <v>:  PEKERJAAN HARIAN</v>
          </cell>
        </row>
        <row r="251">
          <cell r="A251" t="str">
            <v>SATUAN PEMBAYARAN</v>
          </cell>
          <cell r="D251" t="str">
            <v>:  JAM</v>
          </cell>
          <cell r="J251" t="str">
            <v xml:space="preserve">         URAIAN ANALISA HARGA SATUAN</v>
          </cell>
          <cell r="L251" t="str">
            <v>FORMULIR STANDAR UNTUK</v>
          </cell>
        </row>
        <row r="252">
          <cell r="L252" t="str">
            <v>PEREKAMAN ANALISA MASING-MASING HARGA SATUAN</v>
          </cell>
        </row>
        <row r="253">
          <cell r="L253" t="str">
            <v/>
          </cell>
        </row>
        <row r="254">
          <cell r="A254" t="str">
            <v>No.</v>
          </cell>
          <cell r="C254" t="str">
            <v>U R A I A N</v>
          </cell>
          <cell r="G254" t="str">
            <v>KODE</v>
          </cell>
          <cell r="H254" t="str">
            <v>KOEF.</v>
          </cell>
          <cell r="I254" t="str">
            <v>SATUAN</v>
          </cell>
          <cell r="J254" t="str">
            <v>KETERANGAN</v>
          </cell>
        </row>
        <row r="256">
          <cell r="L256" t="str">
            <v>PROYEK</v>
          </cell>
          <cell r="O256" t="str">
            <v>:</v>
          </cell>
          <cell r="P256" t="str">
            <v>Pembangunan Sarana dan Prasara PON XVII Tahun 2008</v>
          </cell>
        </row>
        <row r="257">
          <cell r="A257" t="str">
            <v>A.</v>
          </cell>
          <cell r="C257" t="str">
            <v>URAIAN PERALATAN</v>
          </cell>
          <cell r="L257" t="str">
            <v>No. PAKET KONTRAK</v>
          </cell>
          <cell r="O257" t="str">
            <v>:</v>
          </cell>
          <cell r="P257" t="str">
            <v>?</v>
          </cell>
        </row>
        <row r="258">
          <cell r="L258" t="str">
            <v>NAMA PAKET</v>
          </cell>
          <cell r="O258" t="str">
            <v>:</v>
          </cell>
          <cell r="P258" t="str">
            <v>Pekerjaan Penyiapan Lahan, Pembangunan Jalan &amp; Drainase</v>
          </cell>
        </row>
        <row r="259">
          <cell r="A259" t="str">
            <v xml:space="preserve">1. </v>
          </cell>
          <cell r="C259" t="str">
            <v>Jenis Peralatan</v>
          </cell>
          <cell r="G259" t="str">
            <v>STEEL WHEEL ROLLER 6-9 T.</v>
          </cell>
          <cell r="J259" t="str">
            <v>(E16)</v>
          </cell>
          <cell r="L259" t="str">
            <v>PROP / KAB / KODYA</v>
          </cell>
          <cell r="O259" t="str">
            <v>:</v>
          </cell>
          <cell r="P259" t="str">
            <v xml:space="preserve">Propinsi Kalimantan Timur, Kabupaten Kutai Kartanegara </v>
          </cell>
        </row>
        <row r="260">
          <cell r="A260" t="str">
            <v xml:space="preserve">2. </v>
          </cell>
          <cell r="C260" t="str">
            <v>Tenaga</v>
          </cell>
          <cell r="G260" t="str">
            <v>Pw</v>
          </cell>
          <cell r="H260">
            <v>50</v>
          </cell>
          <cell r="I260" t="str">
            <v>HP</v>
          </cell>
          <cell r="L260" t="str">
            <v>ITEM PEMBAYARAN NO.</v>
          </cell>
          <cell r="O260" t="str">
            <v>:  9.13</v>
          </cell>
          <cell r="S260" t="str">
            <v>PERKIRAAN VOL. PEK.</v>
          </cell>
          <cell r="U260" t="str">
            <v>:</v>
          </cell>
          <cell r="V260">
            <v>360</v>
          </cell>
        </row>
        <row r="261">
          <cell r="A261" t="str">
            <v xml:space="preserve">3. </v>
          </cell>
          <cell r="C261" t="str">
            <v>Kapasitas</v>
          </cell>
          <cell r="G261" t="str">
            <v>Cp</v>
          </cell>
          <cell r="H261">
            <v>8</v>
          </cell>
          <cell r="I261" t="str">
            <v>Ton</v>
          </cell>
          <cell r="L261" t="str">
            <v>JENIS PEKERJAAN</v>
          </cell>
          <cell r="O261" t="str">
            <v>:  PEKERJAAN HARIAN</v>
          </cell>
          <cell r="S261" t="str">
            <v>TOTAL HARGA (Rp.)</v>
          </cell>
          <cell r="U261" t="str">
            <v>:</v>
          </cell>
          <cell r="V261">
            <v>201629340</v>
          </cell>
        </row>
        <row r="262">
          <cell r="A262" t="str">
            <v xml:space="preserve">4. </v>
          </cell>
          <cell r="C262" t="str">
            <v>Umur Ekonomis</v>
          </cell>
          <cell r="G262" t="str">
            <v>A</v>
          </cell>
          <cell r="H262">
            <v>5</v>
          </cell>
          <cell r="I262" t="str">
            <v>Tahun</v>
          </cell>
          <cell r="J262" t="str">
            <v xml:space="preserve"> Alat Baru</v>
          </cell>
          <cell r="P262" t="str">
            <v>STEEL WHEEL ROLLER 6-9 T.</v>
          </cell>
          <cell r="S262" t="str">
            <v>% THD. BIAYA PROYEK</v>
          </cell>
          <cell r="U262" t="str">
            <v>:</v>
          </cell>
          <cell r="V262">
            <v>9.9504450584216336E-2</v>
          </cell>
        </row>
        <row r="263">
          <cell r="A263" t="str">
            <v xml:space="preserve">5. </v>
          </cell>
          <cell r="C263" t="str">
            <v>Jam Operasi Dalam 1 Tahun</v>
          </cell>
          <cell r="G263" t="str">
            <v>W</v>
          </cell>
          <cell r="H263">
            <v>2000</v>
          </cell>
          <cell r="I263" t="str">
            <v>Jam</v>
          </cell>
          <cell r="J263" t="str">
            <v xml:space="preserve"> Alat Baru</v>
          </cell>
          <cell r="L263" t="str">
            <v>SATUAN PEMBAYARAN</v>
          </cell>
          <cell r="O263" t="str">
            <v>:  JAM</v>
          </cell>
          <cell r="Q263" t="str">
            <v>(E16)</v>
          </cell>
        </row>
        <row r="264">
          <cell r="A264" t="str">
            <v xml:space="preserve">6. </v>
          </cell>
          <cell r="C264" t="str">
            <v>Harga Alat</v>
          </cell>
          <cell r="G264" t="str">
            <v>B</v>
          </cell>
          <cell r="H264">
            <v>320000000</v>
          </cell>
          <cell r="I264" t="str">
            <v>Rupiah</v>
          </cell>
          <cell r="J264" t="str">
            <v xml:space="preserve"> Alat Baru</v>
          </cell>
        </row>
        <row r="266">
          <cell r="R266" t="str">
            <v>PERKIRAAN</v>
          </cell>
          <cell r="S266" t="str">
            <v>HARGA</v>
          </cell>
          <cell r="T266" t="str">
            <v>JUMLAH</v>
          </cell>
        </row>
        <row r="267">
          <cell r="A267" t="str">
            <v>B.</v>
          </cell>
          <cell r="C267" t="str">
            <v>BIAYA PASTI PER JAM KERJA</v>
          </cell>
          <cell r="L267" t="str">
            <v>NO.</v>
          </cell>
          <cell r="N267" t="str">
            <v>KOMPONEN</v>
          </cell>
          <cell r="Q267" t="str">
            <v>SATUAN</v>
          </cell>
          <cell r="R267" t="str">
            <v>KUANTITAS</v>
          </cell>
          <cell r="S267" t="str">
            <v>SATUAN</v>
          </cell>
          <cell r="T267" t="str">
            <v>HARGA</v>
          </cell>
        </row>
        <row r="268">
          <cell r="S268" t="str">
            <v>(Rp.)</v>
          </cell>
          <cell r="T268" t="str">
            <v>(Rp.)</v>
          </cell>
        </row>
        <row r="269">
          <cell r="A269" t="str">
            <v xml:space="preserve">1. </v>
          </cell>
          <cell r="C269" t="str">
            <v>Nilai Sisa Alat</v>
          </cell>
          <cell r="D269" t="str">
            <v>=  10 % x Harga Alat Baru</v>
          </cell>
          <cell r="G269" t="str">
            <v>C</v>
          </cell>
          <cell r="H269">
            <v>32000000</v>
          </cell>
          <cell r="I269" t="str">
            <v>Rupiah</v>
          </cell>
        </row>
        <row r="271">
          <cell r="A271" t="str">
            <v xml:space="preserve">2. </v>
          </cell>
          <cell r="C271" t="str">
            <v>Faktor Angsuran Modal    =</v>
          </cell>
          <cell r="E271" t="str">
            <v>i x (1 + i)^A</v>
          </cell>
          <cell r="G271" t="str">
            <v>D</v>
          </cell>
          <cell r="H271">
            <v>0.34176532925327435</v>
          </cell>
          <cell r="I271" t="str">
            <v>-</v>
          </cell>
          <cell r="L271" t="str">
            <v>A.</v>
          </cell>
          <cell r="N271" t="str">
            <v>PEKERJA</v>
          </cell>
        </row>
        <row r="272">
          <cell r="E272" t="str">
            <v>(1 + i)^A - 1</v>
          </cell>
        </row>
        <row r="273">
          <cell r="A273" t="str">
            <v xml:space="preserve">3. </v>
          </cell>
          <cell r="C273" t="str">
            <v>Biaya Pasti per Jam  :</v>
          </cell>
          <cell r="L273" t="str">
            <v>1.</v>
          </cell>
          <cell r="N273" t="str">
            <v>-</v>
          </cell>
          <cell r="R273" t="str">
            <v xml:space="preserve">-  </v>
          </cell>
          <cell r="S273" t="str">
            <v xml:space="preserve">-   </v>
          </cell>
          <cell r="V273" t="str">
            <v>-</v>
          </cell>
        </row>
        <row r="274">
          <cell r="C274" t="str">
            <v>a.  Biaya Pengembalian Modal  =</v>
          </cell>
          <cell r="E274" t="str">
            <v>( B - C ) x D</v>
          </cell>
          <cell r="G274" t="str">
            <v>E</v>
          </cell>
          <cell r="H274">
            <v>49214.207412471507</v>
          </cell>
          <cell r="I274" t="str">
            <v>Rupiah</v>
          </cell>
          <cell r="L274" t="str">
            <v>2.</v>
          </cell>
          <cell r="N274" t="str">
            <v>-</v>
          </cell>
          <cell r="R274" t="str">
            <v xml:space="preserve">-  </v>
          </cell>
          <cell r="S274" t="str">
            <v xml:space="preserve">-   </v>
          </cell>
          <cell r="V274" t="str">
            <v>-</v>
          </cell>
        </row>
        <row r="275">
          <cell r="E275" t="str">
            <v>W</v>
          </cell>
        </row>
        <row r="277">
          <cell r="C277" t="str">
            <v>b.  Asuransi, dll =</v>
          </cell>
          <cell r="D277">
            <v>2E-3</v>
          </cell>
          <cell r="E277" t="str">
            <v xml:space="preserve">  x   B</v>
          </cell>
          <cell r="G277" t="str">
            <v>F</v>
          </cell>
          <cell r="H277">
            <v>320</v>
          </cell>
          <cell r="I277" t="str">
            <v>Rupiah</v>
          </cell>
        </row>
        <row r="278">
          <cell r="E278" t="str">
            <v>W</v>
          </cell>
        </row>
        <row r="279">
          <cell r="L279" t="str">
            <v>B.</v>
          </cell>
          <cell r="N279" t="str">
            <v>BAHAN</v>
          </cell>
        </row>
        <row r="280">
          <cell r="C280" t="str">
            <v>Biaya Pasti per Jam             =</v>
          </cell>
          <cell r="E280" t="str">
            <v>( E + F )</v>
          </cell>
          <cell r="G280" t="str">
            <v>G</v>
          </cell>
          <cell r="H280">
            <v>49534.207412471507</v>
          </cell>
          <cell r="I280" t="str">
            <v>Rupiah</v>
          </cell>
        </row>
        <row r="281">
          <cell r="L281" t="str">
            <v>1.</v>
          </cell>
          <cell r="N281" t="str">
            <v>-</v>
          </cell>
          <cell r="R281" t="str">
            <v xml:space="preserve">-  </v>
          </cell>
          <cell r="S281" t="str">
            <v xml:space="preserve">-   </v>
          </cell>
          <cell r="V281" t="str">
            <v>-</v>
          </cell>
        </row>
        <row r="282">
          <cell r="A282" t="str">
            <v>C.</v>
          </cell>
          <cell r="C282" t="str">
            <v>BIAYA OPERASI PER JAM KERJA</v>
          </cell>
          <cell r="L282" t="str">
            <v>2.</v>
          </cell>
          <cell r="N282" t="str">
            <v>-</v>
          </cell>
          <cell r="R282" t="str">
            <v xml:space="preserve">-  </v>
          </cell>
          <cell r="S282" t="str">
            <v xml:space="preserve">-   </v>
          </cell>
          <cell r="V282" t="str">
            <v>-</v>
          </cell>
        </row>
        <row r="284">
          <cell r="A284" t="str">
            <v xml:space="preserve">1. </v>
          </cell>
          <cell r="C284" t="str">
            <v xml:space="preserve">Bahan Bakar  =  (0.125-0.175 Ltr/HP/Jam)   x Pw x Ms </v>
          </cell>
          <cell r="G284" t="str">
            <v>H</v>
          </cell>
          <cell r="H284">
            <v>32812.5</v>
          </cell>
          <cell r="I284" t="str">
            <v>Rupiah</v>
          </cell>
        </row>
        <row r="286">
          <cell r="A286" t="str">
            <v xml:space="preserve">2. </v>
          </cell>
          <cell r="C286" t="str">
            <v>Pelumas         =  (0.01-0.02 Ltr/HP/Jam) x Pw x Mp</v>
          </cell>
          <cell r="G286" t="str">
            <v>I</v>
          </cell>
          <cell r="H286">
            <v>14093</v>
          </cell>
          <cell r="I286" t="str">
            <v>Rupiah</v>
          </cell>
        </row>
        <row r="288">
          <cell r="A288" t="str">
            <v xml:space="preserve">3. </v>
          </cell>
          <cell r="C288" t="str">
            <v>Perawatan dan</v>
          </cell>
          <cell r="D288" t="str">
            <v>(12,5 % - 17,5 %)  x  B</v>
          </cell>
          <cell r="G288" t="str">
            <v>K</v>
          </cell>
          <cell r="H288">
            <v>20000</v>
          </cell>
          <cell r="I288" t="str">
            <v>Rupiah</v>
          </cell>
        </row>
        <row r="289">
          <cell r="C289" t="str">
            <v xml:space="preserve">        perbaikan    =</v>
          </cell>
          <cell r="D289" t="str">
            <v>W</v>
          </cell>
        </row>
        <row r="290">
          <cell r="L290" t="str">
            <v>C.</v>
          </cell>
          <cell r="N290" t="str">
            <v>ALAT</v>
          </cell>
        </row>
        <row r="291">
          <cell r="A291" t="str">
            <v xml:space="preserve">4. </v>
          </cell>
          <cell r="C291" t="str">
            <v>Operator</v>
          </cell>
          <cell r="D291" t="str">
            <v>=   ( 1  Orang / Jam )  x  U1</v>
          </cell>
          <cell r="G291" t="str">
            <v>L</v>
          </cell>
          <cell r="H291">
            <v>8750</v>
          </cell>
          <cell r="I291" t="str">
            <v>Rupiah</v>
          </cell>
        </row>
        <row r="292">
          <cell r="A292" t="str">
            <v xml:space="preserve">5. </v>
          </cell>
          <cell r="C292" t="str">
            <v>Pembantu Operator</v>
          </cell>
          <cell r="D292" t="str">
            <v>=   ( 1  Orang / Jam )  x  U2</v>
          </cell>
          <cell r="G292" t="str">
            <v>M</v>
          </cell>
          <cell r="H292">
            <v>5750</v>
          </cell>
          <cell r="I292" t="str">
            <v>Rupiah</v>
          </cell>
          <cell r="L292" t="str">
            <v>1.</v>
          </cell>
          <cell r="N292" t="str">
            <v>STEEL WHEEL ROLLER 6-9 T.</v>
          </cell>
          <cell r="Q292" t="str">
            <v>jam</v>
          </cell>
          <cell r="R292">
            <v>1</v>
          </cell>
          <cell r="S292">
            <v>509165</v>
          </cell>
          <cell r="V292">
            <v>509165</v>
          </cell>
        </row>
        <row r="293">
          <cell r="L293" t="str">
            <v>2.</v>
          </cell>
          <cell r="N293" t="str">
            <v>-</v>
          </cell>
          <cell r="Q293" t="str">
            <v>jam</v>
          </cell>
          <cell r="R293" t="str">
            <v xml:space="preserve">-  </v>
          </cell>
          <cell r="S293" t="str">
            <v xml:space="preserve">-   </v>
          </cell>
          <cell r="V293" t="str">
            <v>-</v>
          </cell>
        </row>
        <row r="294">
          <cell r="C294" t="str">
            <v>Biaya Operasi per Jam        =</v>
          </cell>
          <cell r="E294" t="str">
            <v>(H+I+K+L+M)</v>
          </cell>
          <cell r="G294" t="str">
            <v>P</v>
          </cell>
          <cell r="H294">
            <v>81405.5</v>
          </cell>
          <cell r="I294" t="str">
            <v>Rupiah</v>
          </cell>
        </row>
        <row r="296">
          <cell r="A296" t="str">
            <v>D.</v>
          </cell>
          <cell r="C296" t="str">
            <v>TOTAL BIAYA SEWA ALAT / JAM   =   ( G + P )</v>
          </cell>
          <cell r="G296" t="str">
            <v>S</v>
          </cell>
          <cell r="H296">
            <v>130939.7074124715</v>
          </cell>
          <cell r="I296" t="str">
            <v>Rupiah</v>
          </cell>
        </row>
        <row r="300">
          <cell r="A300" t="str">
            <v>E.</v>
          </cell>
          <cell r="C300" t="str">
            <v>LAIN - LAIN</v>
          </cell>
        </row>
        <row r="301">
          <cell r="L301" t="str">
            <v>D.</v>
          </cell>
          <cell r="N301" t="str">
            <v>JUMLAH HARGA TENAGA, BAHAN DAN ALAT  ( A + B + C )</v>
          </cell>
          <cell r="V301">
            <v>509165</v>
          </cell>
        </row>
        <row r="302">
          <cell r="A302" t="str">
            <v xml:space="preserve">1. </v>
          </cell>
          <cell r="C302" t="str">
            <v>Tingkat Suku Bunga</v>
          </cell>
          <cell r="G302" t="str">
            <v>i</v>
          </cell>
          <cell r="H302">
            <v>21</v>
          </cell>
          <cell r="I302" t="str">
            <v>% / Tahun</v>
          </cell>
          <cell r="L302" t="str">
            <v>E.</v>
          </cell>
          <cell r="N302" t="str">
            <v>OVERHEAD &amp; PROFIT</v>
          </cell>
          <cell r="Q302">
            <v>10</v>
          </cell>
          <cell r="R302" t="str">
            <v>%  x  D</v>
          </cell>
          <cell r="V302">
            <v>50916.5</v>
          </cell>
        </row>
        <row r="303">
          <cell r="A303" t="str">
            <v xml:space="preserve">2. </v>
          </cell>
          <cell r="C303" t="str">
            <v>Upah Operator / Sopir</v>
          </cell>
          <cell r="G303" t="str">
            <v>U1</v>
          </cell>
          <cell r="H303">
            <v>8750</v>
          </cell>
          <cell r="I303" t="str">
            <v>Rp./Jam</v>
          </cell>
          <cell r="L303" t="str">
            <v>F.</v>
          </cell>
          <cell r="N303" t="str">
            <v>HARGA SATUAN PEKERJAAN  ( D + E )</v>
          </cell>
          <cell r="V303">
            <v>560081.5</v>
          </cell>
        </row>
        <row r="304">
          <cell r="A304" t="str">
            <v xml:space="preserve">3. </v>
          </cell>
          <cell r="C304" t="str">
            <v>Upah Pembantu Operator / Pmb.Sopir</v>
          </cell>
          <cell r="G304" t="str">
            <v>U2</v>
          </cell>
          <cell r="H304">
            <v>5750</v>
          </cell>
          <cell r="I304" t="str">
            <v>Rp./Jam</v>
          </cell>
          <cell r="L304" t="str">
            <v>Note: 1</v>
          </cell>
          <cell r="N304" t="str">
            <v>SATUAN dapat berdasarkan atas jam operasi untuk Tenaga Kerja dan Peralatan, volume dan/atau ukuran</v>
          </cell>
        </row>
        <row r="305">
          <cell r="A305" t="str">
            <v xml:space="preserve">4. </v>
          </cell>
          <cell r="C305" t="str">
            <v>Bahan Bakar Bensin</v>
          </cell>
          <cell r="G305" t="str">
            <v>Mb</v>
          </cell>
          <cell r="H305">
            <v>5450</v>
          </cell>
          <cell r="I305" t="str">
            <v>Liter</v>
          </cell>
          <cell r="N305" t="str">
            <v>berat untuk bahan-bahan.</v>
          </cell>
        </row>
        <row r="306">
          <cell r="A306" t="str">
            <v xml:space="preserve">5. </v>
          </cell>
          <cell r="C306" t="str">
            <v>Bahan Bakar Solar</v>
          </cell>
          <cell r="G306" t="str">
            <v>Ms</v>
          </cell>
          <cell r="H306">
            <v>5250</v>
          </cell>
          <cell r="I306" t="str">
            <v>Liter</v>
          </cell>
          <cell r="L306">
            <v>2</v>
          </cell>
          <cell r="N306" t="str">
            <v>Kuantitas satuan adalah kuantitas setiap komponen untuk menyelesaikan satu satuan pekerjaan dari nomor</v>
          </cell>
        </row>
        <row r="307">
          <cell r="A307" t="str">
            <v xml:space="preserve">6. </v>
          </cell>
          <cell r="C307" t="str">
            <v>Minyak Pelumas</v>
          </cell>
          <cell r="G307" t="str">
            <v>Mp</v>
          </cell>
          <cell r="H307">
            <v>28186</v>
          </cell>
          <cell r="I307" t="str">
            <v>Liter</v>
          </cell>
          <cell r="N307" t="str">
            <v>mata pembayaran.</v>
          </cell>
        </row>
        <row r="308">
          <cell r="L308">
            <v>3</v>
          </cell>
          <cell r="N308" t="str">
            <v>Biaya satuan untuk peralatan sudah termasuk bahan bakar, bahan habis dipakai dan operator.</v>
          </cell>
        </row>
        <row r="309">
          <cell r="L309">
            <v>4</v>
          </cell>
          <cell r="N309" t="str">
            <v>Biaya satuan sudah termasuk pengeluaran untuk seluruh pajak yang berkaitan (tetapi tidak termasuk PPN</v>
          </cell>
        </row>
        <row r="310">
          <cell r="N310" t="str">
            <v>yang dibayar dari kontrak) dan biaya-biaya lainnya.</v>
          </cell>
        </row>
        <row r="311">
          <cell r="A311" t="str">
            <v>ITEM PEMBAYARAN No.</v>
          </cell>
          <cell r="D311" t="str">
            <v>:  9.15</v>
          </cell>
          <cell r="U311" t="str">
            <v>Analisa EI-915</v>
          </cell>
        </row>
        <row r="312">
          <cell r="A312" t="str">
            <v>JENIS PEKERJAAN</v>
          </cell>
          <cell r="D312" t="str">
            <v>:  PEKERJAAN HARIAN</v>
          </cell>
        </row>
        <row r="313">
          <cell r="A313" t="str">
            <v>SATUAN PEMBAYARAN</v>
          </cell>
          <cell r="D313" t="str">
            <v>:  JAM</v>
          </cell>
          <cell r="J313" t="str">
            <v xml:space="preserve">         URAIAN ANALISA HARGA SATUAN</v>
          </cell>
          <cell r="L313" t="str">
            <v>FORMULIR STANDAR UNTUK</v>
          </cell>
        </row>
        <row r="314">
          <cell r="L314" t="str">
            <v>PEREKAMAN ANALISA MASING-MASING HARGA SATUAN</v>
          </cell>
        </row>
        <row r="315">
          <cell r="L315" t="str">
            <v/>
          </cell>
        </row>
        <row r="316">
          <cell r="A316" t="str">
            <v>No.</v>
          </cell>
          <cell r="C316" t="str">
            <v>U R A I A N</v>
          </cell>
          <cell r="G316" t="str">
            <v>KODE</v>
          </cell>
          <cell r="H316" t="str">
            <v>KOEF.</v>
          </cell>
          <cell r="I316" t="str">
            <v>SATUAN</v>
          </cell>
          <cell r="J316" t="str">
            <v>KETERANGAN</v>
          </cell>
        </row>
        <row r="318">
          <cell r="L318" t="str">
            <v>PROYEK</v>
          </cell>
          <cell r="O318" t="str">
            <v>:</v>
          </cell>
          <cell r="P318" t="str">
            <v>Pembangunan Sarana dan Prasara PON XVII Tahun 2008</v>
          </cell>
        </row>
        <row r="319">
          <cell r="A319" t="str">
            <v>A.</v>
          </cell>
          <cell r="C319" t="str">
            <v>URAIAN PERALATAN</v>
          </cell>
          <cell r="L319" t="str">
            <v>No. PAKET KONTRAK</v>
          </cell>
          <cell r="O319" t="str">
            <v>:</v>
          </cell>
          <cell r="P319" t="str">
            <v>?</v>
          </cell>
        </row>
        <row r="320">
          <cell r="L320" t="str">
            <v>NAMA PAKET</v>
          </cell>
          <cell r="O320" t="str">
            <v>:</v>
          </cell>
          <cell r="P320" t="str">
            <v>Pekerjaan Penyiapan Lahan, Pembangunan Jalan &amp; Drainase</v>
          </cell>
        </row>
        <row r="321">
          <cell r="A321" t="str">
            <v xml:space="preserve">1. </v>
          </cell>
          <cell r="C321" t="str">
            <v>Jenis Peralatan</v>
          </cell>
          <cell r="G321" t="str">
            <v>VIBRATORY COMPACTOR</v>
          </cell>
          <cell r="J321" t="str">
            <v>(E25)</v>
          </cell>
          <cell r="L321" t="str">
            <v>PROP / KAB / KODYA</v>
          </cell>
          <cell r="O321" t="str">
            <v>:</v>
          </cell>
          <cell r="P321" t="str">
            <v xml:space="preserve">Propinsi Kalimantan Timur, Kabupaten Kutai Kartanegara </v>
          </cell>
        </row>
        <row r="322">
          <cell r="A322" t="str">
            <v xml:space="preserve">2. </v>
          </cell>
          <cell r="C322" t="str">
            <v>Tenaga</v>
          </cell>
          <cell r="G322" t="str">
            <v>Pw</v>
          </cell>
          <cell r="H322">
            <v>5</v>
          </cell>
          <cell r="I322" t="str">
            <v>HP</v>
          </cell>
          <cell r="L322" t="str">
            <v>ITEM PEMBAYARAN NO.</v>
          </cell>
          <cell r="O322" t="str">
            <v>:  9.15</v>
          </cell>
          <cell r="S322" t="str">
            <v>PERKIRAAN VOL. PEK.</v>
          </cell>
          <cell r="U322" t="str">
            <v>:</v>
          </cell>
          <cell r="V322">
            <v>360</v>
          </cell>
        </row>
        <row r="323">
          <cell r="A323" t="str">
            <v xml:space="preserve">3. </v>
          </cell>
          <cell r="C323" t="str">
            <v>Kapasitas</v>
          </cell>
          <cell r="G323" t="str">
            <v>Cp</v>
          </cell>
          <cell r="H323">
            <v>0.17</v>
          </cell>
          <cell r="I323" t="str">
            <v>Ton</v>
          </cell>
          <cell r="L323" t="str">
            <v>JENIS PEKERJAAN</v>
          </cell>
          <cell r="O323" t="str">
            <v>:  PEKERJAAN HARIAN</v>
          </cell>
          <cell r="S323" t="str">
            <v>TOTAL HARGA (Rp.)</v>
          </cell>
          <cell r="U323" t="str">
            <v>:</v>
          </cell>
          <cell r="V323">
            <v>201629340</v>
          </cell>
        </row>
        <row r="324">
          <cell r="A324" t="str">
            <v xml:space="preserve">4. </v>
          </cell>
          <cell r="C324" t="str">
            <v>Umur Ekonomis</v>
          </cell>
          <cell r="G324" t="str">
            <v>A</v>
          </cell>
          <cell r="H324">
            <v>4</v>
          </cell>
          <cell r="I324" t="str">
            <v>Tahun</v>
          </cell>
          <cell r="J324" t="str">
            <v xml:space="preserve"> Alat Baru</v>
          </cell>
          <cell r="P324" t="str">
            <v>VIBRATORY COMPACTOR</v>
          </cell>
          <cell r="S324" t="str">
            <v>% THD. BIAYA PROYEK</v>
          </cell>
          <cell r="U324" t="str">
            <v>:</v>
          </cell>
          <cell r="V324">
            <v>9.9504450584216336E-2</v>
          </cell>
        </row>
        <row r="325">
          <cell r="A325" t="str">
            <v xml:space="preserve">5. </v>
          </cell>
          <cell r="C325" t="str">
            <v>Jam Operasi Dalam 1 Tahun</v>
          </cell>
          <cell r="G325" t="str">
            <v>W</v>
          </cell>
          <cell r="H325">
            <v>1000</v>
          </cell>
          <cell r="I325" t="str">
            <v>Jam</v>
          </cell>
          <cell r="J325" t="str">
            <v xml:space="preserve"> Alat Baru</v>
          </cell>
          <cell r="L325" t="str">
            <v>SATUAN PEMBAYARAN</v>
          </cell>
          <cell r="O325" t="str">
            <v>:  JAM</v>
          </cell>
          <cell r="Q325" t="str">
            <v>(E25)</v>
          </cell>
        </row>
        <row r="326">
          <cell r="A326" t="str">
            <v xml:space="preserve">6. </v>
          </cell>
          <cell r="C326" t="str">
            <v>Harga Alat</v>
          </cell>
          <cell r="G326" t="str">
            <v>B</v>
          </cell>
          <cell r="H326">
            <v>6500000</v>
          </cell>
          <cell r="I326" t="str">
            <v>Rupiah</v>
          </cell>
          <cell r="J326" t="str">
            <v xml:space="preserve"> Alat Baru</v>
          </cell>
        </row>
        <row r="328">
          <cell r="R328" t="str">
            <v>PERKIRAAN</v>
          </cell>
          <cell r="S328" t="str">
            <v>HARGA</v>
          </cell>
          <cell r="T328" t="str">
            <v>JUMLAH</v>
          </cell>
        </row>
        <row r="329">
          <cell r="A329" t="str">
            <v>B.</v>
          </cell>
          <cell r="C329" t="str">
            <v>BIAYA PASTI PER JAM KERJA</v>
          </cell>
          <cell r="L329" t="str">
            <v>NO.</v>
          </cell>
          <cell r="N329" t="str">
            <v>KOMPONEN</v>
          </cell>
          <cell r="Q329" t="str">
            <v>SATUAN</v>
          </cell>
          <cell r="R329" t="str">
            <v>KUANTITAS</v>
          </cell>
          <cell r="S329" t="str">
            <v>SATUAN</v>
          </cell>
          <cell r="T329" t="str">
            <v>HARGA</v>
          </cell>
        </row>
        <row r="330">
          <cell r="S330" t="str">
            <v>(Rp.)</v>
          </cell>
          <cell r="T330" t="str">
            <v>(Rp.)</v>
          </cell>
        </row>
        <row r="331">
          <cell r="A331" t="str">
            <v xml:space="preserve">1. </v>
          </cell>
          <cell r="C331" t="str">
            <v>Nilai Sisa Alat</v>
          </cell>
          <cell r="D331" t="str">
            <v>=  10 % x Harga Alat Baru</v>
          </cell>
          <cell r="G331" t="str">
            <v>C</v>
          </cell>
          <cell r="H331">
            <v>650000</v>
          </cell>
          <cell r="I331" t="str">
            <v>Rupiah</v>
          </cell>
        </row>
        <row r="333">
          <cell r="A333" t="str">
            <v xml:space="preserve">2. </v>
          </cell>
          <cell r="C333" t="str">
            <v>Faktor Angsuran Modal    =</v>
          </cell>
          <cell r="E333" t="str">
            <v>i x (1 + i)^A</v>
          </cell>
          <cell r="G333" t="str">
            <v>D</v>
          </cell>
          <cell r="H333">
            <v>0.39363243690710825</v>
          </cell>
          <cell r="I333" t="str">
            <v>-</v>
          </cell>
          <cell r="L333" t="str">
            <v>A.</v>
          </cell>
          <cell r="N333" t="str">
            <v>PEKERJA</v>
          </cell>
        </row>
        <row r="334">
          <cell r="E334" t="str">
            <v>(1 + i)^A - 1</v>
          </cell>
        </row>
        <row r="335">
          <cell r="A335" t="str">
            <v xml:space="preserve">3. </v>
          </cell>
          <cell r="C335" t="str">
            <v>Biaya Pasti per Jam  :</v>
          </cell>
          <cell r="L335" t="str">
            <v>1.</v>
          </cell>
          <cell r="N335" t="str">
            <v>-</v>
          </cell>
          <cell r="R335" t="str">
            <v xml:space="preserve">-  </v>
          </cell>
          <cell r="S335" t="str">
            <v xml:space="preserve">-   </v>
          </cell>
          <cell r="V335" t="str">
            <v>-</v>
          </cell>
        </row>
        <row r="336">
          <cell r="C336" t="str">
            <v>a.  Biaya Pengembalian Modal  =</v>
          </cell>
          <cell r="E336" t="str">
            <v>( B - C ) x D</v>
          </cell>
          <cell r="G336" t="str">
            <v>E</v>
          </cell>
          <cell r="H336">
            <v>2302.7497559065832</v>
          </cell>
          <cell r="I336" t="str">
            <v>Rupiah</v>
          </cell>
          <cell r="L336" t="str">
            <v>2.</v>
          </cell>
          <cell r="N336" t="str">
            <v>-</v>
          </cell>
          <cell r="R336" t="str">
            <v xml:space="preserve">-  </v>
          </cell>
          <cell r="S336" t="str">
            <v xml:space="preserve">-   </v>
          </cell>
          <cell r="V336" t="str">
            <v>-</v>
          </cell>
        </row>
        <row r="337">
          <cell r="E337" t="str">
            <v>W</v>
          </cell>
        </row>
        <row r="339">
          <cell r="C339" t="str">
            <v>b.  Asuransi, dll =</v>
          </cell>
          <cell r="D339">
            <v>2E-3</v>
          </cell>
          <cell r="E339" t="str">
            <v xml:space="preserve">  x   B</v>
          </cell>
          <cell r="G339" t="str">
            <v>F</v>
          </cell>
          <cell r="H339">
            <v>13</v>
          </cell>
          <cell r="I339" t="str">
            <v>Rupiah</v>
          </cell>
        </row>
        <row r="340">
          <cell r="E340" t="str">
            <v>W</v>
          </cell>
        </row>
        <row r="341">
          <cell r="L341" t="str">
            <v>B.</v>
          </cell>
          <cell r="N341" t="str">
            <v>BAHAN</v>
          </cell>
        </row>
        <row r="342">
          <cell r="C342" t="str">
            <v>Biaya Pasti per Jam             =</v>
          </cell>
          <cell r="E342" t="str">
            <v>( E + F )</v>
          </cell>
          <cell r="G342" t="str">
            <v>G</v>
          </cell>
          <cell r="H342">
            <v>2315.7497559065832</v>
          </cell>
          <cell r="I342" t="str">
            <v>Rupiah</v>
          </cell>
        </row>
        <row r="343">
          <cell r="L343" t="str">
            <v>1.</v>
          </cell>
          <cell r="N343" t="str">
            <v>-</v>
          </cell>
          <cell r="R343" t="str">
            <v xml:space="preserve">-  </v>
          </cell>
          <cell r="S343" t="str">
            <v xml:space="preserve">-   </v>
          </cell>
          <cell r="V343" t="str">
            <v>-</v>
          </cell>
        </row>
        <row r="344">
          <cell r="A344" t="str">
            <v>C.</v>
          </cell>
          <cell r="C344" t="str">
            <v>BIAYA OPERASI PER JAM KERJA</v>
          </cell>
          <cell r="L344" t="str">
            <v>2.</v>
          </cell>
          <cell r="N344" t="str">
            <v>-</v>
          </cell>
          <cell r="R344" t="str">
            <v xml:space="preserve">-  </v>
          </cell>
          <cell r="S344" t="str">
            <v xml:space="preserve">-   </v>
          </cell>
          <cell r="V344" t="str">
            <v>-</v>
          </cell>
        </row>
        <row r="346">
          <cell r="A346" t="str">
            <v xml:space="preserve">1. </v>
          </cell>
          <cell r="C346" t="str">
            <v xml:space="preserve">Bahan Bakar  =  (0.125-0.175 Ltr/HP/Jam)   x Pw x Ms </v>
          </cell>
          <cell r="G346" t="str">
            <v>H</v>
          </cell>
          <cell r="H346">
            <v>3281.25</v>
          </cell>
          <cell r="I346" t="str">
            <v>Rupiah</v>
          </cell>
        </row>
        <row r="348">
          <cell r="A348" t="str">
            <v xml:space="preserve">2. </v>
          </cell>
          <cell r="C348" t="str">
            <v>Pelumas         =  (0.01-0.02 Ltr/HP/Jam) x Pw x Mp</v>
          </cell>
          <cell r="G348" t="str">
            <v>I</v>
          </cell>
          <cell r="H348">
            <v>1409.3000000000002</v>
          </cell>
          <cell r="I348" t="str">
            <v>Rupiah</v>
          </cell>
        </row>
        <row r="350">
          <cell r="A350" t="str">
            <v xml:space="preserve">3. </v>
          </cell>
          <cell r="C350" t="str">
            <v>Perawatan dan</v>
          </cell>
          <cell r="D350" t="str">
            <v>(12,5 % - 17,5 %)  x  B</v>
          </cell>
          <cell r="G350" t="str">
            <v>K</v>
          </cell>
          <cell r="H350">
            <v>812.5</v>
          </cell>
          <cell r="I350" t="str">
            <v>Rupiah</v>
          </cell>
        </row>
        <row r="351">
          <cell r="C351" t="str">
            <v xml:space="preserve">        perbaikan    =</v>
          </cell>
          <cell r="D351" t="str">
            <v>W</v>
          </cell>
        </row>
        <row r="352">
          <cell r="L352" t="str">
            <v>C.</v>
          </cell>
          <cell r="N352" t="str">
            <v>ALAT</v>
          </cell>
        </row>
        <row r="353">
          <cell r="A353" t="str">
            <v xml:space="preserve">4. </v>
          </cell>
          <cell r="C353" t="str">
            <v>Operator</v>
          </cell>
          <cell r="D353" t="str">
            <v>=   ( 1  Orang / Jam )  x  U1</v>
          </cell>
          <cell r="G353" t="str">
            <v>L</v>
          </cell>
          <cell r="H353">
            <v>8750</v>
          </cell>
          <cell r="I353" t="str">
            <v>Rupiah</v>
          </cell>
        </row>
        <row r="354">
          <cell r="A354" t="str">
            <v xml:space="preserve">5. </v>
          </cell>
          <cell r="C354" t="str">
            <v>Pembantu Operator</v>
          </cell>
          <cell r="D354" t="str">
            <v>=   ( 1  Orang / Jam )  x  U2</v>
          </cell>
          <cell r="G354" t="str">
            <v>M</v>
          </cell>
          <cell r="H354">
            <v>5750</v>
          </cell>
          <cell r="I354" t="str">
            <v>Rupiah</v>
          </cell>
          <cell r="L354" t="str">
            <v>1.</v>
          </cell>
          <cell r="N354" t="str">
            <v>VIBRATORY COMPACTOR</v>
          </cell>
          <cell r="Q354" t="str">
            <v>jam</v>
          </cell>
          <cell r="R354">
            <v>1</v>
          </cell>
          <cell r="S354">
            <v>509165</v>
          </cell>
          <cell r="V354">
            <v>509165</v>
          </cell>
        </row>
        <row r="355">
          <cell r="L355" t="str">
            <v>2.</v>
          </cell>
          <cell r="N355" t="str">
            <v>-</v>
          </cell>
          <cell r="Q355" t="str">
            <v>jam</v>
          </cell>
          <cell r="R355" t="str">
            <v xml:space="preserve">-  </v>
          </cell>
          <cell r="S355" t="str">
            <v xml:space="preserve">-   </v>
          </cell>
          <cell r="V355" t="str">
            <v>-</v>
          </cell>
        </row>
        <row r="356">
          <cell r="C356" t="str">
            <v>Biaya Operasi per Jam        =</v>
          </cell>
          <cell r="E356" t="str">
            <v>(H+I+K+L+M)</v>
          </cell>
          <cell r="G356" t="str">
            <v>P</v>
          </cell>
          <cell r="H356">
            <v>20003.05</v>
          </cell>
          <cell r="I356" t="str">
            <v>Rupiah</v>
          </cell>
        </row>
        <row r="358">
          <cell r="A358" t="str">
            <v>D.</v>
          </cell>
          <cell r="C358" t="str">
            <v>TOTAL BIAYA SEWA ALAT / JAM   =   ( G + P )</v>
          </cell>
          <cell r="G358" t="str">
            <v>S</v>
          </cell>
          <cell r="H358">
            <v>22318.799755906584</v>
          </cell>
          <cell r="I358" t="str">
            <v>Rupiah</v>
          </cell>
        </row>
        <row r="362">
          <cell r="A362" t="str">
            <v>E.</v>
          </cell>
          <cell r="C362" t="str">
            <v>LAIN - LAIN</v>
          </cell>
        </row>
        <row r="363">
          <cell r="L363" t="str">
            <v>D.</v>
          </cell>
          <cell r="N363" t="str">
            <v>JUMLAH HARGA TENAGA, BAHAN DAN ALAT  ( A + B + C )</v>
          </cell>
          <cell r="V363">
            <v>509165</v>
          </cell>
        </row>
        <row r="364">
          <cell r="A364" t="str">
            <v xml:space="preserve">1. </v>
          </cell>
          <cell r="C364" t="str">
            <v>Tingkat Suku Bunga</v>
          </cell>
          <cell r="G364" t="str">
            <v>i</v>
          </cell>
          <cell r="H364">
            <v>21</v>
          </cell>
          <cell r="I364" t="str">
            <v>% / Tahun</v>
          </cell>
          <cell r="L364" t="str">
            <v>E.</v>
          </cell>
          <cell r="N364" t="str">
            <v>OVERHEAD &amp; PROFIT</v>
          </cell>
          <cell r="Q364">
            <v>10</v>
          </cell>
          <cell r="R364" t="str">
            <v>%  x  D</v>
          </cell>
          <cell r="V364">
            <v>50916.5</v>
          </cell>
        </row>
        <row r="365">
          <cell r="A365" t="str">
            <v xml:space="preserve">2. </v>
          </cell>
          <cell r="C365" t="str">
            <v>Upah Operator / Sopir</v>
          </cell>
          <cell r="G365" t="str">
            <v>U1</v>
          </cell>
          <cell r="H365">
            <v>8750</v>
          </cell>
          <cell r="I365" t="str">
            <v>Rp./Jam</v>
          </cell>
          <cell r="L365" t="str">
            <v>F.</v>
          </cell>
          <cell r="N365" t="str">
            <v>HARGA SATUAN PEKERJAAN  ( D + E )</v>
          </cell>
          <cell r="V365">
            <v>560081.5</v>
          </cell>
        </row>
        <row r="366">
          <cell r="A366" t="str">
            <v xml:space="preserve">3. </v>
          </cell>
          <cell r="C366" t="str">
            <v>Upah Pembantu Operator / Pmb.Sopir</v>
          </cell>
          <cell r="G366" t="str">
            <v>U2</v>
          </cell>
          <cell r="H366">
            <v>5750</v>
          </cell>
          <cell r="I366" t="str">
            <v>Rp./Jam</v>
          </cell>
          <cell r="L366" t="str">
            <v>Note: 1</v>
          </cell>
          <cell r="N366" t="str">
            <v>SATUAN dapat berdasarkan atas jam operasi untuk Tenaga Kerja dan Peralatan, volume dan/atau ukuran</v>
          </cell>
        </row>
        <row r="367">
          <cell r="A367" t="str">
            <v xml:space="preserve">4. </v>
          </cell>
          <cell r="C367" t="str">
            <v>Bahan Bakar Bensin</v>
          </cell>
          <cell r="G367" t="str">
            <v>Mb</v>
          </cell>
          <cell r="H367">
            <v>5450</v>
          </cell>
          <cell r="I367" t="str">
            <v>Liter</v>
          </cell>
          <cell r="N367" t="str">
            <v>berat untuk bahan-bahan.</v>
          </cell>
        </row>
        <row r="368">
          <cell r="A368" t="str">
            <v xml:space="preserve">5. </v>
          </cell>
          <cell r="C368" t="str">
            <v>Bahan Bakar Solar</v>
          </cell>
          <cell r="G368" t="str">
            <v>Ms</v>
          </cell>
          <cell r="H368">
            <v>5250</v>
          </cell>
          <cell r="I368" t="str">
            <v>Liter</v>
          </cell>
          <cell r="L368">
            <v>2</v>
          </cell>
          <cell r="N368" t="str">
            <v>Kuantitas satuan adalah kuantitas setiap komponen untuk menyelesaikan satu satuan pekerjaan dari nomor</v>
          </cell>
        </row>
        <row r="369">
          <cell r="A369" t="str">
            <v xml:space="preserve">6. </v>
          </cell>
          <cell r="C369" t="str">
            <v>Minyak Pelumas</v>
          </cell>
          <cell r="G369" t="str">
            <v>Mp</v>
          </cell>
          <cell r="H369">
            <v>28186</v>
          </cell>
          <cell r="I369" t="str">
            <v>Liter</v>
          </cell>
          <cell r="N369" t="str">
            <v>mata pembayaran.</v>
          </cell>
        </row>
        <row r="370">
          <cell r="L370">
            <v>3</v>
          </cell>
          <cell r="N370" t="str">
            <v>Biaya satuan untuk peralatan sudah termasuk bahan bakar, bahan habis dipakai dan operator.</v>
          </cell>
        </row>
        <row r="371">
          <cell r="L371">
            <v>4</v>
          </cell>
          <cell r="N371" t="str">
            <v>Biaya satuan sudah termasuk pengeluaran untuk seluruh pajak yang berkaitan (tetapi tidak termasuk PPN</v>
          </cell>
        </row>
        <row r="372">
          <cell r="N372" t="str">
            <v>yang dibayar dari kontrak) dan biaya-biaya lainnya.</v>
          </cell>
        </row>
        <row r="373">
          <cell r="A373" t="str">
            <v>ITEM PEMBAYARAN No.</v>
          </cell>
          <cell r="D373" t="str">
            <v>:  9.17</v>
          </cell>
          <cell r="U373" t="str">
            <v>Analisa EI-917</v>
          </cell>
        </row>
        <row r="374">
          <cell r="A374" t="str">
            <v>JENIS PEKERJAAN</v>
          </cell>
          <cell r="D374" t="str">
            <v>:  PEKERJAAN HARIAN</v>
          </cell>
        </row>
        <row r="375">
          <cell r="A375" t="str">
            <v>SATUAN PEMBAYARAN</v>
          </cell>
          <cell r="D375" t="str">
            <v>:  JAM</v>
          </cell>
          <cell r="J375" t="str">
            <v xml:space="preserve">         URAIAN ANALISA HARGA SATUAN</v>
          </cell>
          <cell r="L375" t="str">
            <v>FORMULIR STANDAR UNTUK</v>
          </cell>
        </row>
        <row r="376">
          <cell r="L376" t="str">
            <v>PEREKAMAN ANALISA MASING-MASING HARGA SATUAN</v>
          </cell>
        </row>
        <row r="377">
          <cell r="L377" t="str">
            <v/>
          </cell>
        </row>
        <row r="378">
          <cell r="A378" t="str">
            <v>No.</v>
          </cell>
          <cell r="C378" t="str">
            <v>U R A I A N</v>
          </cell>
          <cell r="G378" t="str">
            <v>KODE</v>
          </cell>
          <cell r="H378" t="str">
            <v>KOEF.</v>
          </cell>
          <cell r="I378" t="str">
            <v>SATUAN</v>
          </cell>
          <cell r="J378" t="str">
            <v>KETERANGAN</v>
          </cell>
        </row>
        <row r="380">
          <cell r="L380" t="str">
            <v>PROYEK</v>
          </cell>
          <cell r="O380" t="str">
            <v>:</v>
          </cell>
          <cell r="P380" t="str">
            <v>Pembangunan Sarana dan Prasara PON XVII Tahun 2008</v>
          </cell>
        </row>
        <row r="381">
          <cell r="A381" t="str">
            <v>A.</v>
          </cell>
          <cell r="C381" t="str">
            <v>URAIAN PERALATAN</v>
          </cell>
          <cell r="L381" t="str">
            <v>No. PAKET KONTRAK</v>
          </cell>
          <cell r="O381" t="str">
            <v>:</v>
          </cell>
          <cell r="P381" t="str">
            <v>?</v>
          </cell>
        </row>
        <row r="382">
          <cell r="L382" t="str">
            <v>NAMA PAKET</v>
          </cell>
          <cell r="O382" t="str">
            <v>:</v>
          </cell>
          <cell r="P382" t="str">
            <v>Pekerjaan Penyiapan Lahan, Pembangunan Jalan &amp; Drainase</v>
          </cell>
        </row>
        <row r="383">
          <cell r="A383" t="str">
            <v xml:space="preserve">1. </v>
          </cell>
          <cell r="C383" t="str">
            <v>Jenis Peralatan</v>
          </cell>
          <cell r="G383" t="str">
            <v>COMPRESSOR 4000-6500 L\M</v>
          </cell>
          <cell r="J383" t="str">
            <v>(E05)</v>
          </cell>
          <cell r="L383" t="str">
            <v>PROP / KAB / KODYA</v>
          </cell>
          <cell r="O383" t="str">
            <v>:</v>
          </cell>
          <cell r="P383" t="str">
            <v xml:space="preserve">Propinsi Kalimantan Timur, Kabupaten Kutai Kartanegara </v>
          </cell>
        </row>
        <row r="384">
          <cell r="A384" t="str">
            <v xml:space="preserve">2. </v>
          </cell>
          <cell r="C384" t="str">
            <v>Tenaga</v>
          </cell>
          <cell r="G384" t="str">
            <v>Pw</v>
          </cell>
          <cell r="H384">
            <v>80</v>
          </cell>
          <cell r="I384" t="str">
            <v>HP</v>
          </cell>
          <cell r="L384" t="str">
            <v>ITEM PEMBAYARAN NO.</v>
          </cell>
          <cell r="O384" t="str">
            <v>:  9.17</v>
          </cell>
          <cell r="S384" t="str">
            <v>PERKIRAAN VOL. PEK.</v>
          </cell>
          <cell r="U384" t="str">
            <v>:</v>
          </cell>
          <cell r="V384">
            <v>600</v>
          </cell>
        </row>
        <row r="385">
          <cell r="A385" t="str">
            <v xml:space="preserve">3. </v>
          </cell>
          <cell r="C385" t="str">
            <v>Kapasitas</v>
          </cell>
          <cell r="G385" t="str">
            <v>Cp</v>
          </cell>
          <cell r="H385" t="str">
            <v xml:space="preserve">-  </v>
          </cell>
          <cell r="I385" t="str">
            <v>-</v>
          </cell>
          <cell r="L385" t="str">
            <v>JENIS PEKERJAAN</v>
          </cell>
          <cell r="O385" t="str">
            <v>:  PEKERJAAN HARIAN</v>
          </cell>
          <cell r="S385" t="str">
            <v>TOTAL HARGA (Rp.)</v>
          </cell>
          <cell r="U385" t="str">
            <v>:</v>
          </cell>
          <cell r="V385">
            <v>90000900</v>
          </cell>
        </row>
        <row r="386">
          <cell r="A386" t="str">
            <v xml:space="preserve">4. </v>
          </cell>
          <cell r="C386" t="str">
            <v>Umur Ekonomis</v>
          </cell>
          <cell r="G386" t="str">
            <v>A</v>
          </cell>
          <cell r="H386">
            <v>5</v>
          </cell>
          <cell r="I386" t="str">
            <v>Tahun</v>
          </cell>
          <cell r="J386" t="str">
            <v xml:space="preserve"> Alat Baru</v>
          </cell>
          <cell r="P386" t="str">
            <v>COMPRESSOR 4000-6500 L\M</v>
          </cell>
          <cell r="S386" t="str">
            <v>% THD. BIAYA PROYEK</v>
          </cell>
          <cell r="U386" t="str">
            <v>:</v>
          </cell>
          <cell r="V386">
            <v>4.441560988388394E-2</v>
          </cell>
        </row>
        <row r="387">
          <cell r="A387" t="str">
            <v xml:space="preserve">5. </v>
          </cell>
          <cell r="C387" t="str">
            <v>Jam Operasi Dalam 1 Tahun</v>
          </cell>
          <cell r="G387" t="str">
            <v>W</v>
          </cell>
          <cell r="H387">
            <v>2000</v>
          </cell>
          <cell r="I387" t="str">
            <v>Jam</v>
          </cell>
          <cell r="J387" t="str">
            <v xml:space="preserve"> Alat Baru</v>
          </cell>
          <cell r="L387" t="str">
            <v>SATUAN PEMBAYARAN</v>
          </cell>
          <cell r="O387" t="str">
            <v>:  JAM</v>
          </cell>
          <cell r="Q387" t="str">
            <v>(E05)</v>
          </cell>
        </row>
        <row r="388">
          <cell r="A388" t="str">
            <v xml:space="preserve">6. </v>
          </cell>
          <cell r="C388" t="str">
            <v>Harga Alat</v>
          </cell>
          <cell r="G388" t="str">
            <v>B</v>
          </cell>
          <cell r="H388">
            <v>100000000</v>
          </cell>
          <cell r="I388" t="str">
            <v>Rupiah</v>
          </cell>
          <cell r="J388" t="str">
            <v xml:space="preserve"> Alat Baru</v>
          </cell>
        </row>
        <row r="390">
          <cell r="R390" t="str">
            <v>PERKIRAAN</v>
          </cell>
          <cell r="S390" t="str">
            <v>HARGA</v>
          </cell>
          <cell r="T390" t="str">
            <v>JUMLAH</v>
          </cell>
        </row>
        <row r="391">
          <cell r="A391" t="str">
            <v>B.</v>
          </cell>
          <cell r="C391" t="str">
            <v>BIAYA PASTI PER JAM KERJA</v>
          </cell>
          <cell r="L391" t="str">
            <v>NO.</v>
          </cell>
          <cell r="N391" t="str">
            <v>KOMPONEN</v>
          </cell>
          <cell r="Q391" t="str">
            <v>SATUAN</v>
          </cell>
          <cell r="R391" t="str">
            <v>KUANTITAS</v>
          </cell>
          <cell r="S391" t="str">
            <v>SATUAN</v>
          </cell>
          <cell r="T391" t="str">
            <v>HARGA</v>
          </cell>
        </row>
        <row r="392">
          <cell r="S392" t="str">
            <v>(Rp.)</v>
          </cell>
          <cell r="T392" t="str">
            <v>(Rp.)</v>
          </cell>
        </row>
        <row r="393">
          <cell r="A393" t="str">
            <v xml:space="preserve">1. </v>
          </cell>
          <cell r="C393" t="str">
            <v>Nilai Sisa Alat</v>
          </cell>
          <cell r="D393" t="str">
            <v>=  10 % x Harga Alat Baru</v>
          </cell>
          <cell r="G393" t="str">
            <v>C</v>
          </cell>
          <cell r="H393">
            <v>10000000</v>
          </cell>
          <cell r="I393" t="str">
            <v>Rupiah</v>
          </cell>
        </row>
        <row r="395">
          <cell r="A395" t="str">
            <v xml:space="preserve">2. </v>
          </cell>
          <cell r="C395" t="str">
            <v>Faktor Angsuran Modal    =</v>
          </cell>
          <cell r="E395" t="str">
            <v>i x (1 + i)^A</v>
          </cell>
          <cell r="G395" t="str">
            <v>D</v>
          </cell>
          <cell r="H395">
            <v>0.34176532925327435</v>
          </cell>
          <cell r="I395" t="str">
            <v>-</v>
          </cell>
          <cell r="L395" t="str">
            <v>A.</v>
          </cell>
          <cell r="N395" t="str">
            <v>PEKERJA</v>
          </cell>
        </row>
        <row r="396">
          <cell r="E396" t="str">
            <v>(1 + i)^A - 1</v>
          </cell>
        </row>
        <row r="397">
          <cell r="A397" t="str">
            <v xml:space="preserve">3. </v>
          </cell>
          <cell r="C397" t="str">
            <v>Biaya Pasti per Jam  :</v>
          </cell>
          <cell r="L397" t="str">
            <v>1.</v>
          </cell>
          <cell r="N397" t="str">
            <v>-</v>
          </cell>
          <cell r="R397" t="str">
            <v xml:space="preserve">-  </v>
          </cell>
          <cell r="S397" t="str">
            <v xml:space="preserve">-   </v>
          </cell>
          <cell r="V397" t="str">
            <v>-</v>
          </cell>
        </row>
        <row r="398">
          <cell r="C398" t="str">
            <v>a.  Biaya Pengembalian Modal  =</v>
          </cell>
          <cell r="E398" t="str">
            <v>( B - C ) x D</v>
          </cell>
          <cell r="G398" t="str">
            <v>E</v>
          </cell>
          <cell r="H398">
            <v>15379.439816397347</v>
          </cell>
          <cell r="I398" t="str">
            <v>Rupiah</v>
          </cell>
          <cell r="L398" t="str">
            <v>2.</v>
          </cell>
          <cell r="N398" t="str">
            <v>-</v>
          </cell>
          <cell r="R398" t="str">
            <v xml:space="preserve">-  </v>
          </cell>
          <cell r="S398" t="str">
            <v xml:space="preserve">-   </v>
          </cell>
          <cell r="V398" t="str">
            <v>-</v>
          </cell>
        </row>
        <row r="399">
          <cell r="E399" t="str">
            <v>W</v>
          </cell>
        </row>
        <row r="401">
          <cell r="C401" t="str">
            <v>b.  Asuransi, dll =</v>
          </cell>
          <cell r="D401">
            <v>2E-3</v>
          </cell>
          <cell r="E401" t="str">
            <v xml:space="preserve">  x   B</v>
          </cell>
          <cell r="G401" t="str">
            <v>F</v>
          </cell>
          <cell r="H401">
            <v>100</v>
          </cell>
          <cell r="I401" t="str">
            <v>Rupiah</v>
          </cell>
        </row>
        <row r="402">
          <cell r="E402" t="str">
            <v>W</v>
          </cell>
        </row>
        <row r="403">
          <cell r="L403" t="str">
            <v>B.</v>
          </cell>
          <cell r="N403" t="str">
            <v>BAHAN</v>
          </cell>
        </row>
        <row r="404">
          <cell r="C404" t="str">
            <v>Biaya Pasti per Jam             =</v>
          </cell>
          <cell r="E404" t="str">
            <v>( E + F )</v>
          </cell>
          <cell r="G404" t="str">
            <v>G</v>
          </cell>
          <cell r="H404">
            <v>15479.439816397347</v>
          </cell>
          <cell r="I404" t="str">
            <v>Rupiah</v>
          </cell>
        </row>
        <row r="405">
          <cell r="L405" t="str">
            <v>1.</v>
          </cell>
          <cell r="N405" t="str">
            <v>-</v>
          </cell>
          <cell r="R405" t="str">
            <v xml:space="preserve">-  </v>
          </cell>
          <cell r="S405" t="str">
            <v xml:space="preserve">-   </v>
          </cell>
          <cell r="V405" t="str">
            <v>-</v>
          </cell>
        </row>
        <row r="406">
          <cell r="A406" t="str">
            <v>C.</v>
          </cell>
          <cell r="C406" t="str">
            <v>BIAYA OPERASI PER JAM KERJA</v>
          </cell>
          <cell r="L406" t="str">
            <v>2.</v>
          </cell>
          <cell r="N406" t="str">
            <v>-</v>
          </cell>
          <cell r="R406" t="str">
            <v xml:space="preserve">-  </v>
          </cell>
          <cell r="S406" t="str">
            <v xml:space="preserve">-   </v>
          </cell>
          <cell r="V406" t="str">
            <v>-</v>
          </cell>
        </row>
        <row r="408">
          <cell r="A408" t="str">
            <v xml:space="preserve">1. </v>
          </cell>
          <cell r="C408" t="str">
            <v xml:space="preserve">Bahan Bakar  =  (0.125-0.175 Ltr/HP/Jam)   x Pw x Ms </v>
          </cell>
          <cell r="G408" t="str">
            <v>H</v>
          </cell>
          <cell r="H408">
            <v>52500</v>
          </cell>
          <cell r="I408" t="str">
            <v>Rupiah</v>
          </cell>
        </row>
        <row r="410">
          <cell r="A410" t="str">
            <v xml:space="preserve">2. </v>
          </cell>
          <cell r="C410" t="str">
            <v>Pelumas         =  (0.01-0.02 Ltr/HP/Jam) x Pw x Mp</v>
          </cell>
          <cell r="G410" t="str">
            <v>I</v>
          </cell>
          <cell r="H410">
            <v>22548.800000000003</v>
          </cell>
          <cell r="I410" t="str">
            <v>Rupiah</v>
          </cell>
        </row>
        <row r="412">
          <cell r="A412" t="str">
            <v xml:space="preserve">3. </v>
          </cell>
          <cell r="C412" t="str">
            <v>Perawatan dan</v>
          </cell>
          <cell r="D412" t="str">
            <v>(12,5 % - 17,5 %)  x  B</v>
          </cell>
          <cell r="G412" t="str">
            <v>K</v>
          </cell>
          <cell r="H412">
            <v>6250</v>
          </cell>
          <cell r="I412" t="str">
            <v>Rupiah</v>
          </cell>
        </row>
        <row r="413">
          <cell r="C413" t="str">
            <v xml:space="preserve">        perbaikan    =</v>
          </cell>
          <cell r="D413" t="str">
            <v>W</v>
          </cell>
        </row>
        <row r="414">
          <cell r="L414" t="str">
            <v>C.</v>
          </cell>
          <cell r="N414" t="str">
            <v>ALAT</v>
          </cell>
        </row>
        <row r="415">
          <cell r="A415" t="str">
            <v xml:space="preserve">4. </v>
          </cell>
          <cell r="C415" t="str">
            <v>Operator</v>
          </cell>
          <cell r="D415" t="str">
            <v>=   ( 1  Orang / Jam )  x  U1</v>
          </cell>
          <cell r="G415" t="str">
            <v>L</v>
          </cell>
          <cell r="H415">
            <v>8750</v>
          </cell>
          <cell r="I415" t="str">
            <v>Rupiah</v>
          </cell>
        </row>
        <row r="416">
          <cell r="A416" t="str">
            <v xml:space="preserve">5. </v>
          </cell>
          <cell r="C416" t="str">
            <v>Pembantu Operator</v>
          </cell>
          <cell r="D416" t="str">
            <v>=   ( 1  Orang / Jam )  x  U2</v>
          </cell>
          <cell r="G416" t="str">
            <v>M</v>
          </cell>
          <cell r="H416">
            <v>5750</v>
          </cell>
          <cell r="I416" t="str">
            <v>Rupiah</v>
          </cell>
          <cell r="L416" t="str">
            <v>1.</v>
          </cell>
          <cell r="N416" t="str">
            <v>COMPRESSOR 4000-6500 L\M</v>
          </cell>
          <cell r="Q416" t="str">
            <v>jam</v>
          </cell>
          <cell r="R416">
            <v>1</v>
          </cell>
          <cell r="S416">
            <v>136365</v>
          </cell>
          <cell r="V416">
            <v>136365</v>
          </cell>
        </row>
        <row r="417">
          <cell r="L417" t="str">
            <v>2.</v>
          </cell>
          <cell r="N417" t="str">
            <v>-</v>
          </cell>
          <cell r="Q417" t="str">
            <v>jam</v>
          </cell>
          <cell r="R417" t="str">
            <v xml:space="preserve">-  </v>
          </cell>
          <cell r="S417" t="str">
            <v xml:space="preserve">-   </v>
          </cell>
          <cell r="V417" t="str">
            <v>-</v>
          </cell>
        </row>
        <row r="418">
          <cell r="C418" t="str">
            <v>Biaya Operasi per Jam        =</v>
          </cell>
          <cell r="E418" t="str">
            <v>(H+I+K+L+M)</v>
          </cell>
          <cell r="G418" t="str">
            <v>P</v>
          </cell>
          <cell r="H418">
            <v>95798.8</v>
          </cell>
          <cell r="I418" t="str">
            <v>Rupiah</v>
          </cell>
        </row>
        <row r="420">
          <cell r="A420" t="str">
            <v>D.</v>
          </cell>
          <cell r="C420" t="str">
            <v>TOTAL BIAYA SEWA ALAT / JAM   =   ( G + P )</v>
          </cell>
          <cell r="G420" t="str">
            <v>S</v>
          </cell>
          <cell r="H420">
            <v>111278.23981639736</v>
          </cell>
          <cell r="I420" t="str">
            <v>Rupiah</v>
          </cell>
        </row>
        <row r="424">
          <cell r="A424" t="str">
            <v>E.</v>
          </cell>
          <cell r="C424" t="str">
            <v>LAIN - LAIN</v>
          </cell>
        </row>
        <row r="425">
          <cell r="L425" t="str">
            <v>D.</v>
          </cell>
          <cell r="N425" t="str">
            <v>JUMLAH HARGA TENAGA, BAHAN DAN ALAT  ( A + B + C )</v>
          </cell>
          <cell r="V425">
            <v>136365</v>
          </cell>
        </row>
        <row r="426">
          <cell r="A426" t="str">
            <v xml:space="preserve">1. </v>
          </cell>
          <cell r="C426" t="str">
            <v>Tingkat Suku Bunga</v>
          </cell>
          <cell r="G426" t="str">
            <v>i</v>
          </cell>
          <cell r="H426">
            <v>21</v>
          </cell>
          <cell r="I426" t="str">
            <v>% / Tahun</v>
          </cell>
          <cell r="L426" t="str">
            <v>E.</v>
          </cell>
          <cell r="N426" t="str">
            <v>OVERHEAD &amp; PROFIT</v>
          </cell>
          <cell r="Q426">
            <v>10</v>
          </cell>
          <cell r="R426" t="str">
            <v>%  x  D</v>
          </cell>
          <cell r="V426">
            <v>13636.5</v>
          </cell>
        </row>
        <row r="427">
          <cell r="A427" t="str">
            <v xml:space="preserve">2. </v>
          </cell>
          <cell r="C427" t="str">
            <v>Upah Operator / Sopir</v>
          </cell>
          <cell r="G427" t="str">
            <v>U1</v>
          </cell>
          <cell r="H427">
            <v>8750</v>
          </cell>
          <cell r="I427" t="str">
            <v>Rp./Jam</v>
          </cell>
          <cell r="L427" t="str">
            <v>F.</v>
          </cell>
          <cell r="N427" t="str">
            <v>HARGA SATUAN PEKERJAAN  ( D + E )</v>
          </cell>
          <cell r="V427">
            <v>150001.5</v>
          </cell>
        </row>
        <row r="428">
          <cell r="A428" t="str">
            <v xml:space="preserve">3. </v>
          </cell>
          <cell r="C428" t="str">
            <v>Upah Pembantu Operator / Pmb.Sopir</v>
          </cell>
          <cell r="G428" t="str">
            <v>U2</v>
          </cell>
          <cell r="H428">
            <v>5750</v>
          </cell>
          <cell r="I428" t="str">
            <v>Rp./Jam</v>
          </cell>
          <cell r="L428" t="str">
            <v>Note: 1</v>
          </cell>
          <cell r="N428" t="str">
            <v>SATUAN dapat berdasarkan atas jam operasi untuk Tenaga Kerja dan Peralatan, volume dan/atau ukuran</v>
          </cell>
        </row>
        <row r="429">
          <cell r="A429" t="str">
            <v xml:space="preserve">4. </v>
          </cell>
          <cell r="C429" t="str">
            <v>Bahan Bakar Bensin</v>
          </cell>
          <cell r="G429" t="str">
            <v>Mb</v>
          </cell>
          <cell r="H429">
            <v>5450</v>
          </cell>
          <cell r="I429" t="str">
            <v>Liter</v>
          </cell>
          <cell r="N429" t="str">
            <v>berat untuk bahan-bahan.</v>
          </cell>
        </row>
        <row r="430">
          <cell r="A430" t="str">
            <v xml:space="preserve">5. </v>
          </cell>
          <cell r="C430" t="str">
            <v>Bahan Bakar Solar</v>
          </cell>
          <cell r="G430" t="str">
            <v>Ms</v>
          </cell>
          <cell r="H430">
            <v>5250</v>
          </cell>
          <cell r="I430" t="str">
            <v>Liter</v>
          </cell>
          <cell r="L430">
            <v>2</v>
          </cell>
          <cell r="N430" t="str">
            <v>Kuantitas satuan adalah kuantitas setiap komponen untuk menyelesaikan satu satuan pekerjaan dari nomor</v>
          </cell>
        </row>
        <row r="431">
          <cell r="A431" t="str">
            <v xml:space="preserve">6. </v>
          </cell>
          <cell r="C431" t="str">
            <v>Minyak Pelumas</v>
          </cell>
          <cell r="G431" t="str">
            <v>Mp</v>
          </cell>
          <cell r="H431">
            <v>28186</v>
          </cell>
          <cell r="I431" t="str">
            <v>Liter</v>
          </cell>
          <cell r="N431" t="str">
            <v>mata pembayaran.</v>
          </cell>
        </row>
        <row r="432">
          <cell r="L432">
            <v>3</v>
          </cell>
          <cell r="N432" t="str">
            <v>Biaya satuan untuk peralatan sudah termasuk bahan bakar, bahan habis dipakai dan operator.</v>
          </cell>
        </row>
        <row r="433">
          <cell r="L433">
            <v>4</v>
          </cell>
          <cell r="N433" t="str">
            <v>Biaya satuan sudah termasuk pengeluaran untuk seluruh pajak yang berkaitan (tetapi tidak termasuk PPN</v>
          </cell>
        </row>
        <row r="434">
          <cell r="N434" t="str">
            <v>yang dibayar dari kontrak) dan biaya-biaya lainnya.</v>
          </cell>
        </row>
        <row r="435">
          <cell r="A435" t="str">
            <v>ITEM PEMBAYARAN No.</v>
          </cell>
          <cell r="D435" t="str">
            <v>:  9.19</v>
          </cell>
          <cell r="U435" t="str">
            <v>Analisa EI-919</v>
          </cell>
        </row>
        <row r="436">
          <cell r="A436" t="str">
            <v>JENIS PEKERJAAN</v>
          </cell>
          <cell r="D436" t="str">
            <v>:  PEKERJAAN HARIAN</v>
          </cell>
        </row>
        <row r="437">
          <cell r="A437" t="str">
            <v>SATUAN PEMBAYARAN</v>
          </cell>
          <cell r="D437" t="str">
            <v>:  JAM</v>
          </cell>
          <cell r="J437" t="str">
            <v xml:space="preserve">         URAIAN ANALISA HARGA SATUAN</v>
          </cell>
          <cell r="L437" t="str">
            <v>FORMULIR STANDAR UNTUK</v>
          </cell>
        </row>
        <row r="438">
          <cell r="L438" t="str">
            <v>PEREKAMAN ANALISA MASING-MASING HARGA SATUAN</v>
          </cell>
        </row>
        <row r="439">
          <cell r="L439" t="str">
            <v/>
          </cell>
        </row>
        <row r="440">
          <cell r="A440" t="str">
            <v>No.</v>
          </cell>
          <cell r="C440" t="str">
            <v>U R A I A N</v>
          </cell>
          <cell r="G440" t="str">
            <v>KODE</v>
          </cell>
          <cell r="H440" t="str">
            <v>KOEF.</v>
          </cell>
          <cell r="I440" t="str">
            <v>SATUAN</v>
          </cell>
          <cell r="J440" t="str">
            <v>KETERANGAN</v>
          </cell>
        </row>
        <row r="442">
          <cell r="L442" t="str">
            <v>PROYEK</v>
          </cell>
          <cell r="O442" t="str">
            <v>:</v>
          </cell>
          <cell r="P442" t="str">
            <v>Pembangunan Sarana dan Prasara PON XVII Tahun 2008</v>
          </cell>
        </row>
        <row r="443">
          <cell r="A443" t="str">
            <v>A.</v>
          </cell>
          <cell r="C443" t="str">
            <v>URAIAN PERALATAN</v>
          </cell>
          <cell r="L443" t="str">
            <v>No. PAKET KONTRAK</v>
          </cell>
          <cell r="O443" t="str">
            <v>:</v>
          </cell>
          <cell r="P443" t="str">
            <v>?</v>
          </cell>
        </row>
        <row r="444">
          <cell r="L444" t="str">
            <v>NAMA PAKET</v>
          </cell>
          <cell r="O444" t="str">
            <v>:</v>
          </cell>
          <cell r="P444" t="str">
            <v>Pekerjaan Penyiapan Lahan, Pembangunan Jalan &amp; Drainase</v>
          </cell>
        </row>
        <row r="445">
          <cell r="A445" t="str">
            <v xml:space="preserve">1. </v>
          </cell>
          <cell r="C445" t="str">
            <v>Jenis Peralatan</v>
          </cell>
          <cell r="G445" t="str">
            <v>WATER PUMP 70-100 mm</v>
          </cell>
          <cell r="J445" t="str">
            <v>(E22)</v>
          </cell>
          <cell r="L445" t="str">
            <v>PROP / KAB / KODYA</v>
          </cell>
          <cell r="O445" t="str">
            <v>:</v>
          </cell>
          <cell r="P445" t="str">
            <v xml:space="preserve">Propinsi Kalimantan Timur, Kabupaten Kutai Kartanegara </v>
          </cell>
        </row>
        <row r="446">
          <cell r="A446" t="str">
            <v xml:space="preserve">2. </v>
          </cell>
          <cell r="C446" t="str">
            <v>Tenaga</v>
          </cell>
          <cell r="G446" t="str">
            <v>Pw</v>
          </cell>
          <cell r="H446">
            <v>6</v>
          </cell>
          <cell r="I446" t="str">
            <v>HP</v>
          </cell>
          <cell r="L446" t="str">
            <v>ITEM PEMBAYARAN NO.</v>
          </cell>
          <cell r="O446" t="str">
            <v>:  9.19</v>
          </cell>
          <cell r="S446" t="str">
            <v>PERKIRAAN VOL. PEK.</v>
          </cell>
          <cell r="U446" t="str">
            <v>:</v>
          </cell>
          <cell r="V446">
            <v>600</v>
          </cell>
        </row>
        <row r="447">
          <cell r="A447" t="str">
            <v xml:space="preserve">3. </v>
          </cell>
          <cell r="C447" t="str">
            <v>Kapasitas</v>
          </cell>
          <cell r="G447" t="str">
            <v>Cp</v>
          </cell>
          <cell r="H447" t="str">
            <v xml:space="preserve">-  </v>
          </cell>
          <cell r="I447" t="str">
            <v>-</v>
          </cell>
          <cell r="L447" t="str">
            <v>JENIS PEKERJAAN</v>
          </cell>
          <cell r="O447" t="str">
            <v>:  PEKERJAAN HARIAN</v>
          </cell>
          <cell r="S447" t="str">
            <v>TOTAL HARGA (Rp.)</v>
          </cell>
          <cell r="U447" t="str">
            <v>:</v>
          </cell>
          <cell r="V447">
            <v>88212960</v>
          </cell>
        </row>
        <row r="448">
          <cell r="A448" t="str">
            <v xml:space="preserve">4. </v>
          </cell>
          <cell r="C448" t="str">
            <v>Umur Ekonomis</v>
          </cell>
          <cell r="G448" t="str">
            <v>A</v>
          </cell>
          <cell r="H448">
            <v>2</v>
          </cell>
          <cell r="I448" t="str">
            <v>Tahun</v>
          </cell>
          <cell r="J448" t="str">
            <v xml:space="preserve"> Alat Baru</v>
          </cell>
          <cell r="P448" t="str">
            <v>WATER PUMP 70-100 mm</v>
          </cell>
          <cell r="S448" t="str">
            <v>% THD. BIAYA PROYEK</v>
          </cell>
          <cell r="U448" t="str">
            <v>:</v>
          </cell>
          <cell r="V448">
            <v>4.3533258201447531E-2</v>
          </cell>
        </row>
        <row r="449">
          <cell r="A449" t="str">
            <v xml:space="preserve">5. </v>
          </cell>
          <cell r="C449" t="str">
            <v>Jam Operasi Dalam 1 Tahun</v>
          </cell>
          <cell r="G449" t="str">
            <v>W</v>
          </cell>
          <cell r="H449">
            <v>2000</v>
          </cell>
          <cell r="I449" t="str">
            <v>Jam</v>
          </cell>
          <cell r="J449" t="str">
            <v xml:space="preserve"> Alat Baru</v>
          </cell>
          <cell r="L449" t="str">
            <v>SATUAN PEMBAYARAN</v>
          </cell>
          <cell r="O449" t="str">
            <v>:  JAM</v>
          </cell>
          <cell r="Q449" t="str">
            <v>(E22)</v>
          </cell>
        </row>
        <row r="450">
          <cell r="A450" t="str">
            <v xml:space="preserve">6. </v>
          </cell>
          <cell r="C450" t="str">
            <v>Harga Alat</v>
          </cell>
          <cell r="G450" t="str">
            <v>B</v>
          </cell>
          <cell r="H450">
            <v>6534000</v>
          </cell>
          <cell r="I450" t="str">
            <v>Rupiah</v>
          </cell>
          <cell r="J450" t="str">
            <v xml:space="preserve"> Alat Baru</v>
          </cell>
        </row>
        <row r="452">
          <cell r="R452" t="str">
            <v>PERKIRAAN</v>
          </cell>
          <cell r="S452" t="str">
            <v>HARGA</v>
          </cell>
          <cell r="T452" t="str">
            <v>JUMLAH</v>
          </cell>
        </row>
        <row r="453">
          <cell r="A453" t="str">
            <v>B.</v>
          </cell>
          <cell r="C453" t="str">
            <v>BIAYA PASTI PER JAM KERJA</v>
          </cell>
          <cell r="L453" t="str">
            <v>NO.</v>
          </cell>
          <cell r="N453" t="str">
            <v>KOMPONEN</v>
          </cell>
          <cell r="Q453" t="str">
            <v>SATUAN</v>
          </cell>
          <cell r="R453" t="str">
            <v>KUANTITAS</v>
          </cell>
          <cell r="S453" t="str">
            <v>SATUAN</v>
          </cell>
          <cell r="T453" t="str">
            <v>HARGA</v>
          </cell>
        </row>
        <row r="454">
          <cell r="S454" t="str">
            <v>(Rp.)</v>
          </cell>
          <cell r="T454" t="str">
            <v>(Rp.)</v>
          </cell>
        </row>
        <row r="455">
          <cell r="A455" t="str">
            <v xml:space="preserve">1. </v>
          </cell>
          <cell r="C455" t="str">
            <v>Nilai Sisa Alat</v>
          </cell>
          <cell r="D455" t="str">
            <v>=  10 % x Harga Alat Baru</v>
          </cell>
          <cell r="G455" t="str">
            <v>C</v>
          </cell>
          <cell r="H455">
            <v>653400</v>
          </cell>
          <cell r="I455" t="str">
            <v>Rupiah</v>
          </cell>
        </row>
        <row r="457">
          <cell r="A457" t="str">
            <v xml:space="preserve">2. </v>
          </cell>
          <cell r="C457" t="str">
            <v>Faktor Angsuran Modal    =</v>
          </cell>
          <cell r="E457" t="str">
            <v>i x (1 + i)^A</v>
          </cell>
          <cell r="G457" t="str">
            <v>D</v>
          </cell>
          <cell r="H457">
            <v>0.66248868778280545</v>
          </cell>
          <cell r="I457" t="str">
            <v>-</v>
          </cell>
          <cell r="L457" t="str">
            <v>A.</v>
          </cell>
          <cell r="N457" t="str">
            <v>PEKERJA</v>
          </cell>
        </row>
        <row r="458">
          <cell r="E458" t="str">
            <v>(1 + i)^A - 1</v>
          </cell>
        </row>
        <row r="459">
          <cell r="A459" t="str">
            <v xml:space="preserve">3. </v>
          </cell>
          <cell r="C459" t="str">
            <v>Biaya Pasti per Jam  :</v>
          </cell>
          <cell r="L459" t="str">
            <v>1.</v>
          </cell>
          <cell r="N459" t="str">
            <v>-</v>
          </cell>
          <cell r="R459" t="str">
            <v xml:space="preserve">-  </v>
          </cell>
          <cell r="S459" t="str">
            <v xml:space="preserve">-   </v>
          </cell>
          <cell r="V459" t="str">
            <v>-</v>
          </cell>
        </row>
        <row r="460">
          <cell r="C460" t="str">
            <v>a.  Biaya Pengembalian Modal  =</v>
          </cell>
          <cell r="E460" t="str">
            <v>( B - C ) x D</v>
          </cell>
          <cell r="G460" t="str">
            <v>E</v>
          </cell>
          <cell r="H460">
            <v>1947.9154886877827</v>
          </cell>
          <cell r="I460" t="str">
            <v>Rupiah</v>
          </cell>
          <cell r="L460" t="str">
            <v>2.</v>
          </cell>
          <cell r="N460" t="str">
            <v>-</v>
          </cell>
          <cell r="R460" t="str">
            <v xml:space="preserve">-  </v>
          </cell>
          <cell r="S460" t="str">
            <v xml:space="preserve">-   </v>
          </cell>
          <cell r="V460" t="str">
            <v>-</v>
          </cell>
        </row>
        <row r="461">
          <cell r="E461" t="str">
            <v>W</v>
          </cell>
        </row>
        <row r="463">
          <cell r="C463" t="str">
            <v>b.  Asuransi, dll =</v>
          </cell>
          <cell r="D463">
            <v>2E-3</v>
          </cell>
          <cell r="E463" t="str">
            <v xml:space="preserve">  x   B</v>
          </cell>
          <cell r="G463" t="str">
            <v>F</v>
          </cell>
          <cell r="H463">
            <v>6.5339999999999998</v>
          </cell>
          <cell r="I463" t="str">
            <v>Rupiah</v>
          </cell>
        </row>
        <row r="464">
          <cell r="E464" t="str">
            <v>W</v>
          </cell>
        </row>
        <row r="465">
          <cell r="L465" t="str">
            <v>B.</v>
          </cell>
          <cell r="N465" t="str">
            <v>BAHAN</v>
          </cell>
        </row>
        <row r="466">
          <cell r="C466" t="str">
            <v>Biaya Pasti per Jam             =</v>
          </cell>
          <cell r="E466" t="str">
            <v>( E + F )</v>
          </cell>
          <cell r="G466" t="str">
            <v>G</v>
          </cell>
          <cell r="H466">
            <v>1954.4494886877828</v>
          </cell>
          <cell r="I466" t="str">
            <v>Rupiah</v>
          </cell>
        </row>
        <row r="467">
          <cell r="L467" t="str">
            <v>1.</v>
          </cell>
          <cell r="N467" t="str">
            <v>-</v>
          </cell>
          <cell r="R467" t="str">
            <v xml:space="preserve">-  </v>
          </cell>
          <cell r="S467" t="str">
            <v xml:space="preserve">-   </v>
          </cell>
          <cell r="V467" t="str">
            <v>-</v>
          </cell>
        </row>
        <row r="468">
          <cell r="A468" t="str">
            <v>C.</v>
          </cell>
          <cell r="C468" t="str">
            <v>BIAYA OPERASI PER JAM KERJA</v>
          </cell>
          <cell r="L468" t="str">
            <v>2.</v>
          </cell>
          <cell r="N468" t="str">
            <v>-</v>
          </cell>
          <cell r="R468" t="str">
            <v xml:space="preserve">-  </v>
          </cell>
          <cell r="S468" t="str">
            <v xml:space="preserve">-   </v>
          </cell>
          <cell r="V468" t="str">
            <v>-</v>
          </cell>
        </row>
        <row r="470">
          <cell r="A470" t="str">
            <v xml:space="preserve">1. </v>
          </cell>
          <cell r="C470" t="str">
            <v xml:space="preserve">Bahan Bakar  =  (0.125-0.175 Ltr/HP/Jam)   x Pw x Ms </v>
          </cell>
          <cell r="G470" t="str">
            <v>H</v>
          </cell>
          <cell r="H470">
            <v>3937.5</v>
          </cell>
          <cell r="I470" t="str">
            <v>Rupiah</v>
          </cell>
        </row>
        <row r="472">
          <cell r="A472" t="str">
            <v xml:space="preserve">2. </v>
          </cell>
          <cell r="C472" t="str">
            <v>Pelumas         =  (0.01-0.02 Ltr/HP/Jam) x Pw x Mp</v>
          </cell>
          <cell r="G472" t="str">
            <v>I</v>
          </cell>
          <cell r="H472">
            <v>1691.1599999999999</v>
          </cell>
          <cell r="I472" t="str">
            <v>Rupiah</v>
          </cell>
        </row>
        <row r="474">
          <cell r="A474" t="str">
            <v xml:space="preserve">3. </v>
          </cell>
          <cell r="C474" t="str">
            <v>Perawatan dan</v>
          </cell>
          <cell r="D474" t="str">
            <v>(12,5 % - 17,5 %)  x  B</v>
          </cell>
          <cell r="G474" t="str">
            <v>K</v>
          </cell>
          <cell r="H474">
            <v>408.375</v>
          </cell>
          <cell r="I474" t="str">
            <v>Rupiah</v>
          </cell>
        </row>
        <row r="475">
          <cell r="C475" t="str">
            <v xml:space="preserve">        perbaikan    =</v>
          </cell>
          <cell r="D475" t="str">
            <v>W</v>
          </cell>
        </row>
        <row r="476">
          <cell r="L476" t="str">
            <v>C.</v>
          </cell>
          <cell r="N476" t="str">
            <v>ALAT</v>
          </cell>
        </row>
        <row r="477">
          <cell r="A477" t="str">
            <v xml:space="preserve">4. </v>
          </cell>
          <cell r="C477" t="str">
            <v>Operator</v>
          </cell>
          <cell r="D477" t="str">
            <v>=   ( 1  Orang / Jam )  x  U1</v>
          </cell>
          <cell r="G477" t="str">
            <v>L</v>
          </cell>
          <cell r="H477">
            <v>8750</v>
          </cell>
          <cell r="I477" t="str">
            <v>Rupiah</v>
          </cell>
        </row>
        <row r="478">
          <cell r="A478" t="str">
            <v xml:space="preserve">5. </v>
          </cell>
          <cell r="C478" t="str">
            <v>Pembantu Operator</v>
          </cell>
          <cell r="D478" t="str">
            <v>=   ( 1  Orang / Jam )  x  U2</v>
          </cell>
          <cell r="G478" t="str">
            <v>M</v>
          </cell>
          <cell r="H478">
            <v>5750</v>
          </cell>
          <cell r="I478" t="str">
            <v>Rupiah</v>
          </cell>
          <cell r="L478" t="str">
            <v>1.</v>
          </cell>
          <cell r="N478" t="str">
            <v>WATER PUMP 70-100 mm</v>
          </cell>
          <cell r="Q478" t="str">
            <v>jam</v>
          </cell>
          <cell r="R478">
            <v>1</v>
          </cell>
          <cell r="S478">
            <v>133656</v>
          </cell>
          <cell r="V478">
            <v>133656</v>
          </cell>
        </row>
        <row r="479">
          <cell r="L479" t="str">
            <v>2.</v>
          </cell>
          <cell r="N479" t="str">
            <v>-</v>
          </cell>
          <cell r="Q479" t="str">
            <v>jam</v>
          </cell>
          <cell r="R479" t="str">
            <v xml:space="preserve">-  </v>
          </cell>
          <cell r="S479" t="str">
            <v xml:space="preserve">-   </v>
          </cell>
          <cell r="V479" t="str">
            <v>-</v>
          </cell>
        </row>
        <row r="480">
          <cell r="C480" t="str">
            <v>Biaya Operasi per Jam        =</v>
          </cell>
          <cell r="E480" t="str">
            <v>(H+I+K+L+M)</v>
          </cell>
          <cell r="G480" t="str">
            <v>P</v>
          </cell>
          <cell r="H480">
            <v>20537.035</v>
          </cell>
          <cell r="I480" t="str">
            <v>Rupiah</v>
          </cell>
        </row>
        <row r="482">
          <cell r="A482" t="str">
            <v>D.</v>
          </cell>
          <cell r="C482" t="str">
            <v>TOTAL BIAYA SEWA ALAT / JAM   =   ( G + P )</v>
          </cell>
          <cell r="G482" t="str">
            <v>S</v>
          </cell>
          <cell r="H482">
            <v>22491.484488687784</v>
          </cell>
          <cell r="I482" t="str">
            <v>Rupiah</v>
          </cell>
        </row>
        <row r="486">
          <cell r="A486" t="str">
            <v>E.</v>
          </cell>
          <cell r="C486" t="str">
            <v>LAIN - LAIN</v>
          </cell>
        </row>
        <row r="487">
          <cell r="L487" t="str">
            <v>D.</v>
          </cell>
          <cell r="N487" t="str">
            <v>JUMLAH HARGA TENAGA, BAHAN DAN ALAT  ( A + B + C )</v>
          </cell>
          <cell r="V487">
            <v>133656</v>
          </cell>
        </row>
        <row r="488">
          <cell r="A488" t="str">
            <v xml:space="preserve">1. </v>
          </cell>
          <cell r="C488" t="str">
            <v>Tingkat Suku Bunga</v>
          </cell>
          <cell r="G488" t="str">
            <v>i</v>
          </cell>
          <cell r="H488">
            <v>21</v>
          </cell>
          <cell r="I488" t="str">
            <v>% / Tahun</v>
          </cell>
          <cell r="L488" t="str">
            <v>E.</v>
          </cell>
          <cell r="N488" t="str">
            <v>OVERHEAD &amp; PROFIT</v>
          </cell>
          <cell r="Q488">
            <v>10</v>
          </cell>
          <cell r="R488" t="str">
            <v>%  x  D</v>
          </cell>
          <cell r="V488">
            <v>13365.6</v>
          </cell>
        </row>
        <row r="489">
          <cell r="A489" t="str">
            <v xml:space="preserve">2. </v>
          </cell>
          <cell r="C489" t="str">
            <v>Upah Operator / Sopir</v>
          </cell>
          <cell r="G489" t="str">
            <v>U1</v>
          </cell>
          <cell r="H489">
            <v>8750</v>
          </cell>
          <cell r="I489" t="str">
            <v>Rp./Jam</v>
          </cell>
          <cell r="L489" t="str">
            <v>F.</v>
          </cell>
          <cell r="N489" t="str">
            <v>HARGA SATUAN PEKERJAAN  ( D + E )</v>
          </cell>
          <cell r="V489">
            <v>147021.6</v>
          </cell>
        </row>
        <row r="490">
          <cell r="A490" t="str">
            <v xml:space="preserve">3. </v>
          </cell>
          <cell r="C490" t="str">
            <v>Upah Pembantu Operator / Pmb.Sopir</v>
          </cell>
          <cell r="G490" t="str">
            <v>U2</v>
          </cell>
          <cell r="H490">
            <v>5750</v>
          </cell>
          <cell r="I490" t="str">
            <v>Rp./Jam</v>
          </cell>
          <cell r="L490" t="str">
            <v>Note: 1</v>
          </cell>
          <cell r="N490" t="str">
            <v>SATUAN dapat berdasarkan atas jam operasi untuk Tenaga Kerja dan Peralatan, volume dan/atau ukuran</v>
          </cell>
        </row>
        <row r="491">
          <cell r="A491" t="str">
            <v xml:space="preserve">4. </v>
          </cell>
          <cell r="C491" t="str">
            <v>Bahan Bakar Bensin</v>
          </cell>
          <cell r="G491" t="str">
            <v>Mb</v>
          </cell>
          <cell r="H491">
            <v>5450</v>
          </cell>
          <cell r="I491" t="str">
            <v>Liter</v>
          </cell>
          <cell r="N491" t="str">
            <v>berat untuk bahan-bahan.</v>
          </cell>
        </row>
        <row r="492">
          <cell r="A492" t="str">
            <v xml:space="preserve">5. </v>
          </cell>
          <cell r="C492" t="str">
            <v>Bahan Bakar Solar</v>
          </cell>
          <cell r="G492" t="str">
            <v>Ms</v>
          </cell>
          <cell r="H492">
            <v>5250</v>
          </cell>
          <cell r="I492" t="str">
            <v>Liter</v>
          </cell>
          <cell r="L492">
            <v>2</v>
          </cell>
          <cell r="N492" t="str">
            <v>Kuantitas satuan adalah kuantitas setiap komponen untuk menyelesaikan satu satuan pekerjaan dari nomor</v>
          </cell>
        </row>
        <row r="493">
          <cell r="A493" t="str">
            <v xml:space="preserve">6. </v>
          </cell>
          <cell r="C493" t="str">
            <v>Minyak Pelumas</v>
          </cell>
          <cell r="G493" t="str">
            <v>Mp</v>
          </cell>
          <cell r="H493">
            <v>28186</v>
          </cell>
          <cell r="I493" t="str">
            <v>Liter</v>
          </cell>
          <cell r="N493" t="str">
            <v>mata pembayaran.</v>
          </cell>
        </row>
        <row r="494">
          <cell r="L494">
            <v>3</v>
          </cell>
          <cell r="N494" t="str">
            <v>Biaya satuan untuk peralatan sudah termasuk bahan bakar, bahan habis dipakai dan operator.</v>
          </cell>
        </row>
        <row r="495">
          <cell r="L495">
            <v>4</v>
          </cell>
          <cell r="N495" t="str">
            <v>Biaya satuan sudah termasuk pengeluaran untuk seluruh pajak yang berkaitan (tetapi tidak termasuk PPN</v>
          </cell>
        </row>
        <row r="496">
          <cell r="N496" t="str">
            <v>yang dibayar dari kontrak) dan biaya-biaya lainnya.</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OE"/>
      <sheetName val=" HARGA"/>
      <sheetName val="ANALISA"/>
      <sheetName val="REKAP"/>
      <sheetName val="RAB"/>
      <sheetName val="Schedule"/>
      <sheetName val="Sub"/>
      <sheetName val="Sheet1"/>
    </sheetNames>
    <sheetDataSet>
      <sheetData sheetId="0" refreshError="1"/>
      <sheetData sheetId="1" refreshError="1">
        <row r="23">
          <cell r="H23">
            <v>50000</v>
          </cell>
        </row>
        <row r="43">
          <cell r="H43">
            <v>60000</v>
          </cell>
        </row>
        <row r="52">
          <cell r="H52">
            <v>6000</v>
          </cell>
        </row>
        <row r="54">
          <cell r="L54">
            <v>77000</v>
          </cell>
        </row>
        <row r="55">
          <cell r="H55">
            <v>40000</v>
          </cell>
        </row>
        <row r="72">
          <cell r="H72">
            <v>2000</v>
          </cell>
        </row>
        <row r="74">
          <cell r="H74">
            <v>45000</v>
          </cell>
        </row>
        <row r="102">
          <cell r="H102">
            <v>12500</v>
          </cell>
        </row>
      </sheetData>
      <sheetData sheetId="2" refreshError="1">
        <row r="110">
          <cell r="N110">
            <v>3423.25</v>
          </cell>
        </row>
        <row r="128">
          <cell r="G128">
            <v>471940</v>
          </cell>
        </row>
      </sheetData>
      <sheetData sheetId="3" refreshError="1"/>
      <sheetData sheetId="4" refreshError="1"/>
      <sheetData sheetId="5" refreshError="1"/>
      <sheetData sheetId="6" refreshError="1"/>
      <sheetData sheetId="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v 1"/>
      <sheetName val="Div 2"/>
      <sheetName val="Div 3"/>
      <sheetName val="Div 4"/>
      <sheetName val="Div 5"/>
      <sheetName val="Div 6"/>
      <sheetName val="Div 7"/>
      <sheetName val="Div 8"/>
      <sheetName val="Div 9"/>
      <sheetName val="Div 10"/>
      <sheetName val="Lampiran 2a-2"/>
      <sheetName val="Asbuton"/>
      <sheetName val="Satuan Dasar"/>
      <sheetName val="Schedulle"/>
      <sheetName val="Operasional Alat"/>
      <sheetName val="Metode Pelaksana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OE"/>
      <sheetName val="RAB"/>
      <sheetName val="ANALISA"/>
      <sheetName val="DAFTAR HARGA"/>
      <sheetName val="Rumus"/>
      <sheetName val="Jadual Pelaksanaan"/>
      <sheetName val="Metode"/>
      <sheetName val="Sheet2"/>
    </sheetNames>
    <sheetDataSet>
      <sheetData sheetId="0"/>
      <sheetData sheetId="1"/>
      <sheetData sheetId="2">
        <row r="168">
          <cell r="I168">
            <v>215625</v>
          </cell>
        </row>
      </sheetData>
      <sheetData sheetId="3">
        <row r="24">
          <cell r="I24">
            <v>35000</v>
          </cell>
        </row>
        <row r="64">
          <cell r="I64">
            <v>1000</v>
          </cell>
        </row>
        <row r="104">
          <cell r="I104">
            <v>7000</v>
          </cell>
        </row>
      </sheetData>
      <sheetData sheetId="4"/>
      <sheetData sheetId="5"/>
      <sheetData sheetId="6"/>
      <sheetData sheetId="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
      <sheetName val="T. Scedule"/>
      <sheetName val="HSP (2)"/>
      <sheetName val="ANALISA BIAYA PEKERJAAN"/>
      <sheetName val="ANALISA BIAYA ALAT"/>
      <sheetName val="HARGA SATUAN ALAT"/>
      <sheetName val="HARGA SATUAN BAHAN"/>
      <sheetName val="HARGA SATUAN TENA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atuan TK"/>
      <sheetName val="Back Up"/>
      <sheetName val="RAB BLJR"/>
      <sheetName val="Palolo"/>
      <sheetName val="Analisa TK"/>
      <sheetName val="T. Scedule"/>
      <sheetName val="T. Scedule ALAT"/>
      <sheetName val="T. Scedule BAHAN"/>
      <sheetName val="T. Scedule PKERJA"/>
    </sheetNames>
    <sheetDataSet>
      <sheetData sheetId="0">
        <row r="14">
          <cell r="F14">
            <v>22500</v>
          </cell>
        </row>
        <row r="16">
          <cell r="F16">
            <v>27000</v>
          </cell>
        </row>
        <row r="20">
          <cell r="F20">
            <v>30000</v>
          </cell>
        </row>
      </sheetData>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2011"/>
      <sheetName val="Analisa Upah Bahan"/>
      <sheetName val="RAB "/>
      <sheetName val="REKAP "/>
      <sheetName val="Sheet2"/>
      <sheetName val="BERAT BESI"/>
      <sheetName val="Jadwal"/>
    </sheetNames>
    <sheetDataSet>
      <sheetData sheetId="0">
        <row r="385">
          <cell r="F385">
            <v>40000</v>
          </cell>
        </row>
        <row r="388">
          <cell r="F388">
            <v>200000</v>
          </cell>
        </row>
        <row r="406">
          <cell r="F406">
            <v>45000</v>
          </cell>
        </row>
        <row r="407">
          <cell r="F407">
            <v>37000</v>
          </cell>
        </row>
      </sheetData>
      <sheetData sheetId="1">
        <row r="31">
          <cell r="J31">
            <v>18420</v>
          </cell>
        </row>
        <row r="47">
          <cell r="J47">
            <v>96605</v>
          </cell>
        </row>
        <row r="53">
          <cell r="J53">
            <v>96605</v>
          </cell>
        </row>
        <row r="75">
          <cell r="J75">
            <v>208438.5</v>
          </cell>
        </row>
        <row r="85">
          <cell r="J85">
            <v>439517.5</v>
          </cell>
        </row>
        <row r="95">
          <cell r="J95">
            <v>102614.5</v>
          </cell>
        </row>
        <row r="114">
          <cell r="J114">
            <v>26894.799999999999</v>
          </cell>
        </row>
        <row r="140">
          <cell r="J140">
            <v>24443.200000000001</v>
          </cell>
        </row>
        <row r="149">
          <cell r="J149">
            <v>6825</v>
          </cell>
        </row>
        <row r="157">
          <cell r="J157">
            <v>6335</v>
          </cell>
        </row>
        <row r="167">
          <cell r="J167">
            <v>556855</v>
          </cell>
        </row>
        <row r="272">
          <cell r="J272">
            <v>3002988.2549999999</v>
          </cell>
        </row>
        <row r="279">
          <cell r="J279">
            <v>2826698.0550000002</v>
          </cell>
        </row>
        <row r="286">
          <cell r="J286">
            <v>3010647.2549999999</v>
          </cell>
        </row>
        <row r="296">
          <cell r="J296">
            <v>4328150</v>
          </cell>
        </row>
        <row r="316">
          <cell r="J316">
            <v>4043820.0000000005</v>
          </cell>
        </row>
        <row r="325">
          <cell r="J325">
            <v>47369.5</v>
          </cell>
        </row>
        <row r="334">
          <cell r="J334">
            <v>58412.5</v>
          </cell>
        </row>
        <row r="372">
          <cell r="J372">
            <v>26310.5</v>
          </cell>
        </row>
        <row r="392">
          <cell r="J392">
            <v>88225.5</v>
          </cell>
        </row>
        <row r="419">
          <cell r="J419">
            <v>109421.5</v>
          </cell>
        </row>
        <row r="428">
          <cell r="J428">
            <v>41927.5</v>
          </cell>
        </row>
        <row r="661">
          <cell r="J661">
            <v>101099.75</v>
          </cell>
        </row>
        <row r="672">
          <cell r="J672">
            <v>76393.75</v>
          </cell>
        </row>
        <row r="728">
          <cell r="J728">
            <v>13995.55</v>
          </cell>
        </row>
        <row r="739">
          <cell r="J739">
            <v>22238.75</v>
          </cell>
        </row>
        <row r="754">
          <cell r="J754">
            <v>9613</v>
          </cell>
        </row>
        <row r="901">
          <cell r="J901">
            <v>1430640</v>
          </cell>
        </row>
        <row r="907">
          <cell r="J907">
            <v>13110</v>
          </cell>
        </row>
        <row r="913">
          <cell r="J913">
            <v>20610</v>
          </cell>
        </row>
        <row r="970">
          <cell r="J970">
            <v>1602602.9129999999</v>
          </cell>
        </row>
      </sheetData>
      <sheetData sheetId="2" refreshError="1"/>
      <sheetData sheetId="3"/>
      <sheetData sheetId="4"/>
      <sheetData sheetId="5" refreshError="1"/>
      <sheetData sheetId="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NTOR"/>
      <sheetName val="HARGA"/>
      <sheetName val="SNI JUGA"/>
      <sheetName val="T. Scedule (2)"/>
      <sheetName val="DATA PERSONALIA"/>
      <sheetName val="Peralatan"/>
    </sheetNames>
    <sheetDataSet>
      <sheetData sheetId="0"/>
      <sheetData sheetId="1"/>
      <sheetData sheetId="2"/>
      <sheetData sheetId="3"/>
      <sheetData sheetId="4"/>
      <sheetData sheetId="5"/>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 COMMON"/>
      <sheetName val="MAT. MS &amp; SW"/>
      <sheetName val="MAT PRIME &amp; RS"/>
      <sheetName val="SM"/>
      <sheetName val="MS"/>
      <sheetName val="common"/>
      <sheetName val="embankment"/>
      <sheetName val="AGG. A-9"/>
      <sheetName val="PRIME"/>
      <sheetName val="TACK"/>
      <sheetName val="SMA-A9"/>
      <sheetName val="AC-BINDER-9"/>
      <sheetName val="k-225 E"/>
      <sheetName val="k-225 F"/>
      <sheetName val="STEEL"/>
      <sheetName val="MAT.  A &amp; B"/>
      <sheetName val="ATB "/>
      <sheetName val="ATB patching"/>
      <sheetName val="BASIC"/>
      <sheetName val="Unit Price"/>
      <sheetName val="sld"/>
      <sheetName val="kerb"/>
      <sheetName val="BOQ"/>
      <sheetName val="UP MINOR"/>
      <sheetName val="4a-Mob"/>
      <sheetName val="4b-Mob "/>
      <sheetName val="6a-Crushing Plant"/>
      <sheetName val="6b-AMP"/>
      <sheetName val="7-MAJOR"/>
      <sheetName val="8-data"/>
      <sheetName val="9-CONS PLANT"/>
      <sheetName val="10-KEY"/>
      <sheetName val="11-SUB"/>
      <sheetName val="12a-FOREIGN"/>
      <sheetName val="12b-FOREIGN "/>
      <sheetName val="13-FOREIGN  "/>
      <sheetName val="1-List of Document"/>
      <sheetName val="pav-block"/>
      <sheetName val="demol-mas"/>
      <sheetName val="demol-bui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22">
          <cell r="C22">
            <v>155250</v>
          </cell>
        </row>
        <row r="52">
          <cell r="C52">
            <v>5500000</v>
          </cell>
        </row>
        <row r="53">
          <cell r="C53">
            <v>6000000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wr"/>
      <sheetName val="R A B"/>
      <sheetName val="ANALISA"/>
      <sheetName val="HARGA"/>
      <sheetName val="BPNS"/>
      <sheetName val="Sanggup"/>
      <sheetName val="Tunduk"/>
      <sheetName val="Struktur"/>
      <sheetName val="JWP"/>
      <sheetName val="pernyat"/>
      <sheetName val="FIPK"/>
      <sheetName val="D.Adm"/>
      <sheetName val="LHPP"/>
      <sheetName val="D.Uang"/>
      <sheetName val="Nrc"/>
      <sheetName val="Prsnl."/>
      <sheetName val="Alat"/>
      <sheetName val="DPK"/>
      <sheetName val="Sedang"/>
      <sheetName val="RP3"/>
      <sheetName val="MK"/>
      <sheetName val="PJ.SW"/>
      <sheetName val="KSO"/>
    </sheetNames>
    <sheetDataSet>
      <sheetData sheetId="0"/>
      <sheetData sheetId="1"/>
      <sheetData sheetId="2">
        <row r="5">
          <cell r="C5" t="str">
            <v>PEKERJAAN TANAH</v>
          </cell>
        </row>
        <row r="6">
          <cell r="C6" t="str">
            <v xml:space="preserve">An. SNI  6.1  1 M3 Galian Tanah Biasa sedalam 1 Meter </v>
          </cell>
        </row>
        <row r="7">
          <cell r="C7" t="str">
            <v>Pekerja</v>
          </cell>
        </row>
        <row r="8">
          <cell r="C8" t="str">
            <v>Mandor</v>
          </cell>
        </row>
        <row r="9">
          <cell r="L9">
            <v>14000</v>
          </cell>
        </row>
        <row r="10">
          <cell r="C10" t="str">
            <v xml:space="preserve">An. SNI 6.9   1 M3  Urugan Kembali </v>
          </cell>
        </row>
        <row r="11">
          <cell r="C11" t="str">
            <v>Pekerja</v>
          </cell>
        </row>
        <row r="12">
          <cell r="C12" t="str">
            <v>Mandor</v>
          </cell>
        </row>
        <row r="13">
          <cell r="L13">
            <v>6714</v>
          </cell>
        </row>
        <row r="14">
          <cell r="C14" t="str">
            <v>An. SNI 6.11  1 M3 Urugan Pasir dibawah lantai + pondasi</v>
          </cell>
        </row>
        <row r="15">
          <cell r="C15" t="str">
            <v>Pasir Urug</v>
          </cell>
        </row>
        <row r="16">
          <cell r="C16" t="str">
            <v>Pekerja</v>
          </cell>
        </row>
        <row r="17">
          <cell r="C17" t="str">
            <v>Mandor</v>
          </cell>
        </row>
        <row r="18">
          <cell r="L18">
            <v>75900</v>
          </cell>
        </row>
        <row r="19">
          <cell r="C19" t="str">
            <v xml:space="preserve">An. SNI 6.115  1 M3 Urugan Tasirtu </v>
          </cell>
        </row>
        <row r="20">
          <cell r="C20" t="str">
            <v>Sirtu</v>
          </cell>
        </row>
        <row r="21">
          <cell r="C21" t="str">
            <v>Pekerja</v>
          </cell>
        </row>
        <row r="22">
          <cell r="C22" t="str">
            <v>Mandor</v>
          </cell>
        </row>
        <row r="23">
          <cell r="L23">
            <v>74750</v>
          </cell>
        </row>
        <row r="25">
          <cell r="C25" t="str">
            <v>PEKERJAAN PASANGAN DAN STRUKTUR BETON</v>
          </cell>
        </row>
        <row r="26">
          <cell r="C26" t="str">
            <v>An. SNI 6.14  1 M3 Pasangan Pondasi Batu Kosong</v>
          </cell>
        </row>
        <row r="27">
          <cell r="C27" t="str">
            <v>Batu kali</v>
          </cell>
        </row>
        <row r="28">
          <cell r="C28" t="str">
            <v>Pasir Urug</v>
          </cell>
        </row>
        <row r="29">
          <cell r="C29" t="str">
            <v>Pekerja</v>
          </cell>
        </row>
        <row r="30">
          <cell r="C30" t="str">
            <v>Tukang Batu</v>
          </cell>
        </row>
        <row r="31">
          <cell r="C31" t="str">
            <v>Kepala Tukang</v>
          </cell>
        </row>
        <row r="33">
          <cell r="L33">
            <v>145500</v>
          </cell>
        </row>
        <row r="34">
          <cell r="C34" t="str">
            <v>An. SNI 6.6  1 M3 Pasangan Pondasi Batu Kali 1 Pc  : 5 Ps</v>
          </cell>
        </row>
        <row r="35">
          <cell r="C35" t="str">
            <v>Batu kali</v>
          </cell>
        </row>
        <row r="36">
          <cell r="C36" t="str">
            <v>Pasir Pasangan</v>
          </cell>
        </row>
        <row r="37">
          <cell r="C37" t="str">
            <v>Portland Cement</v>
          </cell>
        </row>
        <row r="38">
          <cell r="C38" t="str">
            <v>Pekerja</v>
          </cell>
        </row>
        <row r="39">
          <cell r="C39" t="str">
            <v>Tukang Batu</v>
          </cell>
        </row>
        <row r="40">
          <cell r="C40" t="str">
            <v>Kepala Tukang</v>
          </cell>
        </row>
        <row r="41">
          <cell r="C41" t="str">
            <v>Mandor</v>
          </cell>
        </row>
        <row r="42">
          <cell r="L42">
            <v>310310</v>
          </cell>
        </row>
        <row r="43">
          <cell r="C43" t="str">
            <v>An. SNI 6.10 1 M2 Pasangan  Bata Merah Tebal 1/2 Bata  Camp. 1 Pc : 3 Ps</v>
          </cell>
        </row>
        <row r="44">
          <cell r="C44" t="str">
            <v xml:space="preserve">Bata merah </v>
          </cell>
        </row>
        <row r="45">
          <cell r="C45" t="str">
            <v>Pasir Pasangan</v>
          </cell>
        </row>
        <row r="46">
          <cell r="C46" t="str">
            <v>Portland Cement</v>
          </cell>
        </row>
        <row r="47">
          <cell r="C47" t="str">
            <v>Pekerja</v>
          </cell>
        </row>
        <row r="48">
          <cell r="C48" t="str">
            <v>Tukang Batu</v>
          </cell>
        </row>
        <row r="49">
          <cell r="C49" t="str">
            <v>Kepala Tukang</v>
          </cell>
        </row>
        <row r="50">
          <cell r="C50" t="str">
            <v>Mandor</v>
          </cell>
        </row>
        <row r="51">
          <cell r="L51">
            <v>75197.8</v>
          </cell>
        </row>
        <row r="52">
          <cell r="C52" t="str">
            <v xml:space="preserve">An. SNI 6.12   1 M2  Pasangan  Bata Tebal 1/2 Bata Camp. 1 Pc : 5 Ps </v>
          </cell>
        </row>
        <row r="53">
          <cell r="C53" t="str">
            <v xml:space="preserve">Bata merah </v>
          </cell>
        </row>
        <row r="54">
          <cell r="C54" t="str">
            <v>Pasir Pasangan</v>
          </cell>
        </row>
        <row r="55">
          <cell r="C55" t="str">
            <v>Portland Cement</v>
          </cell>
        </row>
        <row r="56">
          <cell r="C56" t="str">
            <v>Pekerja</v>
          </cell>
        </row>
        <row r="57">
          <cell r="C57" t="str">
            <v>Tukang Batu</v>
          </cell>
        </row>
        <row r="58">
          <cell r="C58" t="str">
            <v>Kepala Tukang</v>
          </cell>
        </row>
        <row r="59">
          <cell r="C59" t="str">
            <v>Mandor</v>
          </cell>
        </row>
        <row r="60">
          <cell r="L60">
            <v>75114.2</v>
          </cell>
        </row>
        <row r="61">
          <cell r="C61" t="str">
            <v xml:space="preserve">An. SNI 6.5  1 M2 Plesteran 1 Pc : 5 Ps Tebal 15 mm </v>
          </cell>
        </row>
        <row r="62">
          <cell r="C62" t="str">
            <v>Pasir Pasangan</v>
          </cell>
        </row>
        <row r="63">
          <cell r="C63" t="str">
            <v>Portland Cement</v>
          </cell>
        </row>
        <row r="64">
          <cell r="C64" t="str">
            <v>Pekerja</v>
          </cell>
        </row>
        <row r="65">
          <cell r="C65" t="str">
            <v>Tukang Batu</v>
          </cell>
        </row>
        <row r="66">
          <cell r="C66" t="str">
            <v>Kepala Tukang</v>
          </cell>
        </row>
        <row r="67">
          <cell r="C67" t="str">
            <v>Mandor</v>
          </cell>
        </row>
        <row r="68">
          <cell r="L68">
            <v>16920.8</v>
          </cell>
        </row>
        <row r="69">
          <cell r="C69" t="str">
            <v>An. SNI 6.3 1 M2 Plesteran 1 Pc : 3 Ps Tebal 15 mm</v>
          </cell>
        </row>
        <row r="70">
          <cell r="C70" t="str">
            <v>Pasir Pasangan</v>
          </cell>
        </row>
        <row r="71">
          <cell r="C71" t="str">
            <v>Portland Cement</v>
          </cell>
        </row>
        <row r="72">
          <cell r="C72" t="str">
            <v>Pekerja</v>
          </cell>
        </row>
        <row r="73">
          <cell r="C73" t="str">
            <v>Tukang Batu</v>
          </cell>
        </row>
        <row r="74">
          <cell r="C74" t="str">
            <v>Kepala Tukang</v>
          </cell>
        </row>
        <row r="75">
          <cell r="C75" t="str">
            <v>Mandor</v>
          </cell>
        </row>
        <row r="76">
          <cell r="L76">
            <v>18786.2</v>
          </cell>
        </row>
        <row r="77">
          <cell r="C77" t="str">
            <v>An. SPL 1 M2  Acian Semen 1 Pc :  7 Kpr</v>
          </cell>
        </row>
        <row r="78">
          <cell r="C78" t="str">
            <v>Portland Cement</v>
          </cell>
        </row>
        <row r="79">
          <cell r="C79" t="str">
            <v xml:space="preserve">Kapur </v>
          </cell>
        </row>
        <row r="80">
          <cell r="C80" t="str">
            <v>Pekerja</v>
          </cell>
        </row>
        <row r="81">
          <cell r="C81" t="str">
            <v>Tukang Batu</v>
          </cell>
        </row>
        <row r="82">
          <cell r="C82" t="str">
            <v>Kepala Tukang</v>
          </cell>
        </row>
        <row r="83">
          <cell r="C83" t="str">
            <v>Mandor</v>
          </cell>
        </row>
        <row r="84">
          <cell r="L84">
            <v>5299</v>
          </cell>
        </row>
        <row r="85">
          <cell r="C85" t="str">
            <v>An. SNI 6.4 1 M3 Beton Tumbuk 1 Pc : 3 Pc : 5 Kr tebal 5 cm</v>
          </cell>
        </row>
        <row r="86">
          <cell r="C86" t="str">
            <v>Kerikil beton</v>
          </cell>
        </row>
        <row r="87">
          <cell r="C87" t="str">
            <v>Pasir Pasang</v>
          </cell>
        </row>
        <row r="88">
          <cell r="C88" t="str">
            <v>Portland Cement</v>
          </cell>
        </row>
        <row r="89">
          <cell r="C89" t="str">
            <v>Pekerja</v>
          </cell>
        </row>
        <row r="90">
          <cell r="C90" t="str">
            <v>Tukang Batu</v>
          </cell>
        </row>
        <row r="91">
          <cell r="C91" t="str">
            <v>Kepala Tukang</v>
          </cell>
        </row>
        <row r="92">
          <cell r="C92" t="str">
            <v>Mandor</v>
          </cell>
        </row>
        <row r="95">
          <cell r="C95" t="str">
            <v>An. SNI 6.5  1 M3 Membuat beton bertulang 1 Pc : 2 Pc : 3 Kr</v>
          </cell>
        </row>
        <row r="96">
          <cell r="C96" t="str">
            <v>Kerikil Beton</v>
          </cell>
        </row>
        <row r="97">
          <cell r="C97" t="str">
            <v>Pasir Pasangan</v>
          </cell>
        </row>
        <row r="98">
          <cell r="C98" t="str">
            <v>Portland Cement</v>
          </cell>
        </row>
        <row r="99">
          <cell r="C99" t="str">
            <v>Pekerja</v>
          </cell>
        </row>
        <row r="100">
          <cell r="C100" t="str">
            <v>Tukang Batu</v>
          </cell>
        </row>
        <row r="101">
          <cell r="C101" t="str">
            <v>Kepala Tukang</v>
          </cell>
        </row>
        <row r="102">
          <cell r="C102" t="str">
            <v>Mandor</v>
          </cell>
        </row>
        <row r="104">
          <cell r="C104" t="str">
            <v>An. SNI 6.29  1 M2 Pekerjaan Bekisting untuk Sloof</v>
          </cell>
        </row>
        <row r="105">
          <cell r="C105" t="str">
            <v>Kayu Daerah</v>
          </cell>
        </row>
        <row r="106">
          <cell r="C106" t="str">
            <v>Paku Biasa</v>
          </cell>
        </row>
        <row r="107">
          <cell r="C107" t="str">
            <v>Minyak Bekesting</v>
          </cell>
        </row>
        <row r="108">
          <cell r="C108" t="str">
            <v>Pekerja</v>
          </cell>
        </row>
        <row r="109">
          <cell r="C109" t="str">
            <v>Tukang Kayu</v>
          </cell>
        </row>
        <row r="110">
          <cell r="C110" t="str">
            <v>Kepala Tukang</v>
          </cell>
        </row>
        <row r="111">
          <cell r="C111" t="str">
            <v xml:space="preserve">Mandor </v>
          </cell>
        </row>
        <row r="112">
          <cell r="L112">
            <v>67580</v>
          </cell>
        </row>
        <row r="113">
          <cell r="C113" t="str">
            <v>An. SNI 6.30  1 M2 Pekerjaan Bekisting untuk Kolom</v>
          </cell>
        </row>
        <row r="114">
          <cell r="C114" t="str">
            <v>Kayu Daerah</v>
          </cell>
        </row>
        <row r="115">
          <cell r="C115" t="str">
            <v>Paku Biasa</v>
          </cell>
        </row>
        <row r="116">
          <cell r="C116" t="str">
            <v>Minyak Bekesting</v>
          </cell>
        </row>
        <row r="117">
          <cell r="C117" t="str">
            <v>Balok Kayu</v>
          </cell>
        </row>
        <row r="118">
          <cell r="C118" t="str">
            <v>Plywood Tebal 9 mm</v>
          </cell>
        </row>
        <row r="119">
          <cell r="C119" t="str">
            <v>Dolken Kayu @8-10/4 mm</v>
          </cell>
        </row>
        <row r="120">
          <cell r="C120" t="str">
            <v>Pekerja</v>
          </cell>
        </row>
        <row r="121">
          <cell r="C121" t="str">
            <v>Tukang Kayu</v>
          </cell>
        </row>
        <row r="122">
          <cell r="C122" t="str">
            <v>Kepala Tukang</v>
          </cell>
        </row>
        <row r="123">
          <cell r="C123" t="str">
            <v xml:space="preserve">Mandor </v>
          </cell>
        </row>
        <row r="124">
          <cell r="L124">
            <v>84540</v>
          </cell>
        </row>
        <row r="125">
          <cell r="C125" t="str">
            <v>An. SNI 6.31  1 M2 Pekerjaan Bekisting untuk Ring Balok</v>
          </cell>
        </row>
        <row r="126">
          <cell r="C126" t="str">
            <v>Kayu Daerah</v>
          </cell>
        </row>
        <row r="127">
          <cell r="C127" t="str">
            <v>Paku Biasa</v>
          </cell>
        </row>
        <row r="128">
          <cell r="C128" t="str">
            <v>Minyak Bekesting</v>
          </cell>
        </row>
        <row r="129">
          <cell r="C129" t="str">
            <v>Balok Kayu</v>
          </cell>
        </row>
        <row r="130">
          <cell r="C130" t="str">
            <v>Plywood Tebal 9 mm</v>
          </cell>
        </row>
        <row r="131">
          <cell r="C131" t="str">
            <v>Dolken Kayu @8-10/4 mm</v>
          </cell>
        </row>
        <row r="132">
          <cell r="C132" t="str">
            <v>Pekerja</v>
          </cell>
        </row>
        <row r="133">
          <cell r="C133" t="str">
            <v>Tukang Kayu</v>
          </cell>
        </row>
        <row r="134">
          <cell r="C134" t="str">
            <v>Kepala Tukang</v>
          </cell>
        </row>
        <row r="135">
          <cell r="C135" t="str">
            <v xml:space="preserve">Mandor </v>
          </cell>
        </row>
        <row r="136">
          <cell r="L136">
            <v>88030</v>
          </cell>
        </row>
        <row r="137">
          <cell r="C137" t="str">
            <v>An. SNI 6.32  1 M2 Pekerjaan Bekisting untuk Lantai</v>
          </cell>
        </row>
        <row r="138">
          <cell r="C138" t="str">
            <v>Kayu Daerah</v>
          </cell>
        </row>
        <row r="139">
          <cell r="C139" t="str">
            <v>Paku Biasa</v>
          </cell>
        </row>
        <row r="140">
          <cell r="C140" t="str">
            <v>Minyak Bekesting</v>
          </cell>
        </row>
        <row r="141">
          <cell r="C141" t="str">
            <v>Balok Kayu</v>
          </cell>
        </row>
        <row r="142">
          <cell r="C142" t="str">
            <v>Plywood Tebal 9 mm</v>
          </cell>
        </row>
        <row r="143">
          <cell r="C143" t="str">
            <v>Dolken Kayu @8-10/4 mm</v>
          </cell>
        </row>
        <row r="144">
          <cell r="C144" t="str">
            <v>Pekerja</v>
          </cell>
        </row>
        <row r="145">
          <cell r="C145" t="str">
            <v>Tukang Kayu</v>
          </cell>
        </row>
        <row r="146">
          <cell r="C146" t="str">
            <v>Kepala Tukang</v>
          </cell>
        </row>
        <row r="147">
          <cell r="C147" t="str">
            <v xml:space="preserve">Mandor </v>
          </cell>
        </row>
        <row r="148">
          <cell r="L148">
            <v>83560</v>
          </cell>
        </row>
        <row r="149">
          <cell r="C149" t="str">
            <v>An. SNI 6.25  1 Kg Pembesian dengan besi polos atau ulir</v>
          </cell>
        </row>
        <row r="150">
          <cell r="C150" t="str">
            <v>Besi Beton Polos</v>
          </cell>
        </row>
        <row r="151">
          <cell r="C151" t="str">
            <v>Kawat Beton</v>
          </cell>
        </row>
        <row r="152">
          <cell r="C152" t="str">
            <v>Pekerja</v>
          </cell>
        </row>
        <row r="153">
          <cell r="C153" t="str">
            <v>Tukang Besi</v>
          </cell>
        </row>
        <row r="154">
          <cell r="C154" t="str">
            <v>Kepala Tukang</v>
          </cell>
        </row>
        <row r="155">
          <cell r="C155" t="str">
            <v xml:space="preserve">Mandor </v>
          </cell>
        </row>
        <row r="156">
          <cell r="L156">
            <v>7628.4601450379369</v>
          </cell>
        </row>
        <row r="157">
          <cell r="C157" t="str">
            <v>An. SNI 6.35  1 M3 Pekerjaan Cor Beton  dengan Mutu 225</v>
          </cell>
        </row>
        <row r="158">
          <cell r="C158" t="str">
            <v>Portland Cement</v>
          </cell>
        </row>
        <row r="159">
          <cell r="C159" t="str">
            <v>Kerikil Beton</v>
          </cell>
        </row>
        <row r="160">
          <cell r="C160" t="str">
            <v>Pasir Beton</v>
          </cell>
        </row>
        <row r="161">
          <cell r="C161" t="str">
            <v>Pekerja</v>
          </cell>
        </row>
        <row r="162">
          <cell r="C162" t="str">
            <v>Tukang Batu</v>
          </cell>
        </row>
        <row r="163">
          <cell r="C163" t="str">
            <v>Kepala Tukang</v>
          </cell>
        </row>
        <row r="164">
          <cell r="C164" t="str">
            <v>Mandor</v>
          </cell>
        </row>
        <row r="165">
          <cell r="L165" t="e">
            <v>#REF!</v>
          </cell>
        </row>
        <row r="166">
          <cell r="C166" t="str">
            <v>An. SNI 6.39  1 M3 Membuat Sloof Beton Bertulang ( 200 kg + bekesting )</v>
          </cell>
        </row>
        <row r="167">
          <cell r="C167" t="str">
            <v>Kayu Daerah</v>
          </cell>
        </row>
        <row r="168">
          <cell r="C168" t="str">
            <v>Paku Biasa</v>
          </cell>
        </row>
        <row r="169">
          <cell r="C169" t="str">
            <v>Minyak Bekesting</v>
          </cell>
        </row>
        <row r="170">
          <cell r="C170" t="str">
            <v>Besi Beton Polos</v>
          </cell>
        </row>
        <row r="171">
          <cell r="C171" t="str">
            <v>Kawat Beton</v>
          </cell>
        </row>
        <row r="172">
          <cell r="C172" t="str">
            <v>Portland Cement</v>
          </cell>
        </row>
        <row r="173">
          <cell r="C173" t="str">
            <v>Kerikil Beton</v>
          </cell>
        </row>
        <row r="174">
          <cell r="C174" t="str">
            <v>Pasir Beton</v>
          </cell>
        </row>
        <row r="175">
          <cell r="C175" t="str">
            <v>Pekerja</v>
          </cell>
        </row>
        <row r="176">
          <cell r="C176" t="str">
            <v>Tukang Batu</v>
          </cell>
        </row>
        <row r="177">
          <cell r="C177" t="str">
            <v>Tukang Kayu</v>
          </cell>
        </row>
        <row r="178">
          <cell r="C178" t="str">
            <v>Tukang Besi</v>
          </cell>
        </row>
        <row r="179">
          <cell r="C179" t="str">
            <v>Kepala Tukang</v>
          </cell>
        </row>
        <row r="180">
          <cell r="C180" t="str">
            <v>Mandor</v>
          </cell>
        </row>
        <row r="182">
          <cell r="C182" t="str">
            <v>An. SNI 6.40  1 M3 Membuat Kolom Beton Bertulang ( 300 kg + bekesting )</v>
          </cell>
        </row>
        <row r="183">
          <cell r="C183" t="str">
            <v>Kayu Daerah</v>
          </cell>
        </row>
        <row r="184">
          <cell r="C184" t="str">
            <v>Paku Biasa</v>
          </cell>
        </row>
        <row r="185">
          <cell r="C185" t="str">
            <v>Minyak Bekesting</v>
          </cell>
        </row>
        <row r="186">
          <cell r="C186" t="str">
            <v>Besi Beton Polos</v>
          </cell>
        </row>
        <row r="187">
          <cell r="C187" t="str">
            <v>Kawat Beton</v>
          </cell>
        </row>
        <row r="188">
          <cell r="C188" t="str">
            <v>Portland Cement</v>
          </cell>
        </row>
        <row r="189">
          <cell r="C189" t="str">
            <v>Kerikil Beton</v>
          </cell>
        </row>
        <row r="190">
          <cell r="C190" t="str">
            <v>Pasir Beton</v>
          </cell>
        </row>
        <row r="191">
          <cell r="C191" t="str">
            <v>Balok Penyangga</v>
          </cell>
        </row>
        <row r="192">
          <cell r="C192" t="str">
            <v>Plywood Tebal 9 mm</v>
          </cell>
        </row>
        <row r="193">
          <cell r="C193" t="str">
            <v>Dolken Kayu @8-10/4 mm</v>
          </cell>
        </row>
        <row r="194">
          <cell r="C194" t="str">
            <v>Pekerja</v>
          </cell>
        </row>
        <row r="195">
          <cell r="C195" t="str">
            <v>Tukang Batu</v>
          </cell>
        </row>
        <row r="196">
          <cell r="C196" t="str">
            <v>Tukang Kayu</v>
          </cell>
        </row>
        <row r="197">
          <cell r="C197" t="str">
            <v>Tukang Besi</v>
          </cell>
        </row>
        <row r="198">
          <cell r="C198" t="str">
            <v>Kepala Tukang</v>
          </cell>
        </row>
        <row r="199">
          <cell r="C199" t="str">
            <v>Mandor</v>
          </cell>
        </row>
        <row r="201">
          <cell r="C201" t="str">
            <v>An. SNI 6.41  1 M3 Membuat Balok Beton Bertulang (200 kg + bekesting )</v>
          </cell>
        </row>
        <row r="202">
          <cell r="C202" t="str">
            <v>Kayu Daerah</v>
          </cell>
        </row>
        <row r="203">
          <cell r="C203" t="str">
            <v>Paku Biasa</v>
          </cell>
        </row>
        <row r="204">
          <cell r="C204" t="str">
            <v>Minyak Bekesting</v>
          </cell>
        </row>
        <row r="205">
          <cell r="C205" t="str">
            <v>Besi Beton Polos</v>
          </cell>
        </row>
        <row r="206">
          <cell r="C206" t="str">
            <v>Kawat Beton</v>
          </cell>
        </row>
        <row r="207">
          <cell r="C207" t="str">
            <v>Portland Cement</v>
          </cell>
        </row>
        <row r="208">
          <cell r="C208" t="str">
            <v>Kerikil Beton</v>
          </cell>
        </row>
        <row r="209">
          <cell r="C209" t="str">
            <v>Pasir Beton</v>
          </cell>
        </row>
        <row r="210">
          <cell r="C210" t="str">
            <v>Balok Penyangga</v>
          </cell>
        </row>
        <row r="211">
          <cell r="C211" t="str">
            <v>Plywood Tebal 9 mm</v>
          </cell>
        </row>
        <row r="212">
          <cell r="C212" t="str">
            <v>Dolken Kayu @8-10/4 mm</v>
          </cell>
        </row>
        <row r="213">
          <cell r="C213" t="str">
            <v>Pekerja</v>
          </cell>
        </row>
        <row r="214">
          <cell r="C214" t="str">
            <v>Tukang Batu</v>
          </cell>
        </row>
        <row r="215">
          <cell r="C215" t="str">
            <v>Tukang Kayu</v>
          </cell>
        </row>
        <row r="216">
          <cell r="C216" t="str">
            <v>Tukang Besi</v>
          </cell>
        </row>
        <row r="217">
          <cell r="C217" t="str">
            <v>Kepala Tukang</v>
          </cell>
        </row>
        <row r="218">
          <cell r="C218" t="str">
            <v>Mandor</v>
          </cell>
        </row>
        <row r="220">
          <cell r="C220" t="str">
            <v>An. Praktis   1 m3 Upah Menyiram/Bongkar Bekesting Beton</v>
          </cell>
        </row>
        <row r="221">
          <cell r="C221" t="str">
            <v>Pekerja</v>
          </cell>
        </row>
        <row r="222">
          <cell r="L222">
            <v>128000</v>
          </cell>
        </row>
        <row r="224">
          <cell r="C224" t="str">
            <v>Jadi Pekerjaan Beton Bertulang dengan 200 kg adalah  Nomor ( 9 + 11) + ( 14 x 200 kg )</v>
          </cell>
        </row>
        <row r="226">
          <cell r="C226" t="str">
            <v xml:space="preserve">An. Praktis  1 M' Pekerjaan Cor Sloof 15/20 </v>
          </cell>
        </row>
        <row r="227">
          <cell r="C227" t="str">
            <v>Cor Beton 1:2:3</v>
          </cell>
        </row>
        <row r="228">
          <cell r="C228" t="str">
            <v>Bekisting</v>
          </cell>
        </row>
        <row r="229">
          <cell r="C229" t="str">
            <v>Besi Beton</v>
          </cell>
        </row>
        <row r="230">
          <cell r="L230">
            <v>71197.67659459461</v>
          </cell>
        </row>
        <row r="231">
          <cell r="C231" t="str">
            <v xml:space="preserve">An. Praktis  1 M' Pekerjaan Cor Kolom 15/15 </v>
          </cell>
        </row>
        <row r="232">
          <cell r="C232" t="str">
            <v>Cor Beton 1:2:3</v>
          </cell>
        </row>
        <row r="233">
          <cell r="C233" t="str">
            <v>Bekisting</v>
          </cell>
        </row>
        <row r="234">
          <cell r="C234" t="str">
            <v>Besi Beton</v>
          </cell>
        </row>
        <row r="236">
          <cell r="C236" t="str">
            <v xml:space="preserve">An. Praktis  1 M' Pekerjaan Cor Ringbalk 15/20 </v>
          </cell>
        </row>
        <row r="237">
          <cell r="C237" t="str">
            <v>Cor Beton 1:2:3</v>
          </cell>
        </row>
        <row r="238">
          <cell r="C238" t="str">
            <v>Bekisting</v>
          </cell>
        </row>
        <row r="239">
          <cell r="C239" t="str">
            <v>Besi Beton</v>
          </cell>
        </row>
        <row r="242">
          <cell r="C242" t="str">
            <v>PEKERJAAN PASANG LANTAI DAN DINDING KERAMIK</v>
          </cell>
        </row>
        <row r="243">
          <cell r="C243" t="str">
            <v>An. SNI 6.50  1 M2 Pasang Lantai Keramik 30 x 30 Cm</v>
          </cell>
        </row>
        <row r="244">
          <cell r="C244" t="str">
            <v>Portland Cement</v>
          </cell>
        </row>
        <row r="245">
          <cell r="C245" t="str">
            <v>Pasir pasang</v>
          </cell>
        </row>
        <row r="246">
          <cell r="C246" t="str">
            <v>Tegel  Keramik 30 x 30 Cm</v>
          </cell>
        </row>
        <row r="247">
          <cell r="C247" t="str">
            <v>Semen Warna</v>
          </cell>
        </row>
        <row r="248">
          <cell r="C248" t="str">
            <v>Pekerja</v>
          </cell>
        </row>
        <row r="249">
          <cell r="C249" t="str">
            <v>Tukang Batu</v>
          </cell>
        </row>
        <row r="250">
          <cell r="C250" t="str">
            <v>Kepala Tukang</v>
          </cell>
        </row>
        <row r="251">
          <cell r="C251" t="str">
            <v>Mandor</v>
          </cell>
        </row>
        <row r="252">
          <cell r="L252">
            <v>118826.90909090909</v>
          </cell>
        </row>
        <row r="253">
          <cell r="C253" t="str">
            <v>An. 6.68.a  1 M2 Pasang dinding keramik  20 x 25 Cm</v>
          </cell>
        </row>
        <row r="254">
          <cell r="C254" t="str">
            <v>Portland Cement</v>
          </cell>
        </row>
        <row r="255">
          <cell r="C255" t="str">
            <v>Pasir Pasang</v>
          </cell>
        </row>
        <row r="256">
          <cell r="C256" t="str">
            <v>Tegel Keramik 20 x 25 Cm</v>
          </cell>
        </row>
        <row r="257">
          <cell r="C257" t="str">
            <v>Semen Warna</v>
          </cell>
        </row>
        <row r="258">
          <cell r="C258" t="str">
            <v>Pekerja</v>
          </cell>
        </row>
        <row r="259">
          <cell r="C259" t="str">
            <v>Tukang Batu</v>
          </cell>
        </row>
        <row r="260">
          <cell r="C260" t="str">
            <v>Kepala Tukang</v>
          </cell>
        </row>
        <row r="261">
          <cell r="C261" t="str">
            <v>Mandor</v>
          </cell>
        </row>
        <row r="262">
          <cell r="L262">
            <v>132500.18181818182</v>
          </cell>
        </row>
        <row r="263">
          <cell r="C263" t="str">
            <v>An. SNI 6.44 1 M2 Pasang Lantai Keramik 20 x 20 Cm</v>
          </cell>
        </row>
        <row r="264">
          <cell r="C264" t="str">
            <v>Portland Cement</v>
          </cell>
        </row>
        <row r="265">
          <cell r="C265" t="str">
            <v>Pasir Pasang</v>
          </cell>
        </row>
        <row r="266">
          <cell r="C266" t="str">
            <v>Ubin Keramik 20 x 20 Cm</v>
          </cell>
        </row>
        <row r="267">
          <cell r="C267" t="str">
            <v>Semen Warna</v>
          </cell>
        </row>
        <row r="268">
          <cell r="C268" t="str">
            <v>Pekerja</v>
          </cell>
        </row>
        <row r="269">
          <cell r="C269" t="str">
            <v>Tukang Batu</v>
          </cell>
        </row>
        <row r="270">
          <cell r="C270" t="str">
            <v>Kepala Tukang</v>
          </cell>
        </row>
        <row r="271">
          <cell r="C271" t="str">
            <v>Mandor</v>
          </cell>
        </row>
        <row r="272">
          <cell r="L272">
            <v>174297.2</v>
          </cell>
        </row>
        <row r="273">
          <cell r="C273" t="str">
            <v>An. SNI 6.9  1 M2 Pekerjaan Pasang Lantai Keramik 40 x 40 Cm</v>
          </cell>
        </row>
        <row r="274">
          <cell r="C274" t="str">
            <v>Portland Cement</v>
          </cell>
        </row>
        <row r="275">
          <cell r="C275" t="str">
            <v>Pasir Pasangan</v>
          </cell>
        </row>
        <row r="276">
          <cell r="C276" t="str">
            <v>Ubin Keramik 40 x 40 Cm</v>
          </cell>
        </row>
        <row r="277">
          <cell r="C277" t="str">
            <v>Semen Warna</v>
          </cell>
        </row>
        <row r="278">
          <cell r="C278" t="str">
            <v>Pekerja</v>
          </cell>
        </row>
        <row r="279">
          <cell r="C279" t="str">
            <v>Tukang Batu</v>
          </cell>
        </row>
        <row r="280">
          <cell r="C280" t="str">
            <v>Kepala Tukang</v>
          </cell>
        </row>
        <row r="281">
          <cell r="C281" t="str">
            <v>Mandor</v>
          </cell>
        </row>
        <row r="282">
          <cell r="L282">
            <v>49542</v>
          </cell>
        </row>
        <row r="283">
          <cell r="C283" t="str">
            <v>An. SNI 6.24   1 M' Pekerjaan Pasang Keramik Plint 10 x 40 Cm</v>
          </cell>
        </row>
        <row r="284">
          <cell r="C284" t="str">
            <v>Portland Cement</v>
          </cell>
        </row>
        <row r="285">
          <cell r="C285" t="str">
            <v>Pasir pasangan</v>
          </cell>
        </row>
        <row r="286">
          <cell r="C286" t="str">
            <v>Ubin Keramik 10 x 40 Cm</v>
          </cell>
        </row>
        <row r="287">
          <cell r="C287" t="str">
            <v>Semen Warna</v>
          </cell>
        </row>
        <row r="288">
          <cell r="C288" t="str">
            <v>Pekerja</v>
          </cell>
        </row>
        <row r="289">
          <cell r="C289" t="str">
            <v>Tukang Batu</v>
          </cell>
        </row>
        <row r="290">
          <cell r="C290" t="str">
            <v>Kepala Tukang</v>
          </cell>
        </row>
        <row r="291">
          <cell r="C291" t="str">
            <v>Mandor</v>
          </cell>
        </row>
        <row r="292">
          <cell r="L292">
            <v>10177.722222222223</v>
          </cell>
        </row>
        <row r="293">
          <cell r="C293" t="str">
            <v>An. SNI 6.25   1 M' Pekerjaan Pasang Keramik Plint 10 x 30 Cm</v>
          </cell>
        </row>
        <row r="294">
          <cell r="C294" t="str">
            <v>Portland Cement</v>
          </cell>
        </row>
        <row r="295">
          <cell r="C295" t="str">
            <v>Pasir pasangan</v>
          </cell>
        </row>
        <row r="296">
          <cell r="C296" t="str">
            <v>Ubin Keramik 10 x 30 Cm</v>
          </cell>
        </row>
        <row r="297">
          <cell r="C297" t="str">
            <v>Semen Warna</v>
          </cell>
        </row>
        <row r="298">
          <cell r="C298" t="str">
            <v>Pekerja</v>
          </cell>
        </row>
        <row r="299">
          <cell r="C299" t="str">
            <v>Tukang Batu</v>
          </cell>
        </row>
        <row r="300">
          <cell r="C300" t="str">
            <v>Kepala Tukang</v>
          </cell>
        </row>
        <row r="301">
          <cell r="C301" t="str">
            <v>Mandor</v>
          </cell>
        </row>
        <row r="302">
          <cell r="L302" t="e">
            <v>#REF!</v>
          </cell>
        </row>
        <row r="304">
          <cell r="C304" t="str">
            <v xml:space="preserve">An. SNI 6.19  1 M' Pasang plint keramik  10 x 20 cm </v>
          </cell>
        </row>
        <row r="305">
          <cell r="C305" t="str">
            <v>Portland Cement</v>
          </cell>
        </row>
        <row r="306">
          <cell r="C306" t="str">
            <v>Pasir pasang</v>
          </cell>
        </row>
        <row r="307">
          <cell r="C307" t="str">
            <v xml:space="preserve">Plint Keramik </v>
          </cell>
        </row>
        <row r="308">
          <cell r="C308" t="str">
            <v>Semen Warna</v>
          </cell>
        </row>
        <row r="309">
          <cell r="C309" t="str">
            <v>Pekerja</v>
          </cell>
        </row>
        <row r="310">
          <cell r="C310" t="str">
            <v>Tukang Batu</v>
          </cell>
        </row>
        <row r="311">
          <cell r="C311" t="str">
            <v>Kepala Tukang</v>
          </cell>
        </row>
        <row r="312">
          <cell r="C312" t="str">
            <v>Mandor</v>
          </cell>
        </row>
        <row r="313">
          <cell r="L313">
            <v>30233</v>
          </cell>
        </row>
        <row r="315">
          <cell r="C315" t="str">
            <v>PEKERJAAN KONSTRUKSI KAYU, ATAP DAN KACA</v>
          </cell>
        </row>
        <row r="316">
          <cell r="C316" t="str">
            <v xml:space="preserve">An. SNI 6.28  1 m3 Pek. Pasang Kuda-kuda + Gording </v>
          </cell>
        </row>
        <row r="317">
          <cell r="C317" t="str">
            <v>Kayu balok</v>
          </cell>
        </row>
        <row r="318">
          <cell r="C318" t="str">
            <v>Besi strip/bout</v>
          </cell>
        </row>
        <row r="319">
          <cell r="C319" t="str">
            <v>Paku Biasa</v>
          </cell>
        </row>
        <row r="320">
          <cell r="C320" t="str">
            <v>Pekerja</v>
          </cell>
        </row>
        <row r="321">
          <cell r="C321" t="str">
            <v>Tukang Kayu</v>
          </cell>
        </row>
        <row r="322">
          <cell r="C322" t="str">
            <v>Kepala Tukang</v>
          </cell>
        </row>
        <row r="323">
          <cell r="C323" t="str">
            <v>Mandor</v>
          </cell>
        </row>
        <row r="324">
          <cell r="L324">
            <v>2369500</v>
          </cell>
        </row>
        <row r="325">
          <cell r="C325" t="str">
            <v>An. SNI 6.51   1 M' Pek.  Pasang Lisplank Ukuran 2 x ( 3 x 20 ) cm</v>
          </cell>
        </row>
        <row r="326">
          <cell r="C326" t="str">
            <v>Kayu papan</v>
          </cell>
        </row>
        <row r="327">
          <cell r="C327" t="str">
            <v>Paku Biasa</v>
          </cell>
        </row>
        <row r="328">
          <cell r="C328" t="str">
            <v>Pekerja</v>
          </cell>
        </row>
        <row r="329">
          <cell r="C329" t="str">
            <v>Tukang Kayu</v>
          </cell>
        </row>
        <row r="330">
          <cell r="C330" t="str">
            <v>Kepala Tukang</v>
          </cell>
        </row>
        <row r="331">
          <cell r="C331" t="str">
            <v>Mandor</v>
          </cell>
        </row>
        <row r="332">
          <cell r="L332">
            <v>32875</v>
          </cell>
        </row>
        <row r="333">
          <cell r="C333" t="str">
            <v xml:space="preserve">An. SNI 6.34  1 M2 Pek. Pasang Kaso + Reng  Kayu </v>
          </cell>
        </row>
        <row r="334">
          <cell r="C334" t="str">
            <v>Kayu balok</v>
          </cell>
        </row>
        <row r="335">
          <cell r="C335" t="str">
            <v>Paku Biasa</v>
          </cell>
        </row>
        <row r="336">
          <cell r="C336" t="str">
            <v>Pekerja</v>
          </cell>
        </row>
        <row r="337">
          <cell r="C337" t="str">
            <v>Tukang Kayu</v>
          </cell>
        </row>
        <row r="338">
          <cell r="C338" t="str">
            <v>Kepala Tukang</v>
          </cell>
        </row>
        <row r="339">
          <cell r="C339" t="str">
            <v>Mandor</v>
          </cell>
        </row>
        <row r="340">
          <cell r="L340">
            <v>25000</v>
          </cell>
        </row>
        <row r="341">
          <cell r="C341" t="str">
            <v>An. SNI 6.32  1 M2 Pasang atap genteng metal</v>
          </cell>
        </row>
        <row r="342">
          <cell r="C342" t="str">
            <v>Genteng metal</v>
          </cell>
        </row>
        <row r="343">
          <cell r="C343" t="str">
            <v>Paku Genteng Metal</v>
          </cell>
        </row>
        <row r="344">
          <cell r="C344" t="str">
            <v>Pekerja</v>
          </cell>
        </row>
        <row r="345">
          <cell r="C345" t="str">
            <v>Tukang Kayu</v>
          </cell>
        </row>
        <row r="346">
          <cell r="C346" t="str">
            <v>Kepala Tukang</v>
          </cell>
        </row>
        <row r="347">
          <cell r="C347" t="str">
            <v>Mandor</v>
          </cell>
        </row>
        <row r="350">
          <cell r="C350" t="str">
            <v xml:space="preserve">An. SNI 6.36 1 M' Pasang nok genteng Metal </v>
          </cell>
        </row>
        <row r="351">
          <cell r="C351" t="str">
            <v>Genteng metal Nok</v>
          </cell>
        </row>
        <row r="352">
          <cell r="C352" t="str">
            <v>Paku Genteng Metal</v>
          </cell>
        </row>
        <row r="353">
          <cell r="C353" t="str">
            <v>Pekerja</v>
          </cell>
        </row>
        <row r="354">
          <cell r="C354" t="str">
            <v>Tukang Kayu</v>
          </cell>
        </row>
        <row r="355">
          <cell r="C355" t="str">
            <v>Kepala Tukang</v>
          </cell>
        </row>
        <row r="356">
          <cell r="C356" t="str">
            <v>Mandor</v>
          </cell>
        </row>
        <row r="357">
          <cell r="L357">
            <v>45851.25</v>
          </cell>
        </row>
        <row r="358">
          <cell r="C358" t="str">
            <v>An. SNI 6.38  1 M' Pekerjaan Pasang Atap Seng Gelombang</v>
          </cell>
        </row>
        <row r="359">
          <cell r="C359" t="str">
            <v>Seng Gelombang</v>
          </cell>
        </row>
        <row r="360">
          <cell r="C360" t="str">
            <v>Paku Seng</v>
          </cell>
        </row>
        <row r="361">
          <cell r="C361" t="str">
            <v>Pekerja</v>
          </cell>
        </row>
        <row r="362">
          <cell r="C362" t="str">
            <v>Tukang Kayu</v>
          </cell>
        </row>
        <row r="363">
          <cell r="C363" t="str">
            <v>Kepala Tukang</v>
          </cell>
        </row>
        <row r="364">
          <cell r="C364" t="str">
            <v>Mandor</v>
          </cell>
        </row>
        <row r="365">
          <cell r="L365">
            <v>35580</v>
          </cell>
        </row>
        <row r="366">
          <cell r="C366" t="str">
            <v>An. SNI 6.39  1 M' Pekerjaan Pasang Nok Atap Seng</v>
          </cell>
        </row>
        <row r="367">
          <cell r="C367" t="str">
            <v>Seng Plat</v>
          </cell>
        </row>
        <row r="368">
          <cell r="C368" t="str">
            <v>Paku Biasa</v>
          </cell>
        </row>
        <row r="369">
          <cell r="C369" t="str">
            <v>Pekerja</v>
          </cell>
        </row>
        <row r="370">
          <cell r="C370" t="str">
            <v>Tukang Kayu</v>
          </cell>
        </row>
        <row r="371">
          <cell r="C371" t="str">
            <v>Kepala Tukang</v>
          </cell>
        </row>
        <row r="372">
          <cell r="C372" t="str">
            <v>Mandor</v>
          </cell>
        </row>
        <row r="373">
          <cell r="L373">
            <v>20340</v>
          </cell>
        </row>
        <row r="374">
          <cell r="C374" t="str">
            <v>An. SNI 6.38  1 M2 Pekerjaan Pasang Atap Seng Gelombang</v>
          </cell>
        </row>
        <row r="375">
          <cell r="C375" t="str">
            <v>Seng Gelombang</v>
          </cell>
        </row>
        <row r="376">
          <cell r="C376" t="str">
            <v>Paku Seng</v>
          </cell>
        </row>
        <row r="377">
          <cell r="C377" t="str">
            <v>Pekerja</v>
          </cell>
        </row>
        <row r="378">
          <cell r="C378" t="str">
            <v>Tukang Kayu</v>
          </cell>
        </row>
        <row r="379">
          <cell r="C379" t="str">
            <v>Kepala Tukang</v>
          </cell>
        </row>
        <row r="380">
          <cell r="C380" t="str">
            <v>Mandor</v>
          </cell>
        </row>
        <row r="382">
          <cell r="C382" t="str">
            <v xml:space="preserve">An. SNI 6.39  1 M' Pekerjaan Pasang Nok Atap Seng </v>
          </cell>
        </row>
        <row r="383">
          <cell r="C383" t="str">
            <v>Seng Plat</v>
          </cell>
        </row>
        <row r="384">
          <cell r="C384" t="str">
            <v>Paku Biasa</v>
          </cell>
        </row>
        <row r="385">
          <cell r="C385" t="str">
            <v>Pekerja</v>
          </cell>
        </row>
        <row r="386">
          <cell r="C386" t="str">
            <v>Tukang Kayu</v>
          </cell>
        </row>
        <row r="387">
          <cell r="C387" t="str">
            <v>Kepala Tukang</v>
          </cell>
        </row>
        <row r="388">
          <cell r="C388" t="str">
            <v>Mandor</v>
          </cell>
        </row>
        <row r="390">
          <cell r="C390" t="str">
            <v>An. SPL  1 M' Pekerjaan Talang  Air  Seng</v>
          </cell>
        </row>
        <row r="391">
          <cell r="C391" t="str">
            <v>Seng Plat</v>
          </cell>
        </row>
        <row r="392">
          <cell r="C392" t="str">
            <v>Paku Biasa</v>
          </cell>
        </row>
        <row r="393">
          <cell r="C393" t="str">
            <v>Papan 2x20 Cm</v>
          </cell>
        </row>
        <row r="394">
          <cell r="C394" t="str">
            <v>Pekerja</v>
          </cell>
        </row>
        <row r="395">
          <cell r="C395" t="str">
            <v>Tukang Kayu</v>
          </cell>
        </row>
        <row r="396">
          <cell r="C396" t="str">
            <v>Kepala Tukang</v>
          </cell>
        </row>
        <row r="397">
          <cell r="C397" t="str">
            <v>Mandor</v>
          </cell>
        </row>
        <row r="398">
          <cell r="L398">
            <v>50555</v>
          </cell>
        </row>
        <row r="399">
          <cell r="C399" t="str">
            <v>An. SNI 6.45  1 M2 Pasang Rangka Plafond Gypsum</v>
          </cell>
        </row>
        <row r="400">
          <cell r="C400" t="str">
            <v>Kayu balok</v>
          </cell>
        </row>
        <row r="401">
          <cell r="C401" t="str">
            <v>Paku Biasa</v>
          </cell>
        </row>
        <row r="402">
          <cell r="C402" t="str">
            <v>Pekerja</v>
          </cell>
        </row>
        <row r="403">
          <cell r="C403" t="str">
            <v>Tukang Kayu</v>
          </cell>
        </row>
        <row r="404">
          <cell r="C404" t="str">
            <v>Kepala Tukang</v>
          </cell>
        </row>
        <row r="405">
          <cell r="C405" t="str">
            <v>Mandor</v>
          </cell>
        </row>
        <row r="406">
          <cell r="L406">
            <v>53975</v>
          </cell>
        </row>
        <row r="407">
          <cell r="C407" t="str">
            <v xml:space="preserve">An SNI 6.24 1 M2 Pek. Pasang Plafond Gypsum </v>
          </cell>
        </row>
        <row r="408">
          <cell r="C408" t="str">
            <v>Gipsum</v>
          </cell>
        </row>
        <row r="409">
          <cell r="C409" t="str">
            <v>Paku Gipsum</v>
          </cell>
        </row>
        <row r="410">
          <cell r="C410" t="str">
            <v>Pekerja</v>
          </cell>
        </row>
        <row r="411">
          <cell r="C411" t="str">
            <v>Tukang Kayu</v>
          </cell>
        </row>
        <row r="412">
          <cell r="C412" t="str">
            <v>Kepala Tukang</v>
          </cell>
        </row>
        <row r="413">
          <cell r="C413" t="str">
            <v>Mandor</v>
          </cell>
        </row>
        <row r="415">
          <cell r="C415" t="str">
            <v>Jadi untuk 1 M2 Pek. Pasang Rangka + Plafond Gipsum =</v>
          </cell>
          <cell r="L415">
            <v>79375</v>
          </cell>
        </row>
        <row r="416">
          <cell r="C416" t="str">
            <v xml:space="preserve">An. SNI 6.13  1 M2 Pekerjaan Penutup Plafond Tripleks </v>
          </cell>
        </row>
        <row r="417">
          <cell r="C417" t="str">
            <v>Tripleks</v>
          </cell>
        </row>
        <row r="418">
          <cell r="C418" t="str">
            <v>Paku Tripleks</v>
          </cell>
        </row>
        <row r="419">
          <cell r="C419" t="str">
            <v>Pekerja</v>
          </cell>
        </row>
        <row r="420">
          <cell r="C420" t="str">
            <v>Tukang Kayu</v>
          </cell>
        </row>
        <row r="421">
          <cell r="C421" t="str">
            <v>Kepala Tukang Kayu</v>
          </cell>
        </row>
        <row r="422">
          <cell r="C422" t="str">
            <v>Mandor</v>
          </cell>
        </row>
        <row r="424">
          <cell r="C424" t="str">
            <v>Jadi untuk 1 M2 Pek. Pasang Rangka + Plafond Tripleks =</v>
          </cell>
          <cell r="L424">
            <v>74882.5</v>
          </cell>
        </row>
        <row r="426">
          <cell r="C426" t="str">
            <v>An. SNI 6.16  1 M2 Pekerjaan Penutup Plafond Kayu Papan</v>
          </cell>
        </row>
        <row r="427">
          <cell r="C427" t="str">
            <v>Papan Kayu Kelas II</v>
          </cell>
        </row>
        <row r="428">
          <cell r="C428" t="str">
            <v>Paku Biasa</v>
          </cell>
        </row>
        <row r="429">
          <cell r="C429" t="str">
            <v>Paku Skrup</v>
          </cell>
        </row>
        <row r="430">
          <cell r="C430" t="str">
            <v>Pekerja</v>
          </cell>
        </row>
        <row r="431">
          <cell r="C431" t="str">
            <v>Tukang Kayu</v>
          </cell>
        </row>
        <row r="432">
          <cell r="C432" t="str">
            <v>Kepala Tukang Kayu</v>
          </cell>
        </row>
        <row r="433">
          <cell r="C433" t="str">
            <v>Mandor</v>
          </cell>
        </row>
        <row r="435">
          <cell r="C435" t="str">
            <v>Jadi untuk 1 M2 Pek. Pasang Rangka + Plafond Papan =</v>
          </cell>
          <cell r="L435">
            <v>105625</v>
          </cell>
        </row>
        <row r="438">
          <cell r="C438" t="str">
            <v>An. SNI 6.19  1 m' Pekerjaan List Plafond Gipsum</v>
          </cell>
        </row>
        <row r="439">
          <cell r="C439" t="str">
            <v>List Profil</v>
          </cell>
        </row>
        <row r="440">
          <cell r="C440" t="str">
            <v>Paku Biasa</v>
          </cell>
        </row>
        <row r="441">
          <cell r="C441" t="str">
            <v>Pekerja</v>
          </cell>
        </row>
        <row r="442">
          <cell r="C442" t="str">
            <v>Tukang Kayu</v>
          </cell>
        </row>
        <row r="443">
          <cell r="C443" t="str">
            <v xml:space="preserve">Kepala Tukang </v>
          </cell>
        </row>
        <row r="444">
          <cell r="C444" t="str">
            <v>Mandor</v>
          </cell>
        </row>
        <row r="445">
          <cell r="L445">
            <v>17240</v>
          </cell>
        </row>
        <row r="446">
          <cell r="C446" t="str">
            <v>An. SNI 6.19  1 m' Pekerjaan List Kayu Profil</v>
          </cell>
        </row>
        <row r="447">
          <cell r="C447" t="str">
            <v>List Profil</v>
          </cell>
        </row>
        <row r="448">
          <cell r="C448" t="str">
            <v>Paku Biasa</v>
          </cell>
        </row>
        <row r="449">
          <cell r="C449" t="str">
            <v>Pekerja</v>
          </cell>
        </row>
        <row r="450">
          <cell r="C450" t="str">
            <v>Tukang Kayu</v>
          </cell>
        </row>
        <row r="451">
          <cell r="C451" t="str">
            <v xml:space="preserve">Kepala Tukang </v>
          </cell>
        </row>
        <row r="452">
          <cell r="C452" t="str">
            <v>Mandor</v>
          </cell>
        </row>
        <row r="454">
          <cell r="C454" t="str">
            <v>An. SNI 6.2   1 M 3 Pasang Kusen Pintu dan Jendela, Ventilasi dan Kisi-kisi</v>
          </cell>
        </row>
        <row r="455">
          <cell r="C455" t="str">
            <v>Kayu balok</v>
          </cell>
        </row>
        <row r="456">
          <cell r="C456" t="str">
            <v>Pekerja</v>
          </cell>
        </row>
        <row r="457">
          <cell r="C457" t="str">
            <v>Tukang Kayu</v>
          </cell>
        </row>
        <row r="458">
          <cell r="C458" t="str">
            <v>Kepala Tukang</v>
          </cell>
        </row>
        <row r="459">
          <cell r="C459" t="str">
            <v>Mandor</v>
          </cell>
        </row>
        <row r="460">
          <cell r="L460">
            <v>2181000</v>
          </cell>
        </row>
        <row r="461">
          <cell r="C461" t="str">
            <v>An. SNI 6.8a.  1 M2 Pasang  Pintu  Panel</v>
          </cell>
        </row>
        <row r="462">
          <cell r="C462" t="str">
            <v>Kayu papan</v>
          </cell>
        </row>
        <row r="463">
          <cell r="C463" t="str">
            <v>Pekerja</v>
          </cell>
        </row>
        <row r="464">
          <cell r="C464" t="str">
            <v>Tukang Kayu</v>
          </cell>
        </row>
        <row r="465">
          <cell r="C465" t="str">
            <v>Kepala Tukang</v>
          </cell>
        </row>
        <row r="466">
          <cell r="C466" t="str">
            <v>Mandor</v>
          </cell>
        </row>
        <row r="467">
          <cell r="L467">
            <v>162000</v>
          </cell>
        </row>
        <row r="468">
          <cell r="C468" t="str">
            <v>An. SNI 6.8b.   1 M2 Pasang  Pintu  Teakwood + Tripleks Aluminium KM/WC</v>
          </cell>
        </row>
        <row r="469">
          <cell r="C469" t="str">
            <v>Kayu balok</v>
          </cell>
        </row>
        <row r="470">
          <cell r="C470" t="str">
            <v>Teakwood 3 mm</v>
          </cell>
        </row>
        <row r="471">
          <cell r="C471" t="str">
            <v xml:space="preserve">Aluminium Kulit Jeruk </v>
          </cell>
        </row>
        <row r="472">
          <cell r="C472" t="str">
            <v>Paku Biasa</v>
          </cell>
        </row>
        <row r="473">
          <cell r="C473" t="str">
            <v>Lem Kayu</v>
          </cell>
        </row>
        <row r="474">
          <cell r="C474" t="str">
            <v>Pekerja</v>
          </cell>
        </row>
        <row r="475">
          <cell r="C475" t="str">
            <v>Tukang Kayu</v>
          </cell>
        </row>
        <row r="476">
          <cell r="C476" t="str">
            <v>Kepala Tukang</v>
          </cell>
        </row>
        <row r="477">
          <cell r="C477" t="str">
            <v>Mandor</v>
          </cell>
        </row>
        <row r="478">
          <cell r="L478">
            <v>338590</v>
          </cell>
        </row>
        <row r="479">
          <cell r="C479" t="str">
            <v>An. SNI 6.20   1 M2 Pasang  Pintu  Teakwood Rangkap</v>
          </cell>
        </row>
        <row r="480">
          <cell r="C480" t="str">
            <v>Kayu Klas II</v>
          </cell>
        </row>
        <row r="481">
          <cell r="C481" t="str">
            <v>Paku Biasa</v>
          </cell>
        </row>
        <row r="482">
          <cell r="C482" t="str">
            <v>Teakwood</v>
          </cell>
        </row>
        <row r="483">
          <cell r="C483" t="str">
            <v>Pekerja</v>
          </cell>
        </row>
        <row r="484">
          <cell r="C484" t="str">
            <v>Tukang Kayu</v>
          </cell>
        </row>
        <row r="485">
          <cell r="C485" t="str">
            <v>Kepala Tukang</v>
          </cell>
        </row>
        <row r="486">
          <cell r="C486" t="str">
            <v>Mandor</v>
          </cell>
        </row>
        <row r="487">
          <cell r="L487" t="e">
            <v>#REF!</v>
          </cell>
        </row>
        <row r="488">
          <cell r="C488" t="str">
            <v>An. SNI 6.24   1 M2 Pasang  Pintu  Teakwood + Aluminium Kulit Jeruk</v>
          </cell>
        </row>
        <row r="489">
          <cell r="C489" t="str">
            <v>Kayu Klas II</v>
          </cell>
        </row>
        <row r="490">
          <cell r="C490" t="str">
            <v>Paku Biasa</v>
          </cell>
        </row>
        <row r="491">
          <cell r="C491" t="str">
            <v>Teakwood</v>
          </cell>
        </row>
        <row r="492">
          <cell r="C492" t="str">
            <v>Aluminium Kulit Jeruk</v>
          </cell>
        </row>
        <row r="493">
          <cell r="C493" t="str">
            <v>Pekerja</v>
          </cell>
        </row>
        <row r="494">
          <cell r="C494" t="str">
            <v>Tukang Kayu</v>
          </cell>
        </row>
        <row r="495">
          <cell r="C495" t="str">
            <v>Kepala Tukang</v>
          </cell>
        </row>
        <row r="496">
          <cell r="C496" t="str">
            <v>Mandor</v>
          </cell>
        </row>
        <row r="497">
          <cell r="L497" t="e">
            <v>#REF!</v>
          </cell>
        </row>
        <row r="498">
          <cell r="C498" t="str">
            <v>An. SNI 6.13   1 M2 Pasang  Pintu  dan Jendela Jalusi</v>
          </cell>
        </row>
        <row r="499">
          <cell r="C499" t="str">
            <v xml:space="preserve">Kayu Klas I </v>
          </cell>
        </row>
        <row r="500">
          <cell r="C500" t="str">
            <v>Pekerja</v>
          </cell>
        </row>
        <row r="501">
          <cell r="C501" t="str">
            <v>Tukang Kayu</v>
          </cell>
        </row>
        <row r="502">
          <cell r="C502" t="str">
            <v>Kepala Tukang</v>
          </cell>
        </row>
        <row r="503">
          <cell r="C503" t="str">
            <v>Mandor</v>
          </cell>
        </row>
        <row r="504">
          <cell r="L504">
            <v>213600</v>
          </cell>
        </row>
        <row r="505">
          <cell r="C505" t="str">
            <v>An. SNI 6.17  1 M2 Pasang  Jalusi</v>
          </cell>
        </row>
        <row r="506">
          <cell r="C506" t="str">
            <v>Kayu, papan</v>
          </cell>
        </row>
        <row r="507">
          <cell r="C507" t="str">
            <v xml:space="preserve">Paku Biasa </v>
          </cell>
        </row>
        <row r="508">
          <cell r="C508" t="str">
            <v>Pekerja</v>
          </cell>
        </row>
        <row r="509">
          <cell r="C509" t="str">
            <v>Tukang Kayu</v>
          </cell>
        </row>
        <row r="510">
          <cell r="C510" t="str">
            <v>Kepala Tukang</v>
          </cell>
        </row>
        <row r="511">
          <cell r="C511" t="str">
            <v>Mandor</v>
          </cell>
        </row>
        <row r="513">
          <cell r="C513" t="str">
            <v>An. SNI 6.10   1 M2 Pasang  Pintu  dan Jendela Kaca</v>
          </cell>
        </row>
        <row r="514">
          <cell r="C514" t="str">
            <v xml:space="preserve">Kayu Klas I </v>
          </cell>
        </row>
        <row r="515">
          <cell r="C515" t="str">
            <v>Pekerja</v>
          </cell>
        </row>
        <row r="516">
          <cell r="C516" t="str">
            <v>Tukang Kayu</v>
          </cell>
        </row>
        <row r="517">
          <cell r="C517" t="str">
            <v>Kepala Tukang</v>
          </cell>
        </row>
        <row r="518">
          <cell r="C518" t="str">
            <v>Mandor</v>
          </cell>
        </row>
        <row r="520">
          <cell r="C520" t="str">
            <v>An. SNI 6.16   1 M2 Pasang  Kaca Bening Tebal 3 mm</v>
          </cell>
        </row>
        <row r="521">
          <cell r="C521" t="str">
            <v>Kaca Bening 3 mm</v>
          </cell>
        </row>
        <row r="522">
          <cell r="C522" t="str">
            <v>Pekerja</v>
          </cell>
        </row>
        <row r="523">
          <cell r="C523" t="str">
            <v>Tukang Kayu</v>
          </cell>
        </row>
        <row r="524">
          <cell r="C524" t="str">
            <v>Kepala Tukang</v>
          </cell>
        </row>
        <row r="525">
          <cell r="C525" t="str">
            <v>Mandor</v>
          </cell>
        </row>
        <row r="526">
          <cell r="L526">
            <v>67362.5</v>
          </cell>
        </row>
        <row r="527">
          <cell r="C527" t="str">
            <v>An. SNI 6.17a.   1 M2 Pasang  Kaca Bening Tebal 5 mm</v>
          </cell>
        </row>
        <row r="528">
          <cell r="C528" t="str">
            <v>Kaca Bening 5 mm</v>
          </cell>
        </row>
        <row r="529">
          <cell r="C529" t="str">
            <v>Pekerja</v>
          </cell>
        </row>
        <row r="530">
          <cell r="C530" t="str">
            <v>Tukang Kayu</v>
          </cell>
        </row>
        <row r="531">
          <cell r="C531" t="str">
            <v>Kepala Tukang</v>
          </cell>
        </row>
        <row r="532">
          <cell r="C532" t="str">
            <v>Mandor</v>
          </cell>
        </row>
        <row r="533">
          <cell r="L533">
            <v>92855</v>
          </cell>
        </row>
        <row r="534">
          <cell r="C534" t="str">
            <v>An. SNI 6.17b.  1 M2 Pasang  Kaca Rayben Tebal 5 mm</v>
          </cell>
        </row>
        <row r="535">
          <cell r="C535" t="str">
            <v>Kaca Rayben 5 mm</v>
          </cell>
        </row>
        <row r="536">
          <cell r="C536" t="str">
            <v>Pekerja</v>
          </cell>
        </row>
        <row r="537">
          <cell r="C537" t="str">
            <v>Tukang Kayu</v>
          </cell>
        </row>
        <row r="538">
          <cell r="C538" t="str">
            <v>Kepala Tukang</v>
          </cell>
        </row>
        <row r="539">
          <cell r="C539" t="str">
            <v>Mandor</v>
          </cell>
        </row>
        <row r="541">
          <cell r="C541" t="str">
            <v>An. Praktis  1 m2 Pasang Jendela Bingkai Kaca  5 mm</v>
          </cell>
        </row>
        <row r="542">
          <cell r="C542" t="str">
            <v>Anl. Pasang Rangka Kaca</v>
          </cell>
        </row>
        <row r="543">
          <cell r="C543" t="str">
            <v>Kaca Reyben 5 mm</v>
          </cell>
        </row>
        <row r="544">
          <cell r="L544">
            <v>225750</v>
          </cell>
        </row>
        <row r="545">
          <cell r="C545" t="str">
            <v>An. Praktis  1 m2 Pasang Bingkai Jendela Kaca Rayband 5 mm</v>
          </cell>
        </row>
        <row r="546">
          <cell r="C546" t="str">
            <v>Anl. Pasang Rangka Kaca</v>
          </cell>
        </row>
        <row r="547">
          <cell r="C547" t="str">
            <v>Kaca Rayband 5 mm</v>
          </cell>
        </row>
        <row r="548">
          <cell r="L548">
            <v>225750</v>
          </cell>
        </row>
        <row r="549">
          <cell r="C549" t="str">
            <v>An. Praktis 1 m2 Pasang Bingkai Jendela Kaca Bening 3 mm</v>
          </cell>
        </row>
        <row r="550">
          <cell r="C550" t="str">
            <v>Anl. Pasang Rangka Kaca</v>
          </cell>
        </row>
        <row r="551">
          <cell r="C551" t="str">
            <v>Kaca Bening 3 mm</v>
          </cell>
        </row>
        <row r="552">
          <cell r="L552">
            <v>175537.5</v>
          </cell>
        </row>
        <row r="553">
          <cell r="C553" t="str">
            <v>1 m2 Pasang Kaca Mati</v>
          </cell>
        </row>
        <row r="554">
          <cell r="C554" t="str">
            <v>Kayu Klas II</v>
          </cell>
        </row>
        <row r="555">
          <cell r="C555" t="str">
            <v>Paku Biasa</v>
          </cell>
        </row>
        <row r="556">
          <cell r="C556" t="str">
            <v>Pekerja</v>
          </cell>
        </row>
        <row r="557">
          <cell r="C557" t="str">
            <v>Tukang Kayu</v>
          </cell>
        </row>
        <row r="558">
          <cell r="C558" t="str">
            <v>Kepala Tukang</v>
          </cell>
        </row>
        <row r="559">
          <cell r="C559" t="str">
            <v>Mandor</v>
          </cell>
        </row>
        <row r="560">
          <cell r="L560">
            <v>11500</v>
          </cell>
        </row>
        <row r="561">
          <cell r="C561" t="str">
            <v>1 m2 Pasang  Kaca Mati Bening 5 mm</v>
          </cell>
        </row>
        <row r="562">
          <cell r="C562" t="str">
            <v>Analisa Pasang Kaca</v>
          </cell>
        </row>
        <row r="563">
          <cell r="C563" t="str">
            <v>Kaca Bening 5 mm</v>
          </cell>
        </row>
        <row r="564">
          <cell r="L564">
            <v>94518</v>
          </cell>
        </row>
        <row r="565">
          <cell r="C565" t="str">
            <v>1 m2 Pasang Kaca Mati Rayband 5 mm</v>
          </cell>
        </row>
        <row r="566">
          <cell r="C566" t="str">
            <v>Analisa Pasang Kaca</v>
          </cell>
        </row>
        <row r="567">
          <cell r="C567" t="str">
            <v>Kaca Rayband 5 mm</v>
          </cell>
        </row>
        <row r="568">
          <cell r="L568">
            <v>140044</v>
          </cell>
        </row>
        <row r="569">
          <cell r="C569" t="str">
            <v>1 m2 Pasang Kaca Mati Bening 3 mm</v>
          </cell>
        </row>
        <row r="570">
          <cell r="C570" t="str">
            <v>Analisa Pasang Kaca</v>
          </cell>
        </row>
        <row r="571">
          <cell r="C571" t="str">
            <v>Kaca Bening 3 mm</v>
          </cell>
        </row>
        <row r="572">
          <cell r="L572">
            <v>70416</v>
          </cell>
        </row>
        <row r="573">
          <cell r="C573" t="str">
            <v>1 m2 Pasang Kaca Bouventlight</v>
          </cell>
        </row>
        <row r="574">
          <cell r="C574" t="str">
            <v>Analisa Pasang Kaca</v>
          </cell>
        </row>
        <row r="575">
          <cell r="C575" t="str">
            <v>Kaca Bening 5 mm</v>
          </cell>
        </row>
        <row r="576">
          <cell r="C576" t="str">
            <v>Kaca Rayben 5 mm</v>
          </cell>
        </row>
        <row r="577">
          <cell r="L577">
            <v>123383.75</v>
          </cell>
        </row>
        <row r="579">
          <cell r="C579" t="str">
            <v>PEKERJAAN PENGECATAN</v>
          </cell>
        </row>
        <row r="580">
          <cell r="C580" t="str">
            <v xml:space="preserve">An. SNI 6.8  1 M2 Pekerjaan Pengecatan Kayu </v>
          </cell>
        </row>
        <row r="581">
          <cell r="C581" t="str">
            <v>Cat Meni</v>
          </cell>
        </row>
        <row r="582">
          <cell r="C582" t="str">
            <v xml:space="preserve">Plamir </v>
          </cell>
        </row>
        <row r="583">
          <cell r="C583" t="str">
            <v>Cat Dasar</v>
          </cell>
        </row>
        <row r="584">
          <cell r="C584" t="str">
            <v>Cat Penutup</v>
          </cell>
        </row>
        <row r="585">
          <cell r="C585" t="str">
            <v>Pekerja</v>
          </cell>
        </row>
        <row r="586">
          <cell r="C586" t="str">
            <v>Tukang Cat</v>
          </cell>
        </row>
        <row r="587">
          <cell r="C587" t="str">
            <v>Kepala Tukang Cat</v>
          </cell>
        </row>
        <row r="588">
          <cell r="C588" t="str">
            <v>Mandor</v>
          </cell>
        </row>
        <row r="589">
          <cell r="L589">
            <v>24065</v>
          </cell>
        </row>
        <row r="590">
          <cell r="C590" t="str">
            <v>An. SNI 6.14  1 M2 Pekerjaan Pengecatan Dinding Tembok/Plafond</v>
          </cell>
        </row>
        <row r="591">
          <cell r="C591" t="str">
            <v>Plamir</v>
          </cell>
        </row>
        <row r="592">
          <cell r="C592" t="str">
            <v>Cat Dasar</v>
          </cell>
        </row>
        <row r="593">
          <cell r="C593" t="str">
            <v>Cat penutup</v>
          </cell>
        </row>
        <row r="594">
          <cell r="C594" t="str">
            <v>Pekerja</v>
          </cell>
        </row>
        <row r="595">
          <cell r="C595" t="str">
            <v>Tukang Cat</v>
          </cell>
        </row>
        <row r="596">
          <cell r="C596" t="str">
            <v>Kepala Tukang Cat</v>
          </cell>
        </row>
        <row r="597">
          <cell r="C597" t="str">
            <v>Mandor</v>
          </cell>
        </row>
        <row r="598">
          <cell r="L598">
            <v>7804</v>
          </cell>
        </row>
        <row r="599">
          <cell r="C599" t="str">
            <v>An. SNI 6.8.a  1 M2 Pengecatan meni kayu</v>
          </cell>
        </row>
        <row r="600">
          <cell r="C600" t="str">
            <v>Cat meni</v>
          </cell>
        </row>
        <row r="601">
          <cell r="C601" t="str">
            <v xml:space="preserve">Plamir </v>
          </cell>
        </row>
        <row r="602">
          <cell r="C602" t="str">
            <v>Pekerja</v>
          </cell>
        </row>
        <row r="603">
          <cell r="C603" t="str">
            <v>Tukang Cat</v>
          </cell>
        </row>
        <row r="604">
          <cell r="C604" t="str">
            <v>Kepala Tukang Cat</v>
          </cell>
        </row>
        <row r="605">
          <cell r="C605" t="str">
            <v>Mandor</v>
          </cell>
        </row>
        <row r="606">
          <cell r="L606">
            <v>8015</v>
          </cell>
        </row>
        <row r="607">
          <cell r="C607" t="str">
            <v>An. SNI 6.12  1 M2 Residu Kuda-kuda Kap dan Gording</v>
          </cell>
        </row>
        <row r="608">
          <cell r="C608" t="str">
            <v>Teer Residu</v>
          </cell>
        </row>
        <row r="609">
          <cell r="C609" t="str">
            <v xml:space="preserve">Pekerja </v>
          </cell>
        </row>
        <row r="610">
          <cell r="C610" t="str">
            <v xml:space="preserve">Mandor </v>
          </cell>
        </row>
        <row r="611">
          <cell r="L611">
            <v>5351.6666666666661</v>
          </cell>
        </row>
        <row r="613">
          <cell r="C613" t="str">
            <v>PEKERJAAN SANITASI DAN ALAT PENGGANTUNG</v>
          </cell>
        </row>
        <row r="614">
          <cell r="C614" t="str">
            <v xml:space="preserve">An. Praktis 1 M' Pekerjaan Pasangan Saluran Air Hujan </v>
          </cell>
        </row>
        <row r="615">
          <cell r="C615" t="str">
            <v>Galian Tanah</v>
          </cell>
        </row>
        <row r="616">
          <cell r="C616" t="str">
            <v>Pasangan Batu Bata</v>
          </cell>
        </row>
        <row r="617">
          <cell r="C617" t="str">
            <v>Plesteran 1 : 3</v>
          </cell>
        </row>
        <row r="618">
          <cell r="C618" t="str">
            <v>Cor 1 : 3 : 5 T= 5 Cm</v>
          </cell>
        </row>
        <row r="619">
          <cell r="L619">
            <v>34994.300000000003</v>
          </cell>
        </row>
        <row r="620">
          <cell r="C620" t="str">
            <v xml:space="preserve">Anl  Praktis.   1 Buah Bak Kontrol </v>
          </cell>
        </row>
        <row r="621">
          <cell r="C621" t="str">
            <v>Galian Tanah</v>
          </cell>
        </row>
        <row r="622">
          <cell r="C622" t="str">
            <v>Pasangan Batu Bata</v>
          </cell>
        </row>
        <row r="623">
          <cell r="C623" t="str">
            <v>Plesteran 1 : 3</v>
          </cell>
        </row>
        <row r="624">
          <cell r="C624" t="str">
            <v>Hamparan Kerikil</v>
          </cell>
        </row>
        <row r="625">
          <cell r="L625">
            <v>45355.809000000001</v>
          </cell>
        </row>
        <row r="626">
          <cell r="C626" t="str">
            <v xml:space="preserve">An. SNI 1.16 Memasang 1 Buah Bak Kontrol Pas. Batu Bata Ukuran (30x30) Cm, </v>
          </cell>
        </row>
        <row r="627">
          <cell r="C627" t="str">
            <v>Batu Bata</v>
          </cell>
        </row>
        <row r="628">
          <cell r="C628" t="str">
            <v>Portland Cement</v>
          </cell>
        </row>
        <row r="629">
          <cell r="C629" t="str">
            <v>Pasir Pasangan</v>
          </cell>
        </row>
        <row r="630">
          <cell r="C630" t="str">
            <v>Batu Kerikil</v>
          </cell>
        </row>
        <row r="631">
          <cell r="C631" t="str">
            <v>Besi Beton</v>
          </cell>
        </row>
        <row r="632">
          <cell r="C632" t="str">
            <v>Pasir Beton</v>
          </cell>
        </row>
        <row r="633">
          <cell r="C633" t="str">
            <v>Pekerja</v>
          </cell>
        </row>
        <row r="634">
          <cell r="C634" t="str">
            <v>Tukang Batu</v>
          </cell>
        </row>
        <row r="635">
          <cell r="C635" t="str">
            <v>Kepala Tukang</v>
          </cell>
        </row>
        <row r="636">
          <cell r="C636" t="str">
            <v>Mandor</v>
          </cell>
        </row>
        <row r="637">
          <cell r="L637">
            <v>245415.53623206069</v>
          </cell>
        </row>
        <row r="638">
          <cell r="C638" t="str">
            <v>An. SNI 6.1  Memasangan 1 Buah Closet Duduk/monoblok</v>
          </cell>
        </row>
        <row r="639">
          <cell r="C639" t="str">
            <v>Kloset duduk/monoblok</v>
          </cell>
        </row>
        <row r="640">
          <cell r="C640" t="str">
            <v>Perlengkapannya</v>
          </cell>
        </row>
        <row r="641">
          <cell r="C641" t="str">
            <v>Pekerja</v>
          </cell>
        </row>
        <row r="642">
          <cell r="C642" t="str">
            <v>Tukang Batu</v>
          </cell>
        </row>
        <row r="643">
          <cell r="C643" t="str">
            <v>Kepala Tukang</v>
          </cell>
        </row>
        <row r="644">
          <cell r="C644" t="str">
            <v>Mandor</v>
          </cell>
        </row>
        <row r="646">
          <cell r="C646" t="str">
            <v>An. SNI 6.1b   Memasangan 1 Buah Closet Duduk Mono Block</v>
          </cell>
        </row>
        <row r="647">
          <cell r="C647" t="str">
            <v>Closet Duduk Mono Block</v>
          </cell>
        </row>
        <row r="648">
          <cell r="C648" t="str">
            <v>Perlengkapannya</v>
          </cell>
        </row>
        <row r="649">
          <cell r="C649" t="str">
            <v>Pekerja</v>
          </cell>
        </row>
        <row r="650">
          <cell r="C650" t="str">
            <v>Tukang Batu</v>
          </cell>
        </row>
        <row r="651">
          <cell r="C651" t="str">
            <v>Kepala Tukang</v>
          </cell>
        </row>
        <row r="652">
          <cell r="C652" t="str">
            <v>Mandor</v>
          </cell>
        </row>
        <row r="653">
          <cell r="L653">
            <v>2303430</v>
          </cell>
        </row>
        <row r="654">
          <cell r="C654" t="str">
            <v>An. SNI 6.5   Memasangan 1 Buah  Wastafel</v>
          </cell>
        </row>
        <row r="655">
          <cell r="C655" t="str">
            <v>Portland Cement</v>
          </cell>
        </row>
        <row r="656">
          <cell r="C656" t="str">
            <v>Pasir pasangan</v>
          </cell>
        </row>
        <row r="657">
          <cell r="C657" t="str">
            <v xml:space="preserve">Wastafel </v>
          </cell>
        </row>
        <row r="658">
          <cell r="C658" t="str">
            <v>Pekerja</v>
          </cell>
        </row>
        <row r="659">
          <cell r="C659" t="str">
            <v>Tukang Batu</v>
          </cell>
        </row>
        <row r="660">
          <cell r="C660" t="str">
            <v>Kepala Tukang</v>
          </cell>
        </row>
        <row r="661">
          <cell r="C661" t="str">
            <v>Mandor</v>
          </cell>
        </row>
        <row r="662">
          <cell r="L662">
            <v>1220590</v>
          </cell>
        </row>
        <row r="663">
          <cell r="C663" t="str">
            <v>An. SNI 6.36  Memasang 1 Buah  Floor Drain</v>
          </cell>
        </row>
        <row r="664">
          <cell r="C664" t="str">
            <v xml:space="preserve">Floor Drain </v>
          </cell>
        </row>
        <row r="665">
          <cell r="C665" t="str">
            <v>Pekerja</v>
          </cell>
        </row>
        <row r="666">
          <cell r="C666" t="str">
            <v>Tukang Batu</v>
          </cell>
        </row>
        <row r="667">
          <cell r="C667" t="str">
            <v>Kepala Tukang</v>
          </cell>
        </row>
        <row r="668">
          <cell r="C668" t="str">
            <v>Mandor</v>
          </cell>
        </row>
        <row r="669">
          <cell r="L669">
            <v>13770</v>
          </cell>
        </row>
        <row r="670">
          <cell r="C670" t="str">
            <v>An. SNI 6.35  Memasang 1 Buah  Kran Air</v>
          </cell>
        </row>
        <row r="671">
          <cell r="C671" t="str">
            <v>Kran Air</v>
          </cell>
        </row>
        <row r="672">
          <cell r="C672" t="str">
            <v>Seal Tape</v>
          </cell>
        </row>
        <row r="673">
          <cell r="C673" t="str">
            <v>Pekerja</v>
          </cell>
        </row>
        <row r="674">
          <cell r="C674" t="str">
            <v>Tukang Batu</v>
          </cell>
        </row>
        <row r="675">
          <cell r="C675" t="str">
            <v>Kepala Tukang</v>
          </cell>
        </row>
        <row r="676">
          <cell r="C676" t="str">
            <v>Mandor</v>
          </cell>
        </row>
        <row r="677">
          <cell r="L677">
            <v>21270</v>
          </cell>
        </row>
        <row r="678">
          <cell r="C678" t="str">
            <v>An. SNI   6.8  Memasang 1 Buah Bak Mandi Batu Bata Volume 0,3 M3</v>
          </cell>
        </row>
        <row r="679">
          <cell r="C679" t="str">
            <v>Portland Cement</v>
          </cell>
        </row>
        <row r="680">
          <cell r="C680" t="str">
            <v>Pasir pasangan</v>
          </cell>
        </row>
        <row r="681">
          <cell r="C681" t="str">
            <v>Batu bata</v>
          </cell>
        </row>
        <row r="682">
          <cell r="C682" t="str">
            <v>Semen Warna</v>
          </cell>
        </row>
        <row r="683">
          <cell r="C683" t="str">
            <v>Keramik 10 x 10 cm</v>
          </cell>
        </row>
        <row r="684">
          <cell r="C684" t="str">
            <v>Pekerja</v>
          </cell>
        </row>
        <row r="685">
          <cell r="C685" t="str">
            <v>Tukang Batu</v>
          </cell>
        </row>
        <row r="686">
          <cell r="C686" t="str">
            <v>kepala Tukang Batu</v>
          </cell>
        </row>
        <row r="687">
          <cell r="C687" t="str">
            <v>Mandor</v>
          </cell>
        </row>
        <row r="688">
          <cell r="L688">
            <v>865960</v>
          </cell>
        </row>
        <row r="689">
          <cell r="C689" t="str">
            <v>An. SNI   6.33  Memasang 1 Buah Bak Cuci Stenles Steel</v>
          </cell>
        </row>
        <row r="690">
          <cell r="C690" t="str">
            <v>Bak Cuci Stenles Steel</v>
          </cell>
        </row>
        <row r="691">
          <cell r="C691" t="str">
            <v>Pekerja</v>
          </cell>
        </row>
        <row r="692">
          <cell r="C692" t="str">
            <v>Tukang Batu</v>
          </cell>
        </row>
        <row r="693">
          <cell r="C693" t="str">
            <v>kepala Tukang Batu</v>
          </cell>
        </row>
        <row r="694">
          <cell r="C694" t="str">
            <v>Mandor</v>
          </cell>
        </row>
        <row r="696">
          <cell r="C696" t="str">
            <v>An. SNI 6.2  1 Buah Pasang Kunci Tanam Biasa 2 Slaag</v>
          </cell>
        </row>
        <row r="697">
          <cell r="C697" t="str">
            <v xml:space="preserve"> Kunci Pintu 2 slaag</v>
          </cell>
        </row>
        <row r="698">
          <cell r="C698" t="str">
            <v>Pekerja</v>
          </cell>
        </row>
        <row r="699">
          <cell r="C699" t="str">
            <v>Tukang Batu</v>
          </cell>
        </row>
        <row r="700">
          <cell r="C700" t="str">
            <v>kepala Tukang Batu</v>
          </cell>
        </row>
        <row r="701">
          <cell r="C701" t="str">
            <v>Mandor</v>
          </cell>
        </row>
        <row r="702">
          <cell r="L702">
            <v>100770</v>
          </cell>
        </row>
        <row r="703">
          <cell r="C703" t="str">
            <v>An. SNI 6.5 1 Pasang Pemasangan Engsel Pintu</v>
          </cell>
        </row>
        <row r="704">
          <cell r="C704" t="str">
            <v>Engsel Pintu</v>
          </cell>
        </row>
        <row r="705">
          <cell r="C705" t="str">
            <v xml:space="preserve">Pekerja </v>
          </cell>
        </row>
        <row r="706">
          <cell r="C706" t="str">
            <v>Tukang kayu</v>
          </cell>
        </row>
        <row r="707">
          <cell r="C707" t="str">
            <v>Kepala Tukang</v>
          </cell>
        </row>
        <row r="708">
          <cell r="C708" t="str">
            <v>Mandor</v>
          </cell>
        </row>
        <row r="709">
          <cell r="L709">
            <v>20452.5</v>
          </cell>
        </row>
        <row r="710">
          <cell r="C710" t="str">
            <v>An. SNI 6.6 1  Pasng Pemasangan Engsel Jendela</v>
          </cell>
        </row>
        <row r="711">
          <cell r="C711" t="str">
            <v>Engsel Jendela</v>
          </cell>
        </row>
        <row r="712">
          <cell r="C712" t="str">
            <v xml:space="preserve">Pekerja </v>
          </cell>
        </row>
        <row r="713">
          <cell r="C713" t="str">
            <v>Tukang kayu</v>
          </cell>
        </row>
        <row r="714">
          <cell r="C714" t="str">
            <v>Kepala Tukang</v>
          </cell>
        </row>
        <row r="715">
          <cell r="C715" t="str">
            <v>Mandor</v>
          </cell>
        </row>
        <row r="717">
          <cell r="C717" t="str">
            <v>1 Buah Pemasangan grendel Pintu/Jendela</v>
          </cell>
        </row>
        <row r="718">
          <cell r="C718" t="str">
            <v>Grendel</v>
          </cell>
        </row>
        <row r="719">
          <cell r="C719" t="str">
            <v xml:space="preserve">Pekerja </v>
          </cell>
        </row>
        <row r="720">
          <cell r="C720" t="str">
            <v>Tukang kayu</v>
          </cell>
        </row>
        <row r="721">
          <cell r="C721" t="str">
            <v>Kepala Tukang</v>
          </cell>
        </row>
        <row r="722">
          <cell r="C722" t="str">
            <v>Mandor</v>
          </cell>
        </row>
        <row r="723">
          <cell r="L723">
            <v>18420</v>
          </cell>
        </row>
        <row r="724">
          <cell r="C724" t="str">
            <v>1 Buah  Pemasangan Tarikan Jendela</v>
          </cell>
        </row>
        <row r="725">
          <cell r="C725" t="str">
            <v>TarikanJendela</v>
          </cell>
        </row>
        <row r="726">
          <cell r="C726" t="str">
            <v xml:space="preserve">Pekerja </v>
          </cell>
        </row>
        <row r="727">
          <cell r="C727" t="str">
            <v>Tukang kayu</v>
          </cell>
        </row>
        <row r="728">
          <cell r="C728" t="str">
            <v>Kepala Tukang</v>
          </cell>
        </row>
        <row r="729">
          <cell r="C729" t="str">
            <v>Mandor</v>
          </cell>
        </row>
        <row r="730">
          <cell r="L730">
            <v>10452.5</v>
          </cell>
        </row>
        <row r="731">
          <cell r="C731" t="str">
            <v>An. SNI 6.9  1 Pasang  Pemasangan Kait Angin</v>
          </cell>
        </row>
        <row r="732">
          <cell r="C732" t="str">
            <v>Hak Angin</v>
          </cell>
        </row>
        <row r="733">
          <cell r="C733" t="str">
            <v xml:space="preserve">Pekerja </v>
          </cell>
        </row>
        <row r="734">
          <cell r="C734" t="str">
            <v>Tukang kayu</v>
          </cell>
        </row>
        <row r="735">
          <cell r="C735" t="str">
            <v>Kepala Tukang</v>
          </cell>
        </row>
        <row r="736">
          <cell r="C736" t="str">
            <v>Mandor</v>
          </cell>
        </row>
        <row r="737">
          <cell r="L737">
            <v>17952.5</v>
          </cell>
        </row>
      </sheetData>
      <sheetData sheetId="3">
        <row r="6">
          <cell r="F6">
            <v>55000</v>
          </cell>
        </row>
        <row r="8">
          <cell r="F8">
            <v>55000</v>
          </cell>
        </row>
        <row r="9">
          <cell r="F9">
            <v>60000</v>
          </cell>
        </row>
        <row r="10">
          <cell r="F10">
            <v>940</v>
          </cell>
        </row>
        <row r="11">
          <cell r="F11">
            <v>11000</v>
          </cell>
        </row>
        <row r="17">
          <cell r="F17">
            <v>20000</v>
          </cell>
        </row>
        <row r="19">
          <cell r="F19">
            <v>20000</v>
          </cell>
        </row>
        <row r="20">
          <cell r="F20">
            <v>18025</v>
          </cell>
        </row>
        <row r="21">
          <cell r="F21">
            <v>15000</v>
          </cell>
        </row>
        <row r="22">
          <cell r="F22">
            <v>1150000</v>
          </cell>
        </row>
        <row r="23">
          <cell r="F23">
            <v>1000000</v>
          </cell>
        </row>
        <row r="24">
          <cell r="F24">
            <v>950000</v>
          </cell>
        </row>
        <row r="25">
          <cell r="F25">
            <v>1750</v>
          </cell>
        </row>
        <row r="26">
          <cell r="F26">
            <v>39500</v>
          </cell>
        </row>
        <row r="28">
          <cell r="F28">
            <v>365000</v>
          </cell>
        </row>
        <row r="31">
          <cell r="F31">
            <v>85000</v>
          </cell>
        </row>
        <row r="33">
          <cell r="F33">
            <v>10000</v>
          </cell>
        </row>
        <row r="36">
          <cell r="F36">
            <v>12500</v>
          </cell>
        </row>
        <row r="37">
          <cell r="F37">
            <v>5000</v>
          </cell>
        </row>
        <row r="38">
          <cell r="F38">
            <v>39500</v>
          </cell>
        </row>
        <row r="40">
          <cell r="F40">
            <v>35000</v>
          </cell>
        </row>
        <row r="41">
          <cell r="F41">
            <v>25000</v>
          </cell>
        </row>
        <row r="42">
          <cell r="F42">
            <v>85000</v>
          </cell>
        </row>
        <row r="43">
          <cell r="F43">
            <v>4090.909090909091</v>
          </cell>
        </row>
        <row r="44">
          <cell r="F44">
            <v>4500</v>
          </cell>
        </row>
        <row r="45">
          <cell r="F45">
            <v>10833.333333333334</v>
          </cell>
        </row>
        <row r="46">
          <cell r="F46">
            <v>9375</v>
          </cell>
        </row>
        <row r="47">
          <cell r="F47">
            <v>17500</v>
          </cell>
        </row>
        <row r="48">
          <cell r="F48">
            <v>1350000</v>
          </cell>
        </row>
        <row r="49">
          <cell r="F49">
            <v>275000</v>
          </cell>
        </row>
        <row r="52">
          <cell r="F52">
            <v>755000</v>
          </cell>
        </row>
        <row r="53">
          <cell r="F53">
            <v>34000</v>
          </cell>
        </row>
        <row r="54">
          <cell r="F54">
            <v>26000</v>
          </cell>
        </row>
        <row r="55">
          <cell r="F55">
            <v>12500</v>
          </cell>
        </row>
        <row r="58">
          <cell r="F58">
            <v>87500</v>
          </cell>
        </row>
        <row r="68">
          <cell r="F68">
            <v>17500</v>
          </cell>
        </row>
        <row r="70">
          <cell r="F70">
            <v>56650</v>
          </cell>
        </row>
        <row r="71">
          <cell r="F71">
            <v>79825</v>
          </cell>
        </row>
        <row r="72">
          <cell r="F72">
            <v>123600</v>
          </cell>
        </row>
        <row r="73">
          <cell r="F73">
            <v>95000</v>
          </cell>
        </row>
        <row r="74">
          <cell r="F74">
            <v>36050</v>
          </cell>
        </row>
        <row r="75">
          <cell r="F75">
            <v>35000</v>
          </cell>
        </row>
        <row r="76">
          <cell r="F76">
            <v>55000</v>
          </cell>
        </row>
        <row r="77">
          <cell r="F77">
            <v>90000</v>
          </cell>
        </row>
        <row r="78">
          <cell r="F78">
            <v>12500</v>
          </cell>
        </row>
        <row r="79">
          <cell r="F79">
            <v>9500</v>
          </cell>
        </row>
        <row r="80">
          <cell r="F80">
            <v>9500</v>
          </cell>
        </row>
        <row r="81">
          <cell r="F81">
            <v>95000</v>
          </cell>
        </row>
        <row r="82">
          <cell r="F82">
            <v>125000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L"/>
      <sheetName val="VOLUME RENCANA"/>
      <sheetName val="REKAPITULASI"/>
      <sheetName val="BOQ"/>
      <sheetName val="Agregat Halus &amp; Kasar"/>
      <sheetName val="4-formulir harga bahan"/>
      <sheetName val="4-Analisa Quarry"/>
      <sheetName val="BACIC PRICE"/>
      <sheetName val="SEWA ALAT"/>
      <sheetName val="div-1"/>
      <sheetName val="2.1-GALIAN UNTUK SALURAN"/>
      <sheetName val="2.2Pasangan Batu dengan Mortar-"/>
      <sheetName val="2.3-gorong gorong &lt;45"/>
      <sheetName val="2.3-gorong gorong 45-75"/>
      <sheetName val="3.1-GALIAN BIASA"/>
      <sheetName val="3.1(2)-GALIAN BATU"/>
      <sheetName val="3.3-PENY BADAN JALAN"/>
      <sheetName val="3.2(2) TIMBUNAN PILIHAN"/>
      <sheetName val="5.1 LPA KLAS A"/>
      <sheetName val="5.1 (2) LPA KLAS B"/>
      <sheetName val="6.1 (1) LAPIS RESAP"/>
      <sheetName val="6.1(2) lapis perekat"/>
      <sheetName val="6.3 (1)-Latasir (SS) Kelas A"/>
      <sheetName val="6.3 (5)-AC - WC"/>
      <sheetName val="6.6- LAP.PENETRASI MACADAM"/>
      <sheetName val="7.3-BRONJONG"/>
      <sheetName val="7.1 (8) Beton Kelas  K-125"/>
      <sheetName val="7.1(6)-BETON K 175"/>
      <sheetName val="7.1(5)-BETON K250"/>
      <sheetName val="7.3(1)-BAJA TULANGAN POLOS"/>
      <sheetName val="7.9-PASANGAN BATU MANUAL"/>
      <sheetName val="GAMBAR RENCANA"/>
      <sheetName val="Sheet3"/>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ow r="8">
          <cell r="AZ8" t="str">
            <v xml:space="preserve"> Alat Baru</v>
          </cell>
        </row>
        <row r="9">
          <cell r="AZ9" t="str">
            <v xml:space="preserve"> Alat Baru</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input "/>
      <sheetName val="M.VIEW"/>
      <sheetName val="M.PRINT"/>
      <sheetName val="konverter"/>
      <sheetName val="TAKE_OF_SHEET"/>
      <sheetName val="data_lokasi&amp;pelaku"/>
      <sheetName val="volume pekerjaan"/>
      <sheetName val="master"/>
      <sheetName val="form_survey harga"/>
      <sheetName val="Daftar_Harga_BAHAN_UPAH"/>
      <sheetName val="ANALISA HARGA SATUAN"/>
      <sheetName val="rab_PPK"/>
      <sheetName val="rekap"/>
      <sheetName val="M_input_"/>
      <sheetName val="M_VIEW"/>
      <sheetName val="M_PRINT"/>
      <sheetName val="volume_pekerjaan"/>
      <sheetName val="form_survey_harga"/>
      <sheetName val="ANALISA_HARGA_SATUAN"/>
      <sheetName val="DAFTAR HARGA"/>
      <sheetName val="ANALISA"/>
    </sheetNames>
    <sheetDataSet>
      <sheetData sheetId="0"/>
      <sheetData sheetId="1"/>
      <sheetData sheetId="2"/>
      <sheetData sheetId="3"/>
      <sheetData sheetId="4"/>
      <sheetData sheetId="5"/>
      <sheetData sheetId="6" refreshError="1">
        <row r="9">
          <cell r="D9" t="str">
            <v>SULAWESI TENGAH</v>
          </cell>
        </row>
        <row r="10">
          <cell r="D10" t="str">
            <v>TOLITOLI</v>
          </cell>
        </row>
        <row r="11">
          <cell r="D11" t="str">
            <v>DAMPAL UTARA</v>
          </cell>
        </row>
        <row r="12">
          <cell r="D12" t="str">
            <v>BANAGAN</v>
          </cell>
        </row>
        <row r="13">
          <cell r="D13" t="str">
            <v>MURSID</v>
          </cell>
        </row>
        <row r="14">
          <cell r="D14" t="str">
            <v>SALIMUDDIN</v>
          </cell>
        </row>
        <row r="15">
          <cell r="D15" t="str">
            <v>ILHAM H MUSTAFA, ST.</v>
          </cell>
        </row>
        <row r="16">
          <cell r="D16" t="str">
            <v>NIP. 570  013 882</v>
          </cell>
        </row>
        <row r="17">
          <cell r="D17" t="str">
            <v xml:space="preserve"> 01/DU/SX/PPKIII-2007</v>
          </cell>
        </row>
        <row r="18">
          <cell r="D18" t="str">
            <v>3,5  x   6  meter</v>
          </cell>
        </row>
      </sheetData>
      <sheetData sheetId="7" refreshError="1">
        <row r="7">
          <cell r="G7">
            <v>28.800000000000004</v>
          </cell>
        </row>
        <row r="8">
          <cell r="G8">
            <v>10</v>
          </cell>
        </row>
        <row r="9">
          <cell r="G9">
            <v>20</v>
          </cell>
        </row>
        <row r="10">
          <cell r="G10">
            <v>10</v>
          </cell>
        </row>
        <row r="11">
          <cell r="G11">
            <v>0</v>
          </cell>
        </row>
        <row r="12">
          <cell r="G12">
            <v>17.25</v>
          </cell>
        </row>
        <row r="13">
          <cell r="G13">
            <v>18.27</v>
          </cell>
        </row>
        <row r="16">
          <cell r="G16">
            <v>8.5</v>
          </cell>
        </row>
        <row r="17">
          <cell r="G17">
            <v>104</v>
          </cell>
        </row>
        <row r="19">
          <cell r="G19">
            <v>45</v>
          </cell>
        </row>
        <row r="20">
          <cell r="G20" t="str">
            <v>9.03</v>
          </cell>
        </row>
        <row r="21">
          <cell r="G21">
            <v>1494.12</v>
          </cell>
        </row>
        <row r="24">
          <cell r="G24">
            <v>30</v>
          </cell>
        </row>
        <row r="25">
          <cell r="G25">
            <v>20</v>
          </cell>
        </row>
        <row r="27">
          <cell r="G27">
            <v>164.4</v>
          </cell>
        </row>
        <row r="28">
          <cell r="G28">
            <v>0</v>
          </cell>
        </row>
        <row r="31">
          <cell r="G31">
            <v>0</v>
          </cell>
        </row>
        <row r="32">
          <cell r="G32">
            <v>100</v>
          </cell>
        </row>
        <row r="35">
          <cell r="G35">
            <v>10</v>
          </cell>
        </row>
        <row r="36">
          <cell r="G36">
            <v>44</v>
          </cell>
        </row>
        <row r="37">
          <cell r="G37">
            <v>88.9</v>
          </cell>
        </row>
        <row r="38">
          <cell r="G38">
            <v>12</v>
          </cell>
        </row>
      </sheetData>
      <sheetData sheetId="8"/>
      <sheetData sheetId="9"/>
      <sheetData sheetId="10" refreshError="1">
        <row r="12">
          <cell r="H12">
            <v>20000</v>
          </cell>
        </row>
        <row r="18">
          <cell r="H18">
            <v>120000</v>
          </cell>
        </row>
        <row r="26">
          <cell r="H26">
            <v>125000</v>
          </cell>
        </row>
        <row r="27">
          <cell r="H27">
            <v>117000</v>
          </cell>
        </row>
        <row r="28">
          <cell r="H28">
            <v>90000</v>
          </cell>
        </row>
        <row r="29">
          <cell r="H29">
            <v>77000</v>
          </cell>
        </row>
        <row r="31">
          <cell r="H31">
            <v>42000</v>
          </cell>
        </row>
        <row r="32">
          <cell r="H32">
            <v>34500</v>
          </cell>
        </row>
        <row r="33">
          <cell r="H33">
            <v>27000</v>
          </cell>
        </row>
        <row r="34">
          <cell r="H34">
            <v>19000</v>
          </cell>
        </row>
        <row r="36">
          <cell r="H36">
            <v>7000</v>
          </cell>
        </row>
        <row r="37">
          <cell r="H37">
            <v>7000</v>
          </cell>
        </row>
        <row r="46">
          <cell r="H46">
            <v>7000</v>
          </cell>
        </row>
        <row r="47">
          <cell r="H47">
            <v>175000</v>
          </cell>
        </row>
        <row r="48">
          <cell r="H48">
            <v>500</v>
          </cell>
        </row>
      </sheetData>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RAB ASST"/>
      <sheetName val="REKAP AWAL"/>
      <sheetName val="REKAP MC 0"/>
      <sheetName val="Sheet1"/>
      <sheetName val="STREACKING"/>
      <sheetName val="Rekap Bab"/>
      <sheetName val="URPIL"/>
      <sheetName val="KLAS A"/>
      <sheetName val="PB MORTAR"/>
      <sheetName val="PS BT ADUKAN"/>
      <sheetName val="LAP RESAP"/>
      <sheetName val="AC-WC 4 CM"/>
      <sheetName val="AC-WC 5 CM"/>
      <sheetName val="LAP PEREKAT"/>
      <sheetName val="AC-WC LEV 5 CM"/>
      <sheetName val="GAL BIASA"/>
      <sheetName val="BETON K300"/>
      <sheetName val="BETON K250"/>
      <sheetName val="BAJA TUL"/>
      <sheetName val="cover"/>
      <sheetName val="BETON K175"/>
      <sheetName val="GOR-GORONG"/>
      <sheetName val="BRONJONG"/>
      <sheetName val="SELOKAN"/>
      <sheetName val="data 0"/>
      <sheetName val="Foto 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SNI"/>
      <sheetName val="ANALISA-BOW"/>
      <sheetName val="RAB-DNS"/>
      <sheetName val="REKAP-DNS"/>
      <sheetName val="REKAP-GBG"/>
      <sheetName val="RAB-KTR"/>
      <sheetName val="REKAP-KTR"/>
      <sheetName val="Porsi"/>
    </sheetNames>
    <sheetDataSet>
      <sheetData sheetId="0" refreshError="1">
        <row r="8">
          <cell r="E8">
            <v>57500</v>
          </cell>
        </row>
        <row r="9">
          <cell r="E9">
            <v>75000</v>
          </cell>
        </row>
        <row r="10">
          <cell r="E10">
            <v>75000</v>
          </cell>
        </row>
        <row r="11">
          <cell r="E11">
            <v>80000</v>
          </cell>
        </row>
        <row r="23">
          <cell r="E23">
            <v>80000</v>
          </cell>
        </row>
        <row r="26">
          <cell r="E26">
            <v>400</v>
          </cell>
        </row>
        <row r="28">
          <cell r="E28">
            <v>1250</v>
          </cell>
        </row>
        <row r="36">
          <cell r="E36">
            <v>650</v>
          </cell>
        </row>
        <row r="48">
          <cell r="E48">
            <v>50000</v>
          </cell>
        </row>
        <row r="62">
          <cell r="E62">
            <v>42500</v>
          </cell>
        </row>
        <row r="74">
          <cell r="E74">
            <v>1300000</v>
          </cell>
        </row>
        <row r="75">
          <cell r="E75">
            <v>900000</v>
          </cell>
        </row>
        <row r="104">
          <cell r="E104">
            <v>58500</v>
          </cell>
        </row>
        <row r="149">
          <cell r="E149">
            <v>38000</v>
          </cell>
        </row>
        <row r="151">
          <cell r="E151">
            <v>95000</v>
          </cell>
        </row>
        <row r="293">
          <cell r="E293">
            <v>16500</v>
          </cell>
        </row>
        <row r="298">
          <cell r="E298">
            <v>19800</v>
          </cell>
        </row>
        <row r="300">
          <cell r="E300">
            <v>7500</v>
          </cell>
        </row>
        <row r="344">
          <cell r="E344">
            <v>120000</v>
          </cell>
        </row>
        <row r="381">
          <cell r="E381">
            <v>21000</v>
          </cell>
        </row>
        <row r="396">
          <cell r="E396">
            <v>37500</v>
          </cell>
        </row>
        <row r="397">
          <cell r="E397">
            <v>30000</v>
          </cell>
        </row>
        <row r="399">
          <cell r="E399">
            <v>35000</v>
          </cell>
        </row>
        <row r="409">
          <cell r="E409">
            <v>25000</v>
          </cell>
        </row>
      </sheetData>
      <sheetData sheetId="1"/>
      <sheetData sheetId="2"/>
      <sheetData sheetId="3"/>
      <sheetData sheetId="4"/>
      <sheetData sheetId="5"/>
      <sheetData sheetId="6"/>
      <sheetData sheetId="7"/>
      <sheetData sheetId="8"/>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Upah bhn"/>
      <sheetName val="Analisa SNI"/>
      <sheetName val="Rekab"/>
      <sheetName val="RAB"/>
      <sheetName val="Schedule"/>
      <sheetName val="Harga Accsesories"/>
    </sheetNames>
    <sheetDataSet>
      <sheetData sheetId="0" refreshError="1">
        <row r="18">
          <cell r="F18">
            <v>32500</v>
          </cell>
        </row>
        <row r="27">
          <cell r="F27">
            <v>65000</v>
          </cell>
        </row>
        <row r="56">
          <cell r="F56">
            <v>800000</v>
          </cell>
        </row>
        <row r="59">
          <cell r="F59">
            <v>27500</v>
          </cell>
        </row>
        <row r="60">
          <cell r="F60">
            <v>27500</v>
          </cell>
        </row>
        <row r="61">
          <cell r="F61">
            <v>40000</v>
          </cell>
        </row>
        <row r="68">
          <cell r="F68">
            <v>75000</v>
          </cell>
        </row>
        <row r="73">
          <cell r="F73">
            <v>9000</v>
          </cell>
        </row>
        <row r="77">
          <cell r="F77">
            <v>2500</v>
          </cell>
        </row>
        <row r="79">
          <cell r="F79">
            <v>22500</v>
          </cell>
        </row>
      </sheetData>
      <sheetData sheetId="1" refreshError="1"/>
      <sheetData sheetId="2" refreshError="1"/>
      <sheetData sheetId="3"/>
      <sheetData sheetId="4"/>
      <sheetData sheetId="5" refreshError="1"/>
      <sheetData sheetId="6"/>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anal_alat"/>
      <sheetName val="hsd"/>
      <sheetName val="Cover"/>
      <sheetName val="Harga S Dasar"/>
      <sheetName val="D2"/>
      <sheetName val="D4"/>
      <sheetName val="D5"/>
      <sheetName val="D6"/>
      <sheetName val="D7"/>
      <sheetName val="D8"/>
      <sheetName val="div-4"/>
      <sheetName val="DIV 2"/>
      <sheetName val="DIV 8"/>
      <sheetName val="UBA"/>
      <sheetName val="DIV 7"/>
      <sheetName val="DIV 3"/>
      <sheetName val="5-Analisa Peralatan"/>
      <sheetName val="MU"/>
      <sheetName val="Anl"/>
      <sheetName val="Basic"/>
      <sheetName val="H.Satuan"/>
      <sheetName val="SAT-DAS"/>
      <sheetName val="Analisa (ok punya)"/>
      <sheetName val="Analisa"/>
      <sheetName val="Daftar Harga"/>
      <sheetName val="Kuantitas"/>
      <sheetName val="Rekap"/>
      <sheetName val="H-Satuan"/>
      <sheetName val="harga dasar"/>
      <sheetName val="CODE"/>
      <sheetName val="CF"/>
      <sheetName val="BAG_2"/>
      <sheetName val="Anal"/>
      <sheetName val="Rek"/>
      <sheetName val="keb-BHN"/>
      <sheetName val="DEC-25 ADD4"/>
      <sheetName val="bau"/>
      <sheetName val="MAPP"/>
      <sheetName val="rek det 1_3"/>
      <sheetName val="Lamp-4 Sat-Das"/>
      <sheetName val="database"/>
      <sheetName val="Temporer"/>
      <sheetName val="Div2"/>
      <sheetName val="struktur tdk dipakai"/>
      <sheetName val="8LT 12"/>
      <sheetName val="5-Peralatan"/>
      <sheetName val="MAP"/>
      <sheetName val="idc"/>
      <sheetName val="4-Basic Price"/>
      <sheetName val="boq"/>
      <sheetName val="Harga Agus"/>
      <sheetName val="HRG BHN"/>
      <sheetName val="Kuantitas &amp; Harga"/>
      <sheetName val="Pekerjaan Utama"/>
      <sheetName val="Rekap Biaya"/>
      <sheetName val="Analisa (ok)"/>
      <sheetName val="D6-1b"/>
      <sheetName val="6b"/>
      <sheetName val="Basic Price"/>
      <sheetName val="Agregat Halus &amp; Kasar"/>
      <sheetName val="an.pemel.rutin"/>
      <sheetName val="an.mobilisasi"/>
      <sheetName val="an.dmpu"/>
      <sheetName val="daftar.kuantita"/>
      <sheetName val="metode.dmpu"/>
      <sheetName val="Sheet1"/>
      <sheetName val="BOQ "/>
      <sheetName val="5-ALAT(1)"/>
    </sheetNames>
    <sheetDataSet>
      <sheetData sheetId="0" refreshError="1"/>
      <sheetData sheetId="1" refreshError="1"/>
      <sheetData sheetId="2" refreshError="1"/>
      <sheetData sheetId="3" refreshError="1">
        <row r="1">
          <cell r="I1">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52">
          <cell r="G52">
            <v>10675000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sheetNames>
    <sheetDataSet>
      <sheetData sheetId="0" refreshError="1">
        <row r="10">
          <cell r="J10" t="str">
            <v>1</v>
          </cell>
          <cell r="L10">
            <v>3</v>
          </cell>
          <cell r="M10">
            <v>4</v>
          </cell>
          <cell r="N10">
            <v>5</v>
          </cell>
          <cell r="O10">
            <v>6</v>
          </cell>
          <cell r="P10">
            <v>7</v>
          </cell>
          <cell r="Q10">
            <v>8</v>
          </cell>
          <cell r="R10">
            <v>9</v>
          </cell>
          <cell r="T10">
            <v>11</v>
          </cell>
        </row>
        <row r="12">
          <cell r="J12">
            <v>31</v>
          </cell>
          <cell r="L12">
            <v>31</v>
          </cell>
          <cell r="M12">
            <v>30</v>
          </cell>
          <cell r="N12">
            <v>31</v>
          </cell>
          <cell r="O12">
            <v>30</v>
          </cell>
          <cell r="P12">
            <v>31</v>
          </cell>
          <cell r="Q12">
            <v>31</v>
          </cell>
          <cell r="R12">
            <v>30</v>
          </cell>
          <cell r="T12">
            <v>30</v>
          </cell>
        </row>
        <row r="13">
          <cell r="E13" t="str">
            <v>PERSONNEL DIRECT COST</v>
          </cell>
        </row>
        <row r="14">
          <cell r="E14" t="str">
            <v>MANAGEMENT</v>
          </cell>
        </row>
        <row r="15">
          <cell r="E15" t="str">
            <v>Project Director</v>
          </cell>
          <cell r="J15">
            <v>360000</v>
          </cell>
          <cell r="L15">
            <v>360000</v>
          </cell>
          <cell r="M15">
            <v>360000</v>
          </cell>
          <cell r="N15">
            <v>360000</v>
          </cell>
          <cell r="O15">
            <v>360000</v>
          </cell>
          <cell r="P15">
            <v>360000</v>
          </cell>
          <cell r="Q15">
            <v>360000</v>
          </cell>
          <cell r="R15">
            <v>360000</v>
          </cell>
          <cell r="T15">
            <v>360000</v>
          </cell>
        </row>
        <row r="16">
          <cell r="E16" t="str">
            <v xml:space="preserve">Project Coordinator </v>
          </cell>
          <cell r="J16">
            <v>1296000</v>
          </cell>
          <cell r="L16">
            <v>1296000</v>
          </cell>
          <cell r="M16">
            <v>1296000</v>
          </cell>
          <cell r="N16">
            <v>1296000</v>
          </cell>
          <cell r="O16">
            <v>1296000</v>
          </cell>
          <cell r="P16">
            <v>1296000</v>
          </cell>
          <cell r="Q16">
            <v>1296000</v>
          </cell>
          <cell r="R16">
            <v>1296000</v>
          </cell>
          <cell r="T16">
            <v>1296000</v>
          </cell>
        </row>
        <row r="17">
          <cell r="E17" t="str">
            <v>Steering Commitee</v>
          </cell>
          <cell r="J17">
            <v>864000</v>
          </cell>
          <cell r="L17">
            <v>864000</v>
          </cell>
          <cell r="M17">
            <v>864000</v>
          </cell>
          <cell r="N17">
            <v>864000</v>
          </cell>
          <cell r="O17">
            <v>864000</v>
          </cell>
          <cell r="P17">
            <v>864000</v>
          </cell>
          <cell r="Q17">
            <v>864000</v>
          </cell>
          <cell r="R17">
            <v>864000</v>
          </cell>
          <cell r="T17">
            <v>864000</v>
          </cell>
        </row>
        <row r="18">
          <cell r="E18" t="str">
            <v>Project Manager</v>
          </cell>
          <cell r="J18">
            <v>3600000</v>
          </cell>
          <cell r="L18">
            <v>3600000</v>
          </cell>
          <cell r="M18">
            <v>3600000</v>
          </cell>
          <cell r="N18">
            <v>3600000</v>
          </cell>
          <cell r="O18">
            <v>3600000</v>
          </cell>
          <cell r="P18">
            <v>3600000</v>
          </cell>
          <cell r="Q18">
            <v>3600000</v>
          </cell>
          <cell r="R18">
            <v>3600000</v>
          </cell>
          <cell r="T18">
            <v>3600000</v>
          </cell>
        </row>
        <row r="19">
          <cell r="E19" t="str">
            <v>Project Secretary &amp; Operator Computer</v>
          </cell>
          <cell r="J19">
            <v>1440000</v>
          </cell>
          <cell r="L19">
            <v>1440000</v>
          </cell>
          <cell r="M19">
            <v>1440000</v>
          </cell>
          <cell r="N19">
            <v>1440000</v>
          </cell>
          <cell r="O19">
            <v>1440000</v>
          </cell>
          <cell r="P19">
            <v>1440000</v>
          </cell>
          <cell r="Q19">
            <v>1440000</v>
          </cell>
          <cell r="R19">
            <v>1440000</v>
          </cell>
          <cell r="T19">
            <v>1440000</v>
          </cell>
        </row>
        <row r="20">
          <cell r="E20" t="str">
            <v>QA/QC Manager</v>
          </cell>
          <cell r="J20">
            <v>450000</v>
          </cell>
          <cell r="L20">
            <v>450000</v>
          </cell>
          <cell r="M20">
            <v>450000</v>
          </cell>
          <cell r="N20">
            <v>450000</v>
          </cell>
          <cell r="O20">
            <v>450000</v>
          </cell>
          <cell r="P20">
            <v>450000</v>
          </cell>
          <cell r="Q20">
            <v>450000</v>
          </cell>
          <cell r="R20">
            <v>450000</v>
          </cell>
          <cell r="T20">
            <v>450000</v>
          </cell>
        </row>
        <row r="21">
          <cell r="E21">
            <v>0</v>
          </cell>
          <cell r="J21">
            <v>0</v>
          </cell>
          <cell r="L21">
            <v>0</v>
          </cell>
          <cell r="M21">
            <v>0</v>
          </cell>
          <cell r="N21">
            <v>0</v>
          </cell>
          <cell r="O21">
            <v>0</v>
          </cell>
          <cell r="P21">
            <v>0</v>
          </cell>
          <cell r="Q21">
            <v>0</v>
          </cell>
          <cell r="R21">
            <v>0</v>
          </cell>
          <cell r="T21">
            <v>0</v>
          </cell>
        </row>
        <row r="22">
          <cell r="E22" t="str">
            <v>PROCUREMENT</v>
          </cell>
          <cell r="J22">
            <v>0</v>
          </cell>
          <cell r="L22">
            <v>0</v>
          </cell>
          <cell r="M22">
            <v>0</v>
          </cell>
          <cell r="N22">
            <v>0</v>
          </cell>
          <cell r="O22">
            <v>0</v>
          </cell>
          <cell r="P22">
            <v>0</v>
          </cell>
          <cell r="Q22">
            <v>0</v>
          </cell>
          <cell r="R22">
            <v>0</v>
          </cell>
          <cell r="T22">
            <v>0</v>
          </cell>
        </row>
        <row r="23">
          <cell r="E23" t="str">
            <v>Procurement Manager</v>
          </cell>
          <cell r="J23">
            <v>2400000</v>
          </cell>
          <cell r="L23">
            <v>2400000</v>
          </cell>
          <cell r="M23">
            <v>2400000</v>
          </cell>
          <cell r="N23">
            <v>2400000</v>
          </cell>
          <cell r="O23">
            <v>2400000</v>
          </cell>
          <cell r="P23">
            <v>2400000</v>
          </cell>
          <cell r="Q23">
            <v>2400000</v>
          </cell>
          <cell r="R23">
            <v>2400000</v>
          </cell>
          <cell r="T23">
            <v>2400000</v>
          </cell>
        </row>
        <row r="24">
          <cell r="E24" t="str">
            <v>Inspector</v>
          </cell>
          <cell r="J24">
            <v>0</v>
          </cell>
          <cell r="L24">
            <v>0</v>
          </cell>
          <cell r="M24">
            <v>0</v>
          </cell>
          <cell r="N24">
            <v>4200000</v>
          </cell>
          <cell r="O24">
            <v>4200000</v>
          </cell>
          <cell r="P24">
            <v>4200000</v>
          </cell>
          <cell r="Q24">
            <v>4200000</v>
          </cell>
          <cell r="R24">
            <v>4200000</v>
          </cell>
          <cell r="T24">
            <v>4200000</v>
          </cell>
        </row>
        <row r="25">
          <cell r="E25" t="str">
            <v>Expeditor</v>
          </cell>
          <cell r="J25">
            <v>0</v>
          </cell>
          <cell r="L25">
            <v>2800000</v>
          </cell>
          <cell r="M25">
            <v>2800000</v>
          </cell>
          <cell r="N25">
            <v>2800000</v>
          </cell>
          <cell r="O25">
            <v>2800000</v>
          </cell>
          <cell r="P25">
            <v>2800000</v>
          </cell>
          <cell r="Q25">
            <v>2800000</v>
          </cell>
          <cell r="R25">
            <v>2800000</v>
          </cell>
          <cell r="T25">
            <v>2800000</v>
          </cell>
        </row>
        <row r="26">
          <cell r="E26" t="str">
            <v>Purchaser</v>
          </cell>
          <cell r="J26">
            <v>0</v>
          </cell>
          <cell r="L26">
            <v>1400000</v>
          </cell>
          <cell r="M26">
            <v>1400000</v>
          </cell>
          <cell r="N26">
            <v>1400000</v>
          </cell>
          <cell r="O26">
            <v>1400000</v>
          </cell>
          <cell r="P26">
            <v>1400000</v>
          </cell>
          <cell r="Q26">
            <v>1400000</v>
          </cell>
          <cell r="R26">
            <v>1400000</v>
          </cell>
          <cell r="T26">
            <v>1400000</v>
          </cell>
        </row>
        <row r="27">
          <cell r="E27" t="str">
            <v>Material Control</v>
          </cell>
          <cell r="J27">
            <v>0</v>
          </cell>
          <cell r="L27">
            <v>0</v>
          </cell>
          <cell r="M27">
            <v>0</v>
          </cell>
          <cell r="N27">
            <v>1400000</v>
          </cell>
          <cell r="O27">
            <v>1400000</v>
          </cell>
          <cell r="P27">
            <v>1400000</v>
          </cell>
          <cell r="Q27">
            <v>1400000</v>
          </cell>
          <cell r="R27">
            <v>1400000</v>
          </cell>
          <cell r="T27">
            <v>1400000</v>
          </cell>
        </row>
        <row r="28">
          <cell r="E28" t="str">
            <v>Custom &amp; Inland Transport.</v>
          </cell>
          <cell r="J28">
            <v>0</v>
          </cell>
          <cell r="L28">
            <v>700000</v>
          </cell>
          <cell r="M28">
            <v>700000</v>
          </cell>
          <cell r="N28">
            <v>700000</v>
          </cell>
          <cell r="O28">
            <v>700000</v>
          </cell>
          <cell r="P28">
            <v>700000</v>
          </cell>
          <cell r="Q28">
            <v>700000</v>
          </cell>
          <cell r="R28">
            <v>700000</v>
          </cell>
          <cell r="T28">
            <v>1400000</v>
          </cell>
        </row>
        <row r="29">
          <cell r="E29" t="str">
            <v>Subcontracting Engineer</v>
          </cell>
          <cell r="J29">
            <v>0</v>
          </cell>
          <cell r="L29">
            <v>1400000</v>
          </cell>
          <cell r="M29">
            <v>1400000</v>
          </cell>
          <cell r="N29">
            <v>1400000</v>
          </cell>
          <cell r="O29">
            <v>1400000</v>
          </cell>
          <cell r="P29">
            <v>1400000</v>
          </cell>
          <cell r="Q29">
            <v>1400000</v>
          </cell>
          <cell r="R29">
            <v>1400000</v>
          </cell>
          <cell r="T29">
            <v>1400000</v>
          </cell>
        </row>
        <row r="30">
          <cell r="E30" t="str">
            <v>Operator Computer / Administrator</v>
          </cell>
          <cell r="J30">
            <v>450000</v>
          </cell>
          <cell r="L30">
            <v>900000</v>
          </cell>
          <cell r="M30">
            <v>900000</v>
          </cell>
          <cell r="N30">
            <v>900000</v>
          </cell>
          <cell r="O30">
            <v>900000</v>
          </cell>
          <cell r="P30">
            <v>900000</v>
          </cell>
          <cell r="Q30">
            <v>900000</v>
          </cell>
          <cell r="R30">
            <v>900000</v>
          </cell>
          <cell r="T30">
            <v>900000</v>
          </cell>
        </row>
        <row r="31">
          <cell r="E31">
            <v>0</v>
          </cell>
          <cell r="J31">
            <v>0</v>
          </cell>
          <cell r="L31">
            <v>0</v>
          </cell>
          <cell r="M31">
            <v>0</v>
          </cell>
          <cell r="N31">
            <v>0</v>
          </cell>
          <cell r="O31">
            <v>0</v>
          </cell>
          <cell r="P31">
            <v>0</v>
          </cell>
          <cell r="Q31">
            <v>0</v>
          </cell>
          <cell r="R31">
            <v>0</v>
          </cell>
          <cell r="T31">
            <v>0</v>
          </cell>
        </row>
        <row r="32">
          <cell r="E32" t="str">
            <v>PROJECT CONTROL</v>
          </cell>
          <cell r="J32">
            <v>0</v>
          </cell>
          <cell r="L32">
            <v>0</v>
          </cell>
          <cell r="M32">
            <v>0</v>
          </cell>
          <cell r="N32">
            <v>0</v>
          </cell>
          <cell r="O32">
            <v>0</v>
          </cell>
          <cell r="P32">
            <v>0</v>
          </cell>
          <cell r="Q32">
            <v>0</v>
          </cell>
          <cell r="R32">
            <v>0</v>
          </cell>
          <cell r="T32">
            <v>0</v>
          </cell>
        </row>
        <row r="33">
          <cell r="E33" t="str">
            <v>PROJECT CONTROL (MASTER)</v>
          </cell>
          <cell r="J33">
            <v>0</v>
          </cell>
          <cell r="L33">
            <v>0</v>
          </cell>
          <cell r="M33">
            <v>0</v>
          </cell>
          <cell r="N33">
            <v>0</v>
          </cell>
          <cell r="O33">
            <v>0</v>
          </cell>
          <cell r="P33">
            <v>0</v>
          </cell>
          <cell r="Q33">
            <v>0</v>
          </cell>
          <cell r="R33">
            <v>0</v>
          </cell>
          <cell r="T33">
            <v>0</v>
          </cell>
        </row>
        <row r="34">
          <cell r="E34" t="str">
            <v>Project Control Manager</v>
          </cell>
          <cell r="J34">
            <v>2400000</v>
          </cell>
          <cell r="L34">
            <v>2400000</v>
          </cell>
          <cell r="M34">
            <v>2400000</v>
          </cell>
          <cell r="N34">
            <v>2400000</v>
          </cell>
          <cell r="O34">
            <v>2400000</v>
          </cell>
          <cell r="P34">
            <v>2400000</v>
          </cell>
          <cell r="Q34">
            <v>2400000</v>
          </cell>
          <cell r="R34">
            <v>2400000</v>
          </cell>
          <cell r="T34">
            <v>2400000</v>
          </cell>
        </row>
        <row r="35">
          <cell r="E35" t="str">
            <v>Cost &amp; Progress Engineer</v>
          </cell>
          <cell r="J35">
            <v>1400000</v>
          </cell>
          <cell r="L35">
            <v>1400000</v>
          </cell>
          <cell r="M35">
            <v>1400000</v>
          </cell>
          <cell r="N35">
            <v>1400000</v>
          </cell>
          <cell r="O35">
            <v>1400000</v>
          </cell>
          <cell r="P35">
            <v>1400000</v>
          </cell>
          <cell r="Q35">
            <v>1400000</v>
          </cell>
          <cell r="R35">
            <v>1400000</v>
          </cell>
          <cell r="T35">
            <v>1400000</v>
          </cell>
        </row>
        <row r="36">
          <cell r="E36" t="str">
            <v>Planning &amp; Scheduling Engineer</v>
          </cell>
          <cell r="J36">
            <v>1400000</v>
          </cell>
          <cell r="L36">
            <v>1400000</v>
          </cell>
          <cell r="M36">
            <v>1400000</v>
          </cell>
          <cell r="N36">
            <v>1400000</v>
          </cell>
          <cell r="O36">
            <v>1400000</v>
          </cell>
          <cell r="P36">
            <v>1400000</v>
          </cell>
          <cell r="Q36">
            <v>1400000</v>
          </cell>
          <cell r="R36">
            <v>1400000</v>
          </cell>
          <cell r="T36">
            <v>1400000</v>
          </cell>
        </row>
        <row r="37">
          <cell r="E37" t="str">
            <v>Estimating Engineer/Cost Engineer</v>
          </cell>
          <cell r="J37">
            <v>1400000</v>
          </cell>
          <cell r="L37">
            <v>1400000</v>
          </cell>
          <cell r="M37">
            <v>1400000</v>
          </cell>
          <cell r="N37">
            <v>1400000</v>
          </cell>
          <cell r="O37">
            <v>1400000</v>
          </cell>
          <cell r="P37">
            <v>1400000</v>
          </cell>
          <cell r="Q37">
            <v>1400000</v>
          </cell>
          <cell r="R37">
            <v>1400000</v>
          </cell>
          <cell r="T37">
            <v>1400000</v>
          </cell>
        </row>
        <row r="38">
          <cell r="E38" t="str">
            <v>Contract Administrator</v>
          </cell>
          <cell r="J38">
            <v>1400000</v>
          </cell>
          <cell r="L38">
            <v>1400000</v>
          </cell>
          <cell r="M38">
            <v>1400000</v>
          </cell>
          <cell r="N38">
            <v>1400000</v>
          </cell>
          <cell r="O38">
            <v>1400000</v>
          </cell>
          <cell r="P38">
            <v>1400000</v>
          </cell>
          <cell r="Q38">
            <v>1400000</v>
          </cell>
          <cell r="R38">
            <v>1400000</v>
          </cell>
          <cell r="T38">
            <v>1400000</v>
          </cell>
        </row>
        <row r="39">
          <cell r="E39" t="str">
            <v>Operator Computer</v>
          </cell>
          <cell r="J39">
            <v>450000</v>
          </cell>
          <cell r="L39">
            <v>450000</v>
          </cell>
          <cell r="M39">
            <v>450000</v>
          </cell>
          <cell r="N39">
            <v>450000</v>
          </cell>
          <cell r="O39">
            <v>450000</v>
          </cell>
          <cell r="P39">
            <v>450000</v>
          </cell>
          <cell r="Q39">
            <v>450000</v>
          </cell>
          <cell r="R39">
            <v>450000</v>
          </cell>
          <cell r="T39">
            <v>450000</v>
          </cell>
        </row>
        <row r="40">
          <cell r="E40">
            <v>0</v>
          </cell>
          <cell r="J40">
            <v>0</v>
          </cell>
          <cell r="L40">
            <v>0</v>
          </cell>
          <cell r="M40">
            <v>0</v>
          </cell>
          <cell r="N40">
            <v>0</v>
          </cell>
          <cell r="O40">
            <v>0</v>
          </cell>
          <cell r="P40">
            <v>0</v>
          </cell>
          <cell r="Q40">
            <v>0</v>
          </cell>
          <cell r="R40">
            <v>0</v>
          </cell>
          <cell r="T40">
            <v>0</v>
          </cell>
        </row>
        <row r="41">
          <cell r="E41" t="str">
            <v>PERSONAL SUPPORT</v>
          </cell>
          <cell r="J41">
            <v>0</v>
          </cell>
          <cell r="L41">
            <v>0</v>
          </cell>
          <cell r="M41">
            <v>0</v>
          </cell>
          <cell r="N41">
            <v>0</v>
          </cell>
          <cell r="O41">
            <v>0</v>
          </cell>
          <cell r="P41">
            <v>0</v>
          </cell>
          <cell r="Q41">
            <v>0</v>
          </cell>
          <cell r="R41">
            <v>0</v>
          </cell>
          <cell r="T41">
            <v>0</v>
          </cell>
        </row>
        <row r="42">
          <cell r="E42" t="str">
            <v>Secretary</v>
          </cell>
          <cell r="J42">
            <v>0</v>
          </cell>
          <cell r="L42">
            <v>0</v>
          </cell>
          <cell r="M42">
            <v>0</v>
          </cell>
          <cell r="N42">
            <v>0</v>
          </cell>
          <cell r="O42">
            <v>0</v>
          </cell>
          <cell r="P42">
            <v>0</v>
          </cell>
          <cell r="Q42">
            <v>0</v>
          </cell>
          <cell r="R42">
            <v>0</v>
          </cell>
          <cell r="T42">
            <v>0</v>
          </cell>
        </row>
        <row r="43">
          <cell r="E43" t="str">
            <v>Office Boy</v>
          </cell>
          <cell r="J43">
            <v>200000</v>
          </cell>
          <cell r="L43">
            <v>200000</v>
          </cell>
          <cell r="M43">
            <v>200000</v>
          </cell>
          <cell r="N43">
            <v>200000</v>
          </cell>
          <cell r="O43">
            <v>200000</v>
          </cell>
          <cell r="P43">
            <v>200000</v>
          </cell>
          <cell r="Q43">
            <v>200000</v>
          </cell>
          <cell r="R43">
            <v>200000</v>
          </cell>
          <cell r="T43">
            <v>200000</v>
          </cell>
        </row>
        <row r="44">
          <cell r="E44" t="str">
            <v>Servant</v>
          </cell>
          <cell r="J44">
            <v>160000</v>
          </cell>
          <cell r="L44">
            <v>160000</v>
          </cell>
          <cell r="M44">
            <v>160000</v>
          </cell>
          <cell r="N44">
            <v>160000</v>
          </cell>
          <cell r="O44">
            <v>160000</v>
          </cell>
          <cell r="P44">
            <v>160000</v>
          </cell>
          <cell r="Q44">
            <v>160000</v>
          </cell>
          <cell r="R44">
            <v>160000</v>
          </cell>
          <cell r="T44">
            <v>160000</v>
          </cell>
        </row>
        <row r="47">
          <cell r="E47" t="str">
            <v xml:space="preserve">TOTAL </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Upah bhn"/>
      <sheetName val="Analisa SNI"/>
      <sheetName val="Rekab"/>
      <sheetName val="RAB"/>
      <sheetName val="Schedule"/>
      <sheetName val="Harga Accsesories"/>
    </sheetNames>
    <sheetDataSet>
      <sheetData sheetId="0" refreshError="1">
        <row r="18">
          <cell r="F18">
            <v>32500</v>
          </cell>
        </row>
        <row r="32">
          <cell r="F32">
            <v>85000</v>
          </cell>
        </row>
        <row r="34">
          <cell r="F34">
            <v>37000</v>
          </cell>
        </row>
        <row r="35">
          <cell r="F35">
            <v>37000</v>
          </cell>
        </row>
        <row r="38">
          <cell r="F38">
            <v>125000</v>
          </cell>
        </row>
        <row r="42">
          <cell r="F42">
            <v>150000</v>
          </cell>
        </row>
        <row r="46">
          <cell r="F46">
            <v>10000</v>
          </cell>
        </row>
        <row r="51">
          <cell r="F51">
            <v>12500</v>
          </cell>
        </row>
        <row r="54">
          <cell r="F54">
            <v>1750000</v>
          </cell>
        </row>
        <row r="57">
          <cell r="F57">
            <v>50000</v>
          </cell>
        </row>
        <row r="58">
          <cell r="F58">
            <v>75000</v>
          </cell>
        </row>
        <row r="62">
          <cell r="F62">
            <v>35000</v>
          </cell>
        </row>
        <row r="65">
          <cell r="F65">
            <v>90000</v>
          </cell>
        </row>
        <row r="69">
          <cell r="F69">
            <v>27500</v>
          </cell>
        </row>
        <row r="78">
          <cell r="F78">
            <v>25000</v>
          </cell>
        </row>
        <row r="80">
          <cell r="F80">
            <v>20000</v>
          </cell>
        </row>
        <row r="81">
          <cell r="F81">
            <v>17500</v>
          </cell>
        </row>
        <row r="82">
          <cell r="F82">
            <v>15000</v>
          </cell>
        </row>
        <row r="87">
          <cell r="F87">
            <v>20000</v>
          </cell>
        </row>
        <row r="88">
          <cell r="F88">
            <v>17500</v>
          </cell>
        </row>
        <row r="89">
          <cell r="F89">
            <v>15000</v>
          </cell>
        </row>
        <row r="90">
          <cell r="F90">
            <v>12500</v>
          </cell>
        </row>
        <row r="91">
          <cell r="F91">
            <v>12500</v>
          </cell>
        </row>
      </sheetData>
      <sheetData sheetId="1" refreshError="1"/>
      <sheetData sheetId="2" refreshError="1"/>
      <sheetData sheetId="3"/>
      <sheetData sheetId="4"/>
      <sheetData sheetId="5" refreshError="1"/>
      <sheetData sheetId="6"/>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LT 1"/>
      <sheetName val="ALT"/>
      <sheetName val="DHS"/>
      <sheetName val="Analisa"/>
      <sheetName val="REKAP"/>
      <sheetName val="Anal"/>
      <sheetName val="BASIC"/>
      <sheetName val="EVAL"/>
      <sheetName val="Analisa Upah Bahan"/>
      <sheetName val="Harga Satuan 2011"/>
      <sheetName val="Rincian Biaya RKM I"/>
      <sheetName val="kriteria sgl"/>
      <sheetName val="DON GIA"/>
      <sheetName val="CHITIET VL-NC"/>
      <sheetName val="Tiepdia"/>
      <sheetName val="TDTKP"/>
      <sheetName val="TONGKE3p "/>
      <sheetName val="VCV-BE-TONG"/>
      <sheetName val="TNHCHINH"/>
      <sheetName val="Jadwal_(2)"/>
      <sheetName val="alat_(2)"/>
      <sheetName val="upah_(2)"/>
      <sheetName val="ALT_1"/>
      <sheetName val="Jadwal_(2)1"/>
      <sheetName val="alat_(2)1"/>
      <sheetName val="upah_(2)1"/>
      <sheetName val="ALT_11"/>
      <sheetName val="Jadwal_(2)2"/>
      <sheetName val="alat_(2)2"/>
      <sheetName val="upah_(2)2"/>
      <sheetName val="ALT_12"/>
      <sheetName val="Jadwal_(2)3"/>
      <sheetName val="alat_(2)3"/>
      <sheetName val="upah_(2)3"/>
      <sheetName val="ALT_13"/>
      <sheetName val="Jadwal_(2)4"/>
      <sheetName val="alat_(2)4"/>
      <sheetName val="upah_(2)4"/>
      <sheetName val="ALT_14"/>
      <sheetName val="Jadwal_(2)5"/>
      <sheetName val="alat_(2)5"/>
      <sheetName val="upah_(2)5"/>
      <sheetName val="ALT_15"/>
      <sheetName val="Jadwal_(2)6"/>
      <sheetName val="alat_(2)6"/>
      <sheetName val="upah_(2)6"/>
      <sheetName val="ALT_16"/>
      <sheetName val="Jadwal_(2)7"/>
      <sheetName val="alat_(2)7"/>
      <sheetName val="upah_(2)7"/>
      <sheetName val="ALT_17"/>
      <sheetName val="Jadwal_(2)8"/>
      <sheetName val="alat_(2)8"/>
      <sheetName val="upah_(2)8"/>
      <sheetName val="ALT_18"/>
      <sheetName val="Jadwal_(2)9"/>
      <sheetName val="alat_(2)9"/>
      <sheetName val="upah_(2)9"/>
      <sheetName val="ALT_19"/>
      <sheetName val="Har_sat_dasr"/>
      <sheetName val="alat"/>
      <sheetName val="Agregat Halus &amp; Kasar"/>
      <sheetName val="upah bahan"/>
      <sheetName val="met biasa"/>
      <sheetName val="met mpu"/>
      <sheetName val="Harsat"/>
      <sheetName val="DHSD"/>
      <sheetName val="Analisa-Harga"/>
      <sheetName val="Data"/>
      <sheetName val="UP MINOR"/>
      <sheetName val="BAJA TUL"/>
      <sheetName val="Traf&amp;Genst"/>
      <sheetName val="Breakdown"/>
      <sheetName val="BasicPrice"/>
      <sheetName val="Base_Price"/>
      <sheetName val="MAPDC"/>
      <sheetName val="MAPP"/>
      <sheetName val="Material"/>
      <sheetName val="HSDLsg"/>
      <sheetName val="Analysa"/>
      <sheetName val="Survei"/>
      <sheetName val="(ANALISA-lain)"/>
      <sheetName val="info"/>
      <sheetName val="an-aspal"/>
      <sheetName val="RAB"/>
      <sheetName val="Har-sat-dasr"/>
      <sheetName val="Basic Price"/>
      <sheetName val="div-5"/>
      <sheetName val="Kuantitas &amp; Harga"/>
      <sheetName val="Mobilisasi"/>
      <sheetName val="Lamp-4 Sat-Das"/>
      <sheetName val="Lamp-4 Analisa"/>
      <sheetName val="boq"/>
      <sheetName val="NP"/>
      <sheetName val="Analisa 2"/>
      <sheetName val="AHS"/>
      <sheetName val="MOBIL barantang"/>
      <sheetName val="UBA"/>
      <sheetName val="QUARRY"/>
      <sheetName val="D3"/>
      <sheetName val="Div6"/>
      <sheetName val="Div5"/>
      <sheetName val="Besi"/>
      <sheetName val="Div7"/>
      <sheetName val="Div3"/>
      <sheetName val="Div2"/>
      <sheetName val="Div8"/>
      <sheetName val="Div1"/>
      <sheetName val="Galian 1"/>
      <sheetName val="Sheet2"/>
      <sheetName val="H DSR"/>
      <sheetName val="5-ALAT(1)"/>
      <sheetName val="4-Basic Price"/>
      <sheetName val="5-ALAT (2)"/>
      <sheetName val="D2"/>
      <sheetName val="D4"/>
      <sheetName val="D5"/>
      <sheetName val="D6"/>
      <sheetName val="D7(1)"/>
      <sheetName val="D7(2)"/>
      <sheetName val="D8(1)"/>
      <sheetName val="D8(2)"/>
      <sheetName val="D9"/>
      <sheetName val="Agg A"/>
      <sheetName val="Agg B"/>
      <sheetName val="Sheet1"/>
      <sheetName val="Volume"/>
      <sheetName val="kuant"/>
      <sheetName val="CH"/>
      <sheetName val="MPU"/>
    </sheetNames>
    <sheetDataSet>
      <sheetData sheetId="0" refreshError="1"/>
      <sheetData sheetId="1" refreshError="1"/>
      <sheetData sheetId="2" refreshError="1"/>
      <sheetData sheetId="3" refreshError="1">
        <row r="15">
          <cell r="G15">
            <v>60000</v>
          </cell>
        </row>
        <row r="16">
          <cell r="G16">
            <v>62000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_TAWAR"/>
      <sheetName val="REKAP"/>
      <sheetName val="RAB"/>
      <sheetName val="ANALISA"/>
      <sheetName val="HARGA"/>
      <sheetName val="ALAT"/>
      <sheetName val="SCHEDULE"/>
      <sheetName val="NYATA"/>
      <sheetName val="Current"/>
    </sheetNames>
    <sheetDataSet>
      <sheetData sheetId="0" refreshError="1"/>
      <sheetData sheetId="1" refreshError="1"/>
      <sheetData sheetId="2" refreshError="1"/>
      <sheetData sheetId="3" refreshError="1">
        <row r="644">
          <cell r="I644">
            <v>470256.50100799999</v>
          </cell>
        </row>
        <row r="687">
          <cell r="I687">
            <v>7712.5000000000009</v>
          </cell>
        </row>
        <row r="945">
          <cell r="I945">
            <v>7541.5000000000009</v>
          </cell>
        </row>
        <row r="988">
          <cell r="I988">
            <v>29340</v>
          </cell>
        </row>
      </sheetData>
      <sheetData sheetId="4" refreshError="1">
        <row r="15">
          <cell r="T15">
            <v>158981.57696000001</v>
          </cell>
        </row>
        <row r="17">
          <cell r="T17">
            <v>94368.26999999999</v>
          </cell>
        </row>
        <row r="18">
          <cell r="T18">
            <v>103320.14079999999</v>
          </cell>
        </row>
        <row r="20">
          <cell r="T20">
            <v>16659.557401599999</v>
          </cell>
        </row>
        <row r="21">
          <cell r="T21">
            <v>239073.59040000002</v>
          </cell>
        </row>
        <row r="23">
          <cell r="I23">
            <v>65000</v>
          </cell>
          <cell r="T23">
            <v>459406.02064</v>
          </cell>
        </row>
        <row r="24">
          <cell r="I24">
            <v>70000</v>
          </cell>
        </row>
        <row r="26">
          <cell r="T26">
            <v>15777.182907733335</v>
          </cell>
        </row>
        <row r="27">
          <cell r="I27">
            <v>60000</v>
          </cell>
        </row>
        <row r="28">
          <cell r="T28">
            <v>88977.087999999989</v>
          </cell>
        </row>
        <row r="31">
          <cell r="I31">
            <v>14000</v>
          </cell>
          <cell r="T31">
            <v>102052.64863999998</v>
          </cell>
        </row>
        <row r="32">
          <cell r="T32">
            <v>7947.5702463999996</v>
          </cell>
        </row>
        <row r="34">
          <cell r="I34">
            <v>15000</v>
          </cell>
          <cell r="T34">
            <v>148408.52521280001</v>
          </cell>
        </row>
        <row r="35">
          <cell r="T35">
            <v>148408.52521280001</v>
          </cell>
        </row>
        <row r="36">
          <cell r="T36">
            <v>417986.00063999998</v>
          </cell>
        </row>
        <row r="37">
          <cell r="T37">
            <v>107250.96</v>
          </cell>
        </row>
        <row r="38">
          <cell r="I38">
            <v>500000</v>
          </cell>
        </row>
        <row r="39">
          <cell r="I39">
            <v>400000</v>
          </cell>
          <cell r="T39">
            <v>417986.00063999998</v>
          </cell>
        </row>
        <row r="40">
          <cell r="T40">
            <v>204695.02016000004</v>
          </cell>
        </row>
        <row r="42">
          <cell r="T42">
            <v>5664.9695999999994</v>
          </cell>
        </row>
        <row r="43">
          <cell r="I43">
            <v>16000</v>
          </cell>
        </row>
        <row r="44">
          <cell r="I44">
            <v>2000</v>
          </cell>
        </row>
        <row r="46">
          <cell r="I46">
            <v>30000</v>
          </cell>
        </row>
        <row r="47">
          <cell r="I47">
            <v>7000</v>
          </cell>
        </row>
      </sheetData>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_E20_02_Rp_"/>
      <sheetName val="AHS"/>
      <sheetName val="Rekap_Church(USD)"/>
      <sheetName val="BQ-CHURCH(USD)(Rp_Hide)"/>
      <sheetName val="rekap-e20(Rp)"/>
      <sheetName val="rekap-e20 (USD)"/>
      <sheetName val="BQ-E20-02(Rp)"/>
      <sheetName val="BQ-E20-02 (USD)"/>
      <sheetName val="UP"/>
      <sheetName val="PA"/>
      <sheetName val="BQ (3)"/>
      <sheetName val="BQ"/>
      <sheetName val="BQ (2)"/>
      <sheetName val="Estimasi"/>
      <sheetName val="Sprinkler"/>
      <sheetName val="subkon"/>
      <sheetName val="Penjumlahan"/>
      <sheetName val="Cover"/>
      <sheetName val="Cover (x)"/>
      <sheetName val="Cor Apt"/>
      <sheetName val="daf-3(OK)"/>
      <sheetName val="daf-7(OK)"/>
      <sheetName val="upah_borong"/>
      <sheetName val="satuan_pek"/>
      <sheetName val="Cover Daf-2"/>
      <sheetName val="HB"/>
      <sheetName val="BAG-2"/>
      <sheetName val="RAB-2"/>
      <sheetName val="SEX"/>
      <sheetName val="Sales Parameter"/>
      <sheetName val="Parameter"/>
      <sheetName val="H.Satuan"/>
      <sheetName val="Bahan"/>
      <sheetName val="FINISHING"/>
      <sheetName val="SAT-BHN"/>
      <sheetName val="A"/>
      <sheetName val="Plumbing"/>
      <sheetName val="rekap-e20_(USD)"/>
      <sheetName val="BQ-E20-02_(USD)"/>
      <sheetName val="BQ_(3)"/>
      <sheetName val="BQ_(2)"/>
      <sheetName val="Cover_(x)"/>
      <sheetName val="Cor_Apt"/>
      <sheetName val="Cover_Daf-2"/>
      <sheetName val="H_Satuan"/>
      <sheetName val="Sales_Parameter"/>
      <sheetName val="MAPP"/>
      <sheetName val="an. struktur"/>
      <sheetName val="rek det 1-3"/>
      <sheetName val="harsat"/>
      <sheetName val="Dashboard"/>
      <sheetName val="bau"/>
      <sheetName val="Man Power"/>
      <sheetName val="Anls"/>
      <sheetName val="Daftar Upah"/>
      <sheetName val="Grand summary"/>
      <sheetName val="daf_3_OK_"/>
      <sheetName val="daf_7_OK_"/>
      <sheetName val="Mall"/>
      <sheetName val="Ana_harsat_persiapan"/>
      <sheetName val="ALAT"/>
      <sheetName val="ANA_TRESTLE_REKLAMASI_JEMBATAN"/>
      <sheetName val="DATA"/>
      <sheetName val="Koefisien Besi ( hit. bareng )"/>
      <sheetName val="UPAH BORONG"/>
      <sheetName val="Analisa"/>
      <sheetName val="dasboard"/>
      <sheetName val="RAB"/>
      <sheetName val="OH"/>
      <sheetName val="Satuan"/>
      <sheetName val="Mat.Mek"/>
      <sheetName val="Mat.Elk"/>
      <sheetName val="Des-05"/>
      <sheetName val="HRG BHN"/>
      <sheetName val="E20-02Guest House"/>
      <sheetName val="ESCON"/>
      <sheetName val="HARGA SATUAN"/>
      <sheetName val="blok 7"/>
      <sheetName val="Plumbing &amp; Fire"/>
      <sheetName val="Material"/>
      <sheetName val="anal"/>
      <sheetName val="Agregat Halus &amp; Kasar"/>
      <sheetName val="List material"/>
      <sheetName val="Ans-AC"/>
      <sheetName val="REKAP PANEL"/>
      <sheetName val="L-Mechanical"/>
      <sheetName val="BHN"/>
      <sheetName val="Agregat"/>
      <sheetName val="DAF_3"/>
      <sheetName val="DAF_4"/>
      <sheetName val="UPAH &amp; BHN ARS"/>
      <sheetName val="AHS ARS"/>
      <sheetName val="#REF"/>
      <sheetName val="STR"/>
      <sheetName val="Ur.Agregat"/>
      <sheetName val="Anl-Mobil(14)"/>
      <sheetName val="Anl.Ls(15)"/>
      <sheetName val="Umum"/>
      <sheetName val="HSD (8)"/>
      <sheetName val="Rekap Direct Cost"/>
      <sheetName val="Ktitas_Hg"/>
      <sheetName val="Rkap Bya"/>
      <sheetName val="DAFTAR HARGA SATUAN MATERIAL"/>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Electrikal"/>
      <sheetName val="Elektronik"/>
      <sheetName val="AC"/>
      <sheetName val="Fire Fighting"/>
      <sheetName val="Item Kompensasi"/>
      <sheetName val="HB "/>
      <sheetName val="ARAB"/>
      <sheetName val="DAF.ALAT"/>
      <sheetName val="Upah_Bahan"/>
      <sheetName val="divI"/>
      <sheetName val="Ana"/>
      <sheetName val="dasar"/>
      <sheetName val="PRICE"/>
      <sheetName val="pricing"/>
      <sheetName val="Bill No. 1"/>
      <sheetName val="ORETORET"/>
      <sheetName val="Bill No.3 Basement"/>
      <sheetName val="ARS"/>
      <sheetName val="villa"/>
      <sheetName val="hidran"/>
      <sheetName val="harga lama"/>
      <sheetName val="Jembatan I"/>
      <sheetName val="Summary"/>
      <sheetName val="bhn-upah"/>
      <sheetName val="rek det 1_3"/>
      <sheetName val="BOQ KSN"/>
      <sheetName val="I-KAMAR"/>
      <sheetName val="data_dci"/>
      <sheetName val="data_mci"/>
      <sheetName val="behind"/>
      <sheetName val="Main"/>
      <sheetName val="LISTRIK"/>
      <sheetName val="Rekap"/>
      <sheetName val="Anal_ Pancang"/>
      <sheetName val="HAR.SAT"/>
      <sheetName val="Affiliate With Reporting Unit"/>
      <sheetName val="Exchange Rates"/>
      <sheetName val="Bill-19"/>
      <sheetName val="sum-bill22"/>
      <sheetName val="An Arsitektur"/>
      <sheetName val="An Struktur"/>
      <sheetName val="D &amp; W sizes"/>
      <sheetName val="rekap-e20_(USD)1"/>
      <sheetName val="BQ-E20-02_(USD)1"/>
      <sheetName val="BQ_(3)1"/>
      <sheetName val="BQ_(2)1"/>
      <sheetName val="Cover_(x)1"/>
      <sheetName val="Cor_Apt1"/>
      <sheetName val="Cover_Daf-21"/>
      <sheetName val="Sales_Parameter1"/>
      <sheetName val="AN-ME"/>
      <sheetName val="tgp-02"/>
      <sheetName val="HARGA ALAT"/>
      <sheetName val="eqp-rek"/>
      <sheetName val="Sheet1"/>
      <sheetName val="Sheet2"/>
      <sheetName val="ISIAN (2)"/>
      <sheetName val="BEK-UP-OVERLEY"/>
      <sheetName val="sal &amp; galian"/>
      <sheetName val="LPA"/>
      <sheetName val="bahu jalan"/>
      <sheetName val="An-Ars"/>
      <sheetName val=" An-Str "/>
      <sheetName val="Regenerator  Concrete Structure"/>
      <sheetName val="Bill.2. PL - SUPPLY A"/>
      <sheetName val="hrg-sat.pek"/>
      <sheetName val="DAF-1"/>
      <sheetName val="divII"/>
      <sheetName val="Quantity"/>
      <sheetName val="H Satuan Dasar"/>
      <sheetName val="Harga Sat."/>
      <sheetName val="Harsat Bahan"/>
      <sheetName val="bhn,upah,alat"/>
      <sheetName val="Ans Kom Precast"/>
      <sheetName val="Harga Bahan"/>
      <sheetName val="MUA"/>
      <sheetName val="Harga ME "/>
      <sheetName val="112-885"/>
      <sheetName val="Anl.+"/>
      <sheetName val="DAF-2"/>
      <sheetName val="Pek. Utama"/>
      <sheetName val="PENAWARAN"/>
      <sheetName val="CAT_5"/>
      <sheetName val="D2.8"/>
      <sheetName val="HSP UPAH&amp;BAHAN"/>
      <sheetName val="B000(Steel)"/>
      <sheetName val="2000_080401"/>
      <sheetName val="rekI"/>
      <sheetName val="API610 Process Data"/>
      <sheetName val="API610 Type BB"/>
      <sheetName val="API610 Type OH"/>
      <sheetName val="API610 Type VS"/>
      <sheetName val="Units"/>
      <sheetName val="Instructions"/>
      <sheetName val="metode"/>
      <sheetName val="anal_hs"/>
      <sheetName val="BHN-UPH-ALT"/>
      <sheetName val="REKAP."/>
      <sheetName val="KURVA-S"/>
      <sheetName val="Analisa-1"/>
      <sheetName val="Analysis"/>
      <sheetName val="HARGA"/>
      <sheetName val="5-Peralatan"/>
      <sheetName val="Analisa HSP"/>
      <sheetName val="SATUAN_JADI"/>
      <sheetName val="HG-UPAH"/>
      <sheetName val="Analisa  BOW"/>
      <sheetName val="hsd"/>
      <sheetName val="RPP01-1"/>
      <sheetName val="PDP"/>
      <sheetName val="Add_trans"/>
      <sheetName val="S_2"/>
      <sheetName val="Pro_Base"/>
      <sheetName val="S_1"/>
      <sheetName val="Revenue"/>
      <sheetName val="Add_rev"/>
      <sheetName val="Exist"/>
      <sheetName val="Tot"/>
      <sheetName val="Tranponder"/>
      <sheetName val="desain"/>
      <sheetName val="Harga Dasar"/>
      <sheetName val="rincian A"/>
      <sheetName val="h satuan pekerjaan"/>
      <sheetName val="BOI_SIPIL"/>
      <sheetName val="Analisa ME (2)"/>
      <sheetName val="Kantor"/>
      <sheetName val="3_DIV8"/>
      <sheetName val="MATERIAL ANALISA"/>
      <sheetName val="SchC"/>
      <sheetName val="SchA"/>
      <sheetName val="SewAlat"/>
      <sheetName val="SchB"/>
      <sheetName val="SchD"/>
      <sheetName val="Sum"/>
      <sheetName val="Cost CCTV"/>
      <sheetName val="HS"/>
      <sheetName val="REKAP ME-I"/>
      <sheetName val="Harsat Upah"/>
      <sheetName val="DAFTAR HARGA"/>
      <sheetName val="Beban Box culvert"/>
      <sheetName val="AGG A"/>
      <sheetName val="AGG B"/>
      <sheetName val="DAFTAR BAHAN"/>
      <sheetName val="ATBL"/>
      <sheetName val="DAFTAR ALAT"/>
      <sheetName val="MARKA"/>
      <sheetName val="PAS. BATU"/>
      <sheetName val="PRIME COAT"/>
      <sheetName val="URUKAN"/>
      <sheetName val="Cover _x_"/>
      <sheetName val="BAG_2"/>
      <sheetName val="Master Data"/>
      <sheetName val="Ktr Cbg "/>
      <sheetName val="入力作成表"/>
      <sheetName val="mep"/>
      <sheetName val="AHSbj"/>
      <sheetName val="penawaran elianto"/>
      <sheetName val="IU"/>
      <sheetName val="PEMBESIAN BALOK INDUK!"/>
      <sheetName val="srt-pnwr"/>
      <sheetName val="huruf"/>
      <sheetName val="DHS"/>
      <sheetName val="RAP"/>
      <sheetName val="mob"/>
      <sheetName val="depresiasi"/>
      <sheetName val="RAP (2)"/>
      <sheetName val="info"/>
      <sheetName val="an-aspal"/>
      <sheetName val="an_alat"/>
      <sheetName val="BOQ"/>
      <sheetName val="DIV.2"/>
      <sheetName val="geotekstil"/>
      <sheetName val="DIVI6"/>
      <sheetName val="DIVI5"/>
      <sheetName val="DIVI8"/>
      <sheetName val="DIVI7"/>
      <sheetName val="DIVI3"/>
      <sheetName val="DIVI2"/>
      <sheetName val="BASC"/>
      <sheetName val="DIVI1"/>
      <sheetName val="Daftar-Anal"/>
      <sheetName val="basic"/>
      <sheetName val="total"/>
      <sheetName val="terbilang rp"/>
      <sheetName val="Input"/>
      <sheetName val="RAB-VAC"/>
      <sheetName val="RAB-PK"/>
      <sheetName val="RAB-ELC"/>
      <sheetName val="RAB-PL"/>
      <sheetName val="RAB-EL"/>
      <sheetName val="sdm"/>
      <sheetName val="map"/>
      <sheetName val="rkp"/>
      <sheetName val="ANAL2"/>
      <sheetName val="ANAL1"/>
      <sheetName val="Hrg Sat"/>
      <sheetName val="DC"/>
      <sheetName val="bilangan"/>
      <sheetName val="BQ_(3)2"/>
      <sheetName val="BQ_(2)2"/>
      <sheetName val="rekap-e20_(USD)2"/>
      <sheetName val="BQ-E20-02_(USD)2"/>
      <sheetName val="Cover_(x)2"/>
      <sheetName val="Cor_Apt2"/>
      <sheetName val="H_Satuan1"/>
      <sheetName val="Cover_Daf-22"/>
      <sheetName val="Sales_Parameter2"/>
      <sheetName val="an__struktur"/>
      <sheetName val="rek_det_1-3"/>
      <sheetName val="Man_Power"/>
      <sheetName val="Plumbing_&amp;_Fire"/>
      <sheetName val="Mat_Mek"/>
      <sheetName val="Mat_Elk"/>
      <sheetName val="HRG_BHN"/>
      <sheetName val="Grand_summary"/>
      <sheetName val="UPAH_&amp;_BHN_ARS"/>
      <sheetName val="AHS_ARS"/>
      <sheetName val="List_material"/>
      <sheetName val="REKAP_PANEL"/>
      <sheetName val="Fire_Fighting"/>
      <sheetName val="Item_Kompensasi"/>
      <sheetName val="HB_"/>
      <sheetName val="Daftar_Upah"/>
      <sheetName val="blok_7"/>
      <sheetName val="HARGA_SATUAN"/>
      <sheetName val="Agregat_Halus_&amp;_Kasar"/>
      <sheetName val="Ans_Kom_Precast"/>
      <sheetName val="Bill_2_ PL _ SUPPLY A"/>
      <sheetName val="Panel,feeder,elek"/>
      <sheetName val="BQ-Str"/>
      <sheetName val="an__struktur1"/>
      <sheetName val="rek_det_1-31"/>
      <sheetName val="Weight Bridge"/>
      <sheetName val="S-Kurve"/>
      <sheetName val="E20-02Guest_House"/>
      <sheetName val="rab lt 2 bo"/>
      <sheetName val="Upah"/>
      <sheetName val="ADM"/>
      <sheetName val="Bank"/>
      <sheetName val="JK"/>
      <sheetName val="Rincian SIM"/>
      <sheetName val="PMS"/>
      <sheetName val="PP"/>
      <sheetName val="Bangunan Utama"/>
      <sheetName val="DAF-5"/>
      <sheetName val="DAFTAR 7"/>
      <sheetName val="DAF_1"/>
      <sheetName val="DAFTAR_8"/>
      <sheetName val="R20_R30_work"/>
      <sheetName val="CV"/>
      <sheetName val="XL4Test5"/>
      <sheetName val="lab"/>
      <sheetName val="mat"/>
      <sheetName val="NP"/>
      <sheetName val="HSUB"/>
      <sheetName val="ANALISA-SNI01"/>
      <sheetName val="BAHAN-UPAH"/>
      <sheetName val="Analisa SNI"/>
      <sheetName val="Up _ bhn"/>
      <sheetName val="ALT"/>
      <sheetName val="SUB"/>
      <sheetName val="UPH"/>
      <sheetName val="chitimc"/>
      <sheetName val="THPDMoi  _2_"/>
      <sheetName val="dongia _2_"/>
      <sheetName val="gtrinh"/>
      <sheetName val="phuluc1"/>
      <sheetName val="TONG HOP VL_NC"/>
      <sheetName val="lam_moi"/>
      <sheetName val="chitiet"/>
      <sheetName val="TONGKE3p "/>
      <sheetName val="giathanh1"/>
      <sheetName val="TH VL_ NC_ DDHT Thanhphuoc"/>
      <sheetName val="_REF"/>
      <sheetName val="DONGIA"/>
      <sheetName val="thao_go"/>
      <sheetName val="DON GIA"/>
      <sheetName val="TONGKE_HT"/>
      <sheetName val="DG"/>
      <sheetName val="dtxl"/>
      <sheetName val="LKVL_CK_HT_GD1"/>
      <sheetName val="t_h HA THE"/>
      <sheetName val="CHITIET VL_NC_TT _1p"/>
      <sheetName val="TONG HOP VL_NC TT"/>
      <sheetName val="TNHCHINH"/>
      <sheetName val="TH XL"/>
      <sheetName val="CHITIET VL_NC"/>
      <sheetName val="VC"/>
      <sheetName val="Tiepdia"/>
      <sheetName val="CHITIET VL_NC_TT_3p"/>
      <sheetName val="TDTKP"/>
      <sheetName val="TDTKP1"/>
      <sheetName val="KPVC_BD "/>
      <sheetName val="VCV_BE_TONG"/>
      <sheetName val="Rate"/>
      <sheetName val="BQ (extern)"/>
      <sheetName val="Daf 1"/>
      <sheetName val="TE TS FA LAN MATV"/>
      <sheetName val="Harga Bahan &amp; Upah "/>
      <sheetName val="Harga sewa alat"/>
      <sheetName val="HARGA SATUAN UPAH PEKERJA"/>
      <sheetName val="SD"/>
      <sheetName val="Pipe Bridge"/>
      <sheetName val="Conveyor Bridge"/>
      <sheetName val="B_Conveyor"/>
      <sheetName val="Pekerjaan Luar"/>
      <sheetName val="M_O_S_"/>
      <sheetName val="B_Processing I"/>
      <sheetName val="B_Processing II"/>
      <sheetName val="B_Processing III"/>
      <sheetName val="B_Processing IV"/>
      <sheetName val="Preliminaries"/>
      <sheetName val="B_Processing V"/>
      <sheetName val="B_Produksi_skm_"/>
      <sheetName val="B_ Utility"/>
      <sheetName val="Analisa Gabungan"/>
      <sheetName val="Hrg Bhn &amp; Upah"/>
      <sheetName val="schdl"/>
      <sheetName val="Rev0"/>
      <sheetName val="ANALISA SOFT"/>
      <sheetName val="rab - persiapan &amp; lantai-1"/>
      <sheetName val="komp awal"/>
      <sheetName val="BIOSEPTIC"/>
      <sheetName val="struktur"/>
      <sheetName val="bahan "/>
      <sheetName val="LAL - PASAR PAGI "/>
      <sheetName val="ANALISA  (BARU)"/>
      <sheetName val="tgp_02"/>
      <sheetName val="Prog CD"/>
      <sheetName val="Analisa Upah &amp; Bahan Plum"/>
      <sheetName val="I_KAMAR"/>
      <sheetName val="HRGA SATUAN UPAH-BAHAN"/>
      <sheetName val="prog-dinding"/>
      <sheetName val="Bill rekap"/>
      <sheetName val="SITE-E"/>
      <sheetName val="I-ME"/>
      <sheetName val="304_06"/>
      <sheetName val="AHS "/>
      <sheetName val="HSD Alat"/>
      <sheetName val="HSD Bahan"/>
      <sheetName val="Lamp 2"/>
      <sheetName val="Jadwal"/>
      <sheetName val="Sum_If"/>
      <sheetName val="HSD Upah"/>
      <sheetName val="Lamp 1"/>
      <sheetName val="Data2"/>
      <sheetName val="Commodity Codes 6.03.1"/>
      <sheetName val="CH"/>
      <sheetName val="ES_PARK"/>
      <sheetName val="ES-PARK"/>
      <sheetName val="Sat~Bahu"/>
      <sheetName val="analis"/>
      <sheetName val="UPAH &amp; BAHAN"/>
      <sheetName val="RINCIAN"/>
      <sheetName val="D3"/>
      <sheetName val="D4"/>
      <sheetName val="D5"/>
      <sheetName val="D7(2)"/>
      <sheetName val="TKDN"/>
      <sheetName val="Peta Quarry"/>
      <sheetName val="Perhitungan Mobilisasi Alat"/>
      <sheetName val="Lalu Lintas"/>
      <sheetName val="Jembatan Sementara"/>
      <sheetName val="Spek"/>
      <sheetName val="Analisa Quarry"/>
      <sheetName val="SAT UPH&amp;BHN"/>
      <sheetName val="upah bahan"/>
      <sheetName val="UBA"/>
      <sheetName val="UP MINOR"/>
      <sheetName val="analisa_gedung"/>
      <sheetName val="Lab E (FKU)"/>
      <sheetName val="Anal. Pancang"/>
      <sheetName val="?????"/>
      <sheetName val="List Plant"/>
      <sheetName val="Sat Das"/>
      <sheetName val="Kuantitas &amp; Harga"/>
      <sheetName val="Anl-II"/>
      <sheetName val="Anl(7a)"/>
      <sheetName val="upahbahan"/>
      <sheetName val="rab1"/>
      <sheetName val="OUTPUT"/>
      <sheetName val="Hsatbahan"/>
      <sheetName val="DB"/>
      <sheetName val="B.Conveyor"/>
      <sheetName val="M.O.S."/>
      <sheetName val="B.Processing I"/>
      <sheetName val="B.Processing II"/>
      <sheetName val="B.Processing III"/>
      <sheetName val="B.Processing IV"/>
      <sheetName val="B.Processing V"/>
      <sheetName val="B.Produksi(skm)"/>
      <sheetName val="B. Utility"/>
      <sheetName val="RPP01-6"/>
      <sheetName val="H.SAT"/>
      <sheetName val="DIV"/>
      <sheetName val="Met1"/>
      <sheetName val="Met2"/>
      <sheetName val="ANALISA AGGR"/>
      <sheetName val="URAIAN ANALISA  2"/>
      <sheetName val="ANALISA HARGA"/>
      <sheetName val="Kuantitas _ Harga"/>
      <sheetName val="AHS Marka"/>
      <sheetName val="AHS Aspal"/>
      <sheetName val="3.1.3"/>
      <sheetName val="3.1.7 "/>
      <sheetName val="HSPK"/>
      <sheetName val="l*****"/>
      <sheetName val="000000"/>
      <sheetName val="Rekapitulasi"/>
      <sheetName val="Harsat_Pekerjaan"/>
      <sheetName val="NC-CM"/>
      <sheetName val="trans"/>
      <sheetName val="3 Koef Alat"/>
      <sheetName val="Cipinang"/>
      <sheetName val="Bek.Sloof"/>
      <sheetName val="mu"/>
      <sheetName val="rekap-PLPP"/>
      <sheetName val="Sumber Daya"/>
      <sheetName val="U&amp;B"/>
      <sheetName val="Analisa Precast"/>
      <sheetName val="Sum AHS"/>
      <sheetName val="Harmat Upah &amp; Bahan"/>
      <sheetName val="Rekap Ahs"/>
      <sheetName val="1"/>
      <sheetName val="LE_Total(G_Summ Proj)"/>
      <sheetName val="sort2"/>
      <sheetName val="TENES"/>
      <sheetName val="Budget"/>
      <sheetName val="Other PO's"/>
      <sheetName val="Contract &amp;V.O"/>
      <sheetName val="2"/>
      <sheetName val="_____"/>
      <sheetName val="Sipil"/>
      <sheetName val="KET"/>
      <sheetName val="Bill of Qty MEP"/>
      <sheetName val="FORM1"/>
      <sheetName val="1.0.견적기준(입력)"/>
      <sheetName val="단가표(2013.09.02)"/>
      <sheetName val="Quarry"/>
      <sheetName val="GVL§CT"/>
      <sheetName val="HPS-VAC"/>
      <sheetName val="Analisa ME "/>
      <sheetName val="Rekap Prelim"/>
      <sheetName val="Analisa Baku STR ARS"/>
      <sheetName val="MCSet4"/>
      <sheetName val="List Rate"/>
      <sheetName val="ADD 2 (1)"/>
      <sheetName val="Daf Alat"/>
      <sheetName val="Daf Material"/>
      <sheetName val="Jadual"/>
      <sheetName val="Sum IF"/>
      <sheetName val="Daf Upah"/>
      <sheetName val="P.PPR"/>
      <sheetName val="Voltot"/>
      <sheetName val="Pipe"/>
      <sheetName val="BQ_(3)4"/>
      <sheetName val="BQ_(2)4"/>
      <sheetName val="rekap-e20_(USD)4"/>
      <sheetName val="BQ-E20-02_(USD)4"/>
      <sheetName val="Cover_(x)4"/>
      <sheetName val="Cor_Apt4"/>
      <sheetName val="H_Satuan3"/>
      <sheetName val="Sales_Parameter4"/>
      <sheetName val="Cover_Daf-24"/>
      <sheetName val="an__struktur3"/>
      <sheetName val="rek_det_1-33"/>
      <sheetName val="Man_Power2"/>
      <sheetName val="Plumbing_&amp;_Fire2"/>
      <sheetName val="Mat_Mek2"/>
      <sheetName val="Mat_Elk2"/>
      <sheetName val="HRG_BHN2"/>
      <sheetName val="Grand_summary2"/>
      <sheetName val="UPAH_&amp;_BHN_ARS2"/>
      <sheetName val="AHS_ARS2"/>
      <sheetName val="List_material2"/>
      <sheetName val="REKAP_PANEL2"/>
      <sheetName val="Fire_Fighting2"/>
      <sheetName val="Item_Kompensasi2"/>
      <sheetName val="Daftar_Upah2"/>
      <sheetName val="HB_2"/>
      <sheetName val="blok_72"/>
      <sheetName val="HARGA_SATUAN2"/>
      <sheetName val="Agregat_Halus_&amp;_Kasar2"/>
      <sheetName val="Affiliate_With_Reporting_Unit1"/>
      <sheetName val="Exchange_Rates1"/>
      <sheetName val="An_Arsitektur1"/>
      <sheetName val="An_Struktur1"/>
      <sheetName val="D_&amp;_W_sizes1"/>
      <sheetName val="E20-02Guest_House1"/>
      <sheetName val="rek_det_1_31"/>
      <sheetName val="BOQ_KSN1"/>
      <sheetName val="Basic_Price1"/>
      <sheetName val="Agregat_Halus___Kasar1"/>
      <sheetName val="div_81"/>
      <sheetName val="div_21"/>
      <sheetName val="div_31"/>
      <sheetName val="div_41"/>
      <sheetName val="div_51"/>
      <sheetName val="div_61"/>
      <sheetName val="div_71"/>
      <sheetName val="div_91"/>
      <sheetName val="Rekap_Biaya1"/>
      <sheetName val="HAR_SAT1"/>
      <sheetName val="Ans_Kom_Precast2"/>
      <sheetName val="DAF_ALAT1"/>
      <sheetName val="Jembatan_I1"/>
      <sheetName val="Rkap_Bya1"/>
      <sheetName val="DAFTAR_HARGA_SATUAN_MATERIAL1"/>
      <sheetName val="harga_lama1"/>
      <sheetName val="Anal__Pancang1"/>
      <sheetName val="Pek__Utama1"/>
      <sheetName val="Anl_+1"/>
      <sheetName val="REKAP_ME-I1"/>
      <sheetName val="Bill_No__11"/>
      <sheetName val="Bill_No_3_Basement1"/>
      <sheetName val="hrg-sat_pek1"/>
      <sheetName val="Rekap_Direct_Cost1"/>
      <sheetName val="Koefisien_Besi_(_hit__bareng_)1"/>
      <sheetName val="BQ_(3)3"/>
      <sheetName val="BQ_(2)3"/>
      <sheetName val="rekap-e20_(USD)3"/>
      <sheetName val="BQ-E20-02_(USD)3"/>
      <sheetName val="Cover_(x)3"/>
      <sheetName val="Cor_Apt3"/>
      <sheetName val="H_Satuan2"/>
      <sheetName val="Sales_Parameter3"/>
      <sheetName val="Cover_Daf-23"/>
      <sheetName val="an__struktur2"/>
      <sheetName val="rek_det_1-32"/>
      <sheetName val="Man_Power1"/>
      <sheetName val="Plumbing_&amp;_Fire1"/>
      <sheetName val="Mat_Mek1"/>
      <sheetName val="Mat_Elk1"/>
      <sheetName val="HRG_BHN1"/>
      <sheetName val="Grand_summary1"/>
      <sheetName val="UPAH_&amp;_BHN_ARS1"/>
      <sheetName val="AHS_ARS1"/>
      <sheetName val="List_material1"/>
      <sheetName val="REKAP_PANEL1"/>
      <sheetName val="Fire_Fighting1"/>
      <sheetName val="Item_Kompensasi1"/>
      <sheetName val="Daftar_Upah1"/>
      <sheetName val="HB_1"/>
      <sheetName val="blok_71"/>
      <sheetName val="HARGA_SATUAN1"/>
      <sheetName val="Agregat_Halus_&amp;_Kasar1"/>
      <sheetName val="Affiliate_With_Reporting_Unit"/>
      <sheetName val="Exchange_Rates"/>
      <sheetName val="An_Arsitektur"/>
      <sheetName val="An_Struktur"/>
      <sheetName val="D_&amp;_W_sizes"/>
      <sheetName val="rek_det_1_3"/>
      <sheetName val="BOQ_KSN"/>
      <sheetName val="Basic_Price"/>
      <sheetName val="Agregat_Halus___Kasar"/>
      <sheetName val="div_8"/>
      <sheetName val="div_2"/>
      <sheetName val="div_3"/>
      <sheetName val="div_4"/>
      <sheetName val="div_5"/>
      <sheetName val="div_6"/>
      <sheetName val="div_7"/>
      <sheetName val="div_9"/>
      <sheetName val="Rekap_Biaya"/>
      <sheetName val="HAR_SAT"/>
      <sheetName val="Ans_Kom_Precast1"/>
      <sheetName val="DAF_ALAT"/>
      <sheetName val="Jembatan_I"/>
      <sheetName val="Rkap_Bya"/>
      <sheetName val="DAFTAR_HARGA_SATUAN_MATERIAL"/>
      <sheetName val="harga_lama"/>
      <sheetName val="Anal__Pancang"/>
      <sheetName val="Pek__Utama"/>
      <sheetName val="Anl_+"/>
      <sheetName val="REKAP_ME-I"/>
      <sheetName val="Bill_No__1"/>
      <sheetName val="Bill_No_3_Basement"/>
      <sheetName val="hrg-sat_pek"/>
      <sheetName val="Rekap_Direct_Cost"/>
      <sheetName val="Koefisien_Besi_(_hit__bareng_)"/>
      <sheetName val="Harsat_Bahan"/>
      <sheetName val="Cost_CCTV"/>
      <sheetName val="Bill_2__PL_-_SUPPLY_A"/>
      <sheetName val="Harsat_Upah"/>
      <sheetName val="Master_Data"/>
      <sheetName val="Hrg"/>
      <sheetName val="Anls BOW"/>
      <sheetName val="ANAL_2.1"/>
      <sheetName val="VOL_1"/>
      <sheetName val="LAMP_2.2"/>
      <sheetName val="610.05"/>
      <sheetName val="610.06"/>
      <sheetName val="610.07"/>
      <sheetName val="610.08"/>
      <sheetName val="ANALISA PEK.UMUM"/>
      <sheetName val="Basic_Data"/>
      <sheetName val="rpp 1-5"/>
      <sheetName val="610 6"/>
      <sheetName val="rpp 1-6"/>
      <sheetName val="BAHAN1"/>
      <sheetName val="Schedulle(S-curve)Break"/>
      <sheetName val="HARGA_ALAT"/>
      <sheetName val="PREAM"/>
      <sheetName val="bahan dan upah"/>
      <sheetName val="Bab 6 -3(5)"/>
      <sheetName val="2.3(2) Gor"/>
      <sheetName val="8.4.2 Rambu"/>
      <sheetName val="lokasari-el"/>
      <sheetName val="Pekerjaan Utama"/>
      <sheetName val="RT15918"/>
      <sheetName val="Analisa 2"/>
      <sheetName val="SAP"/>
      <sheetName val="Tanggapan"/>
      <sheetName val="ELKP"/>
      <sheetName val="ME TU"/>
      <sheetName val="GENSET"/>
      <sheetName val="EL"/>
      <sheetName val="ME PL"/>
      <sheetName val="TRAFO"/>
      <sheetName val="ANALISA ALAT BERAT"/>
      <sheetName val="COVER BA (2)"/>
      <sheetName val="BA CCO"/>
      <sheetName val="AN. HS PEK.BETON"/>
      <sheetName val="ANALISA "/>
      <sheetName val="Upah n Bahan"/>
      <sheetName val="sewa alat"/>
      <sheetName val="HARGA DASAR BAHAN"/>
      <sheetName val="HARGA DASAR UPAH"/>
      <sheetName val="Analysa"/>
      <sheetName val="Kuantitas"/>
      <sheetName val="H.DASAR"/>
      <sheetName val="Data-Masukan"/>
      <sheetName val="Prod 02"/>
      <sheetName val="EVA 1"/>
      <sheetName val="Anas"/>
      <sheetName val="An. Elektrikal"/>
      <sheetName val="UPAH BAHAN BKM"/>
      <sheetName val="analisa jalan"/>
      <sheetName val="Daf-Harga"/>
      <sheetName val="Progres Rasio LR"/>
      <sheetName val="RAP Change"/>
      <sheetName val="DATA PROYEK"/>
      <sheetName val="Analisa Harsat"/>
      <sheetName val="Analisa Harsat CCO Intern"/>
      <sheetName val="AnHarSat Real Saat Ini"/>
      <sheetName val="AnHarSat Real Sd Saat Lalu"/>
      <sheetName val="Rekap RAP"/>
      <sheetName val="BUL"/>
      <sheetName val="Cost Control Utk Perub RAP"/>
      <sheetName val="Sel Dev"/>
      <sheetName val="Progress Ekstern"/>
      <sheetName val="Harsat Alat"/>
      <sheetName val="Harsat SubKon"/>
      <sheetName val="Laporan Harian"/>
      <sheetName val="Hrn I"/>
      <sheetName val="Hrn II"/>
      <sheetName val="Hrn III"/>
      <sheetName val="BA Pemeriksaan"/>
      <sheetName val="R. RapatCCO"/>
      <sheetName val="Biaya LONSTAD"/>
      <sheetName val="Laporan Mingguan"/>
      <sheetName val="BAP"/>
      <sheetName val="Rekap MC"/>
      <sheetName val="BA Fisik"/>
      <sheetName val="Evaluasi CCO"/>
      <sheetName val="Hsl Evaluasi"/>
      <sheetName val="Lap Pek 2"/>
      <sheetName val="Lap Pek 1"/>
      <sheetName val="Penilaian Hasil FHO"/>
      <sheetName val="Penilaian Hasil PHO"/>
      <sheetName val="Penyampaian Evaluasi"/>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Form AHS"/>
      <sheetName val="bhn_upah"/>
      <sheetName val="div2"/>
      <sheetName val="ANALISA HARGA SATUAN"/>
      <sheetName val="REKAP AHS Lansekap"/>
      <sheetName val="Point List"/>
      <sheetName val="Point List Tower 1"/>
      <sheetName val="Point List Tower 2"/>
      <sheetName val="Point List Tower 3"/>
      <sheetName val="Point List Tower 4"/>
      <sheetName val="Instalasi"/>
      <sheetName val="Penjumlahan BAS"/>
      <sheetName val="Cost BAS"/>
      <sheetName val="PAD-F"/>
      <sheetName val="Daf-3.5 Sanitair"/>
      <sheetName val="Penwrn"/>
      <sheetName val="Scd_RAB"/>
      <sheetName val="MCSet4 DB"/>
      <sheetName val="SAT-DAS"/>
      <sheetName val="Anls SNI"/>
      <sheetName val="ANALISA railing"/>
      <sheetName val="Div 10"/>
      <sheetName val="HARGADASAR"/>
      <sheetName val="Contract-Data"/>
      <sheetName val="DET 1"/>
      <sheetName val="DET 2"/>
      <sheetName val="INFO UMUM"/>
      <sheetName val="M-GOWA"/>
      <sheetName val="#REF!"/>
      <sheetName val="Commodity_Codes_6_03_12"/>
      <sheetName val="Commodity_Codes_6_03_1"/>
      <sheetName val="Commodity_Codes_6_03_11"/>
      <sheetName val="Up &amp; bhn"/>
      <sheetName val="Har-sat"/>
      <sheetName val="Analisa-S"/>
      <sheetName val="nama PT."/>
      <sheetName val="Analis ME"/>
      <sheetName val="(ANALISA-lain)"/>
      <sheetName val="Bor pile"/>
    </sheetNames>
    <sheetDataSet>
      <sheetData sheetId="0"/>
      <sheetData sheetId="1" refreshError="1"/>
      <sheetData sheetId="2" refreshError="1"/>
      <sheetData sheetId="3" refreshError="1"/>
      <sheetData sheetId="4" refreshError="1"/>
      <sheetData sheetId="5" refreshError="1"/>
      <sheetData sheetId="6" refreshError="1">
        <row r="14">
          <cell r="B14" t="str">
            <v>I.</v>
          </cell>
          <cell r="C14">
            <v>0</v>
          </cell>
          <cell r="D14" t="str">
            <v>CONCRETE WORKS</v>
          </cell>
        </row>
        <row r="15">
          <cell r="B15">
            <v>1</v>
          </cell>
          <cell r="C15">
            <v>0</v>
          </cell>
          <cell r="D15" t="str">
            <v xml:space="preserve">Concrete column C1, C2, &amp; C3 </v>
          </cell>
          <cell r="E15" t="str">
            <v>m3</v>
          </cell>
          <cell r="F15">
            <v>4.8600000000000003</v>
          </cell>
          <cell r="G15">
            <v>779354</v>
          </cell>
          <cell r="H15">
            <v>120000</v>
          </cell>
          <cell r="I15">
            <v>4370860.4400000004</v>
          </cell>
        </row>
        <row r="16">
          <cell r="B16">
            <v>2</v>
          </cell>
          <cell r="C16">
            <v>0</v>
          </cell>
          <cell r="D16" t="str">
            <v>Concrete beam 200 x 150</v>
          </cell>
          <cell r="E16" t="str">
            <v>m3</v>
          </cell>
          <cell r="F16">
            <v>12.29</v>
          </cell>
          <cell r="G16">
            <v>803874</v>
          </cell>
          <cell r="H16">
            <v>120000</v>
          </cell>
          <cell r="I16">
            <v>11354411.459999999</v>
          </cell>
        </row>
        <row r="17">
          <cell r="B17">
            <v>3</v>
          </cell>
          <cell r="C17">
            <v>0</v>
          </cell>
          <cell r="D17" t="str">
            <v>Concrete slab  12 thick</v>
          </cell>
          <cell r="E17" t="str">
            <v>m3</v>
          </cell>
          <cell r="F17">
            <v>76.930000000000007</v>
          </cell>
          <cell r="G17">
            <v>398186</v>
          </cell>
          <cell r="H17">
            <v>180000</v>
          </cell>
          <cell r="I17">
            <v>44479848.980000004</v>
          </cell>
        </row>
        <row r="19">
          <cell r="B19">
            <v>4</v>
          </cell>
          <cell r="C19">
            <v>0</v>
          </cell>
          <cell r="D19" t="str">
            <v>Reinforcing steel</v>
          </cell>
        </row>
        <row r="20">
          <cell r="D20" t="str">
            <v xml:space="preserve"> - Dia. 13</v>
          </cell>
          <cell r="E20" t="str">
            <v>kg</v>
          </cell>
          <cell r="F20">
            <v>3456.24</v>
          </cell>
          <cell r="G20">
            <v>8355</v>
          </cell>
          <cell r="H20">
            <v>840</v>
          </cell>
          <cell r="I20">
            <v>31780126.799999997</v>
          </cell>
        </row>
        <row r="21">
          <cell r="D21" t="str">
            <v xml:space="preserve"> - Dia. 10</v>
          </cell>
          <cell r="E21" t="str">
            <v>kg</v>
          </cell>
          <cell r="F21">
            <v>1545.31</v>
          </cell>
          <cell r="G21">
            <v>8355</v>
          </cell>
          <cell r="H21">
            <v>840</v>
          </cell>
          <cell r="I21">
            <v>14209125.449999999</v>
          </cell>
        </row>
        <row r="22">
          <cell r="D22" t="str">
            <v xml:space="preserve"> - Dia.   8</v>
          </cell>
          <cell r="E22" t="str">
            <v>kg</v>
          </cell>
          <cell r="F22">
            <v>1212.18</v>
          </cell>
          <cell r="G22">
            <v>8355</v>
          </cell>
          <cell r="H22">
            <v>840</v>
          </cell>
          <cell r="I22">
            <v>11145995.100000001</v>
          </cell>
        </row>
        <row r="23">
          <cell r="D23" t="str">
            <v xml:space="preserve"> - Dowel dia. 13</v>
          </cell>
          <cell r="E23" t="str">
            <v>ea</v>
          </cell>
          <cell r="F23">
            <v>396</v>
          </cell>
          <cell r="G23">
            <v>5225</v>
          </cell>
          <cell r="H23">
            <v>600</v>
          </cell>
          <cell r="I23">
            <v>2306700</v>
          </cell>
        </row>
        <row r="25">
          <cell r="B25">
            <v>6</v>
          </cell>
          <cell r="C25">
            <v>0</v>
          </cell>
          <cell r="D25" t="str">
            <v>Joint sealant &amp; filler</v>
          </cell>
          <cell r="E25" t="str">
            <v>m'</v>
          </cell>
          <cell r="F25">
            <v>118.8</v>
          </cell>
          <cell r="G25">
            <v>4685</v>
          </cell>
          <cell r="H25">
            <v>1560</v>
          </cell>
          <cell r="I25">
            <v>741906</v>
          </cell>
        </row>
        <row r="26">
          <cell r="B26">
            <v>7</v>
          </cell>
          <cell r="C26">
            <v>0</v>
          </cell>
          <cell r="D26" t="str">
            <v>Polythene</v>
          </cell>
          <cell r="E26" t="str">
            <v>m2</v>
          </cell>
          <cell r="F26">
            <v>536.20000000000005</v>
          </cell>
          <cell r="G26">
            <v>5566</v>
          </cell>
          <cell r="H26">
            <v>600</v>
          </cell>
          <cell r="I26">
            <v>3306209.2</v>
          </cell>
        </row>
        <row r="27">
          <cell r="B27">
            <v>8</v>
          </cell>
          <cell r="C27">
            <v>0</v>
          </cell>
          <cell r="D27" t="str">
            <v>Sand blanket 2 cm thick</v>
          </cell>
          <cell r="E27" t="str">
            <v>m3</v>
          </cell>
          <cell r="F27">
            <v>10.7</v>
          </cell>
          <cell r="G27">
            <v>90000</v>
          </cell>
          <cell r="H27">
            <v>1896</v>
          </cell>
          <cell r="I27">
            <v>983287.2</v>
          </cell>
        </row>
        <row r="28">
          <cell r="I28">
            <v>124678470.63000003</v>
          </cell>
        </row>
        <row r="30">
          <cell r="B30" t="str">
            <v>II.</v>
          </cell>
          <cell r="C30">
            <v>0</v>
          </cell>
          <cell r="D30" t="str">
            <v>WOOD &amp; PLASTIC WORKS</v>
          </cell>
        </row>
        <row r="31">
          <cell r="B31">
            <v>1</v>
          </cell>
          <cell r="C31">
            <v>0</v>
          </cell>
          <cell r="D31" t="str">
            <v>Timber/wooden truss</v>
          </cell>
        </row>
        <row r="32">
          <cell r="D32" t="str">
            <v xml:space="preserve"> - 80/150</v>
          </cell>
          <cell r="E32" t="str">
            <v>m3</v>
          </cell>
          <cell r="F32">
            <v>0</v>
          </cell>
          <cell r="G32">
            <v>2106245</v>
          </cell>
          <cell r="H32">
            <v>340000.00000000006</v>
          </cell>
          <cell r="I32">
            <v>0</v>
          </cell>
        </row>
        <row r="33">
          <cell r="D33" t="str">
            <v xml:space="preserve"> - 60/150</v>
          </cell>
          <cell r="E33" t="str">
            <v>m3</v>
          </cell>
          <cell r="F33">
            <v>0.56999999999999995</v>
          </cell>
          <cell r="G33">
            <v>2106245</v>
          </cell>
          <cell r="H33">
            <v>340000.00000000006</v>
          </cell>
          <cell r="I33">
            <v>1394359.65</v>
          </cell>
        </row>
        <row r="34">
          <cell r="D34" t="str">
            <v xml:space="preserve"> - 50/100</v>
          </cell>
          <cell r="E34" t="str">
            <v>m3</v>
          </cell>
          <cell r="F34">
            <v>4.84</v>
          </cell>
          <cell r="G34">
            <v>2106245</v>
          </cell>
          <cell r="H34">
            <v>340000.00000000006</v>
          </cell>
          <cell r="I34">
            <v>11839825.799999999</v>
          </cell>
        </row>
        <row r="35">
          <cell r="D35" t="str">
            <v xml:space="preserve"> - 30/150</v>
          </cell>
          <cell r="E35" t="str">
            <v>m3</v>
          </cell>
          <cell r="F35">
            <v>1.73</v>
          </cell>
          <cell r="G35">
            <v>2106245</v>
          </cell>
          <cell r="H35">
            <v>340000.00000000006</v>
          </cell>
          <cell r="I35">
            <v>4232003.8499999996</v>
          </cell>
        </row>
        <row r="36">
          <cell r="D36" t="str">
            <v xml:space="preserve"> - 50/70</v>
          </cell>
          <cell r="E36" t="str">
            <v>m3</v>
          </cell>
          <cell r="F36">
            <v>10.36</v>
          </cell>
          <cell r="G36">
            <v>2106245</v>
          </cell>
          <cell r="H36">
            <v>340000.00000000006</v>
          </cell>
          <cell r="I36">
            <v>25343098.199999999</v>
          </cell>
        </row>
        <row r="37">
          <cell r="D37" t="str">
            <v xml:space="preserve"> - 30/40</v>
          </cell>
          <cell r="E37" t="str">
            <v>m3</v>
          </cell>
          <cell r="F37">
            <v>4.1399999999999997</v>
          </cell>
          <cell r="G37">
            <v>2106245</v>
          </cell>
          <cell r="H37">
            <v>340000.00000000006</v>
          </cell>
          <cell r="I37">
            <v>10127454.299999999</v>
          </cell>
        </row>
        <row r="39">
          <cell r="B39">
            <v>2</v>
          </cell>
          <cell r="C39">
            <v>0</v>
          </cell>
          <cell r="D39" t="str">
            <v>Steel Plate 4 mm</v>
          </cell>
          <cell r="E39" t="str">
            <v>kg</v>
          </cell>
          <cell r="F39">
            <v>361.7</v>
          </cell>
          <cell r="G39">
            <v>9205</v>
          </cell>
          <cell r="H39">
            <v>3000</v>
          </cell>
          <cell r="I39">
            <v>4414548.5</v>
          </cell>
        </row>
        <row r="40">
          <cell r="B40">
            <v>3</v>
          </cell>
          <cell r="C40">
            <v>0</v>
          </cell>
          <cell r="D40" t="str">
            <v>Bolt dia. 12 mm</v>
          </cell>
          <cell r="E40" t="str">
            <v>ea</v>
          </cell>
          <cell r="F40">
            <v>36</v>
          </cell>
          <cell r="G40">
            <v>4950</v>
          </cell>
          <cell r="H40">
            <v>600</v>
          </cell>
          <cell r="I40">
            <v>199800</v>
          </cell>
        </row>
        <row r="41">
          <cell r="B41">
            <v>4</v>
          </cell>
          <cell r="C41">
            <v>0</v>
          </cell>
          <cell r="D41" t="str">
            <v>Timber ceiling 50/70</v>
          </cell>
          <cell r="E41" t="str">
            <v>m3</v>
          </cell>
          <cell r="F41">
            <v>7.54</v>
          </cell>
          <cell r="G41">
            <v>2106245</v>
          </cell>
          <cell r="H41">
            <v>10428</v>
          </cell>
          <cell r="I41">
            <v>15959714.42</v>
          </cell>
        </row>
        <row r="42">
          <cell r="B42">
            <v>5</v>
          </cell>
          <cell r="C42">
            <v>0</v>
          </cell>
          <cell r="D42" t="str">
            <v>Timber railing</v>
          </cell>
        </row>
        <row r="43">
          <cell r="D43" t="str">
            <v xml:space="preserve"> - 80/80</v>
          </cell>
          <cell r="E43" t="str">
            <v>m3</v>
          </cell>
          <cell r="F43">
            <v>0.2</v>
          </cell>
          <cell r="G43">
            <v>3878655</v>
          </cell>
          <cell r="H43">
            <v>340000</v>
          </cell>
          <cell r="I43">
            <v>843731</v>
          </cell>
        </row>
        <row r="44">
          <cell r="D44" t="str">
            <v xml:space="preserve"> - 60/80</v>
          </cell>
          <cell r="E44" t="str">
            <v>m3</v>
          </cell>
          <cell r="F44">
            <v>0.43</v>
          </cell>
          <cell r="G44">
            <v>3878655</v>
          </cell>
          <cell r="H44">
            <v>340000</v>
          </cell>
          <cell r="I44">
            <v>1814021.65</v>
          </cell>
        </row>
        <row r="45">
          <cell r="D45" t="str">
            <v xml:space="preserve"> - 50/30</v>
          </cell>
          <cell r="E45" t="str">
            <v>m3</v>
          </cell>
          <cell r="F45">
            <v>0.17</v>
          </cell>
          <cell r="G45">
            <v>3878655</v>
          </cell>
          <cell r="H45">
            <v>340000</v>
          </cell>
          <cell r="I45">
            <v>717171.35000000009</v>
          </cell>
        </row>
        <row r="46">
          <cell r="I46">
            <v>76885728.719999999</v>
          </cell>
        </row>
        <row r="48">
          <cell r="B48" t="str">
            <v>III.</v>
          </cell>
          <cell r="C48">
            <v>0</v>
          </cell>
          <cell r="D48" t="str">
            <v>THERMAL &amp; MOISTURE PROTECTION WORKS</v>
          </cell>
        </row>
        <row r="50">
          <cell r="B50">
            <v>1</v>
          </cell>
          <cell r="C50">
            <v>0</v>
          </cell>
          <cell r="D50" t="str">
            <v>Wall</v>
          </cell>
        </row>
        <row r="51">
          <cell r="D51" t="str">
            <v xml:space="preserve"> - Concrete hollow block 15 cm thick</v>
          </cell>
          <cell r="E51" t="str">
            <v>m2</v>
          </cell>
          <cell r="F51">
            <v>598.38</v>
          </cell>
          <cell r="G51">
            <v>125003</v>
          </cell>
          <cell r="H51">
            <v>10044</v>
          </cell>
          <cell r="I51">
            <v>80809423.859999999</v>
          </cell>
        </row>
        <row r="53">
          <cell r="B53">
            <v>2</v>
          </cell>
          <cell r="C53">
            <v>0</v>
          </cell>
          <cell r="D53" t="str">
            <v>Ceiling</v>
          </cell>
        </row>
        <row r="54">
          <cell r="D54" t="str">
            <v xml:space="preserve"> - Plasterboard, 12 mm thick</v>
          </cell>
          <cell r="E54" t="str">
            <v>m2</v>
          </cell>
          <cell r="F54">
            <v>381.96</v>
          </cell>
          <cell r="G54">
            <v>57850</v>
          </cell>
          <cell r="H54">
            <v>6000</v>
          </cell>
          <cell r="I54">
            <v>24388146</v>
          </cell>
        </row>
        <row r="55">
          <cell r="D55" t="str">
            <v xml:space="preserve"> - Fibre/Glass reinforced cement, 6 mm thick</v>
          </cell>
          <cell r="E55" t="str">
            <v>m2</v>
          </cell>
          <cell r="F55">
            <v>300.95</v>
          </cell>
          <cell r="G55">
            <v>46500</v>
          </cell>
          <cell r="H55">
            <v>4200</v>
          </cell>
          <cell r="I55">
            <v>15258165</v>
          </cell>
        </row>
        <row r="57">
          <cell r="B57">
            <v>3</v>
          </cell>
          <cell r="C57">
            <v>0</v>
          </cell>
          <cell r="D57" t="str">
            <v>Wooden fascia</v>
          </cell>
          <cell r="E57" t="str">
            <v>m'</v>
          </cell>
          <cell r="F57">
            <v>213.7</v>
          </cell>
          <cell r="G57">
            <v>27305</v>
          </cell>
          <cell r="H57">
            <v>6000</v>
          </cell>
          <cell r="I57">
            <v>7117278.5</v>
          </cell>
        </row>
        <row r="58">
          <cell r="B58">
            <v>4</v>
          </cell>
          <cell r="C58">
            <v>0</v>
          </cell>
          <cell r="D58" t="str">
            <v>Corugated metal roofing</v>
          </cell>
          <cell r="E58" t="str">
            <v>m2</v>
          </cell>
          <cell r="F58">
            <v>55</v>
          </cell>
          <cell r="G58">
            <v>31702</v>
          </cell>
          <cell r="H58">
            <v>2160</v>
          </cell>
          <cell r="I58">
            <v>1862410</v>
          </cell>
        </row>
        <row r="59">
          <cell r="B59">
            <v>5</v>
          </cell>
          <cell r="C59">
            <v>0</v>
          </cell>
          <cell r="D59" t="str">
            <v>Metal ridge cap</v>
          </cell>
          <cell r="E59" t="str">
            <v>m'</v>
          </cell>
          <cell r="F59">
            <v>11</v>
          </cell>
          <cell r="G59">
            <v>20623</v>
          </cell>
          <cell r="H59">
            <v>2160</v>
          </cell>
          <cell r="I59">
            <v>250613</v>
          </cell>
        </row>
        <row r="60">
          <cell r="B60">
            <v>6</v>
          </cell>
          <cell r="C60">
            <v>0</v>
          </cell>
          <cell r="D60" t="str">
            <v>PVC gutter 220 x 150</v>
          </cell>
          <cell r="E60" t="str">
            <v>m'</v>
          </cell>
          <cell r="F60">
            <v>123.6</v>
          </cell>
          <cell r="G60">
            <v>32500</v>
          </cell>
          <cell r="H60">
            <v>9876</v>
          </cell>
          <cell r="I60">
            <v>5237673.5999999996</v>
          </cell>
        </row>
        <row r="61">
          <cell r="B61">
            <v>7</v>
          </cell>
          <cell r="C61">
            <v>0</v>
          </cell>
          <cell r="D61" t="str">
            <v>Ceramic roof tile</v>
          </cell>
          <cell r="E61" t="str">
            <v>m2</v>
          </cell>
          <cell r="F61">
            <v>767.3</v>
          </cell>
          <cell r="G61">
            <v>42500</v>
          </cell>
          <cell r="H61">
            <v>1800</v>
          </cell>
          <cell r="I61">
            <v>33991390</v>
          </cell>
        </row>
        <row r="62">
          <cell r="B62">
            <v>8</v>
          </cell>
          <cell r="C62">
            <v>0</v>
          </cell>
          <cell r="D62" t="str">
            <v>Ceramic ridge cap tile</v>
          </cell>
          <cell r="E62" t="str">
            <v>m'</v>
          </cell>
          <cell r="F62">
            <v>64.400000000000006</v>
          </cell>
          <cell r="G62">
            <v>25650</v>
          </cell>
          <cell r="H62">
            <v>3600</v>
          </cell>
          <cell r="I62">
            <v>1883700.0000000002</v>
          </cell>
        </row>
        <row r="63">
          <cell r="B63">
            <v>7</v>
          </cell>
          <cell r="C63">
            <v>0</v>
          </cell>
          <cell r="D63" t="str">
            <v>PVC down spout dia. 100 mm</v>
          </cell>
          <cell r="E63" t="str">
            <v>m'</v>
          </cell>
          <cell r="F63">
            <v>55.44</v>
          </cell>
          <cell r="G63">
            <v>23400</v>
          </cell>
          <cell r="H63">
            <v>5520</v>
          </cell>
          <cell r="I63">
            <v>1603324.8</v>
          </cell>
        </row>
        <row r="64">
          <cell r="B64">
            <v>8</v>
          </cell>
          <cell r="C64">
            <v>0</v>
          </cell>
          <cell r="D64" t="str">
            <v>Wool insulation with aluminium foil below roof</v>
          </cell>
          <cell r="E64" t="str">
            <v>m2</v>
          </cell>
          <cell r="F64">
            <v>1142.4000000000001</v>
          </cell>
          <cell r="G64">
            <v>56930</v>
          </cell>
          <cell r="H64">
            <v>1800</v>
          </cell>
          <cell r="I64">
            <v>67093152.000000007</v>
          </cell>
        </row>
        <row r="65">
          <cell r="D65" t="str">
            <v>and above ceiling</v>
          </cell>
        </row>
        <row r="66">
          <cell r="B66">
            <v>9</v>
          </cell>
          <cell r="C66">
            <v>0</v>
          </cell>
          <cell r="D66" t="str">
            <v>Roof drains</v>
          </cell>
          <cell r="E66" t="str">
            <v>ea</v>
          </cell>
          <cell r="F66">
            <v>11</v>
          </cell>
          <cell r="G66">
            <v>67500</v>
          </cell>
          <cell r="H66">
            <v>5520</v>
          </cell>
          <cell r="I66">
            <v>803220</v>
          </cell>
        </row>
        <row r="67">
          <cell r="I67">
            <v>240298496.76000002</v>
          </cell>
        </row>
        <row r="68">
          <cell r="B68" t="str">
            <v>IV.</v>
          </cell>
          <cell r="C68">
            <v>0</v>
          </cell>
          <cell r="D68" t="str">
            <v>DOORS &amp; WINDOWS WORKS</v>
          </cell>
        </row>
        <row r="69">
          <cell r="B69">
            <v>1</v>
          </cell>
          <cell r="C69">
            <v>0</v>
          </cell>
          <cell r="D69" t="str">
            <v>Doors</v>
          </cell>
        </row>
        <row r="70">
          <cell r="D70" t="str">
            <v xml:space="preserve"> - Type D4</v>
          </cell>
          <cell r="E70" t="str">
            <v>unit</v>
          </cell>
          <cell r="F70">
            <v>2</v>
          </cell>
          <cell r="G70">
            <v>1185000</v>
          </cell>
          <cell r="H70">
            <v>329568</v>
          </cell>
          <cell r="I70">
            <v>3029136</v>
          </cell>
        </row>
        <row r="71">
          <cell r="D71" t="str">
            <v xml:space="preserve"> - Type D6</v>
          </cell>
          <cell r="E71" t="str">
            <v>unit</v>
          </cell>
          <cell r="F71">
            <v>11</v>
          </cell>
          <cell r="G71">
            <v>902500</v>
          </cell>
          <cell r="H71">
            <v>651600</v>
          </cell>
          <cell r="I71">
            <v>17095100</v>
          </cell>
        </row>
        <row r="72">
          <cell r="D72" t="str">
            <v xml:space="preserve"> - Type D7</v>
          </cell>
          <cell r="E72" t="str">
            <v>unit</v>
          </cell>
          <cell r="F72">
            <v>3</v>
          </cell>
          <cell r="G72">
            <v>465500</v>
          </cell>
          <cell r="H72">
            <v>129576</v>
          </cell>
          <cell r="I72">
            <v>1785228</v>
          </cell>
        </row>
        <row r="73">
          <cell r="D73" t="str">
            <v xml:space="preserve"> - Type D8</v>
          </cell>
          <cell r="E73" t="str">
            <v>unit</v>
          </cell>
          <cell r="F73">
            <v>8</v>
          </cell>
          <cell r="G73">
            <v>865000</v>
          </cell>
          <cell r="H73">
            <v>241776</v>
          </cell>
          <cell r="I73">
            <v>8854208</v>
          </cell>
        </row>
        <row r="74">
          <cell r="D74" t="str">
            <v xml:space="preserve"> - Type DW1</v>
          </cell>
          <cell r="E74" t="str">
            <v>unit</v>
          </cell>
          <cell r="F74">
            <v>3</v>
          </cell>
          <cell r="G74">
            <v>1350000</v>
          </cell>
          <cell r="H74">
            <v>383316</v>
          </cell>
          <cell r="I74">
            <v>5199948</v>
          </cell>
        </row>
        <row r="75">
          <cell r="D75" t="str">
            <v xml:space="preserve"> - Type DW2</v>
          </cell>
          <cell r="E75" t="str">
            <v>unit</v>
          </cell>
          <cell r="F75">
            <v>1</v>
          </cell>
          <cell r="G75">
            <v>1015000</v>
          </cell>
          <cell r="H75">
            <v>282336</v>
          </cell>
          <cell r="I75">
            <v>1297336</v>
          </cell>
        </row>
        <row r="76">
          <cell r="D76" t="str">
            <v xml:space="preserve"> - Type DW3</v>
          </cell>
          <cell r="E76" t="str">
            <v>unit</v>
          </cell>
          <cell r="F76">
            <v>2</v>
          </cell>
          <cell r="G76">
            <v>1242500</v>
          </cell>
          <cell r="H76">
            <v>345156</v>
          </cell>
          <cell r="I76">
            <v>3175312</v>
          </cell>
        </row>
        <row r="77">
          <cell r="D77" t="str">
            <v xml:space="preserve"> - Type DW4</v>
          </cell>
          <cell r="E77" t="str">
            <v>unit</v>
          </cell>
          <cell r="F77">
            <v>2</v>
          </cell>
          <cell r="G77">
            <v>1242500</v>
          </cell>
          <cell r="H77">
            <v>345156</v>
          </cell>
          <cell r="I77">
            <v>3175312</v>
          </cell>
        </row>
        <row r="79">
          <cell r="B79">
            <v>2</v>
          </cell>
          <cell r="C79">
            <v>0</v>
          </cell>
          <cell r="D79" t="str">
            <v>Windows</v>
          </cell>
        </row>
        <row r="80">
          <cell r="D80" t="str">
            <v xml:space="preserve"> - Type W3</v>
          </cell>
          <cell r="E80" t="str">
            <v>unit</v>
          </cell>
          <cell r="F80">
            <v>2</v>
          </cell>
          <cell r="G80">
            <v>250500</v>
          </cell>
          <cell r="H80">
            <v>69570</v>
          </cell>
          <cell r="I80">
            <v>640140</v>
          </cell>
        </row>
        <row r="81">
          <cell r="D81" t="str">
            <v xml:space="preserve"> - Type W3b</v>
          </cell>
          <cell r="E81" t="str">
            <v>unit</v>
          </cell>
          <cell r="F81">
            <v>1</v>
          </cell>
          <cell r="G81">
            <v>250500</v>
          </cell>
          <cell r="H81">
            <v>69570</v>
          </cell>
          <cell r="I81">
            <v>320070</v>
          </cell>
        </row>
        <row r="82">
          <cell r="D82" t="str">
            <v xml:space="preserve"> - Type W4</v>
          </cell>
          <cell r="E82" t="str">
            <v>unit</v>
          </cell>
          <cell r="F82">
            <v>2</v>
          </cell>
          <cell r="G82">
            <v>222500</v>
          </cell>
          <cell r="H82">
            <v>61416</v>
          </cell>
          <cell r="I82">
            <v>567832</v>
          </cell>
        </row>
        <row r="83">
          <cell r="D83" t="str">
            <v xml:space="preserve"> - Type W4b</v>
          </cell>
          <cell r="E83" t="str">
            <v>unit</v>
          </cell>
          <cell r="F83">
            <v>1</v>
          </cell>
          <cell r="G83">
            <v>191500</v>
          </cell>
          <cell r="H83">
            <v>49224</v>
          </cell>
          <cell r="I83">
            <v>240724</v>
          </cell>
        </row>
        <row r="84">
          <cell r="I84">
            <v>45380346</v>
          </cell>
        </row>
        <row r="86">
          <cell r="B86" t="str">
            <v>V.</v>
          </cell>
          <cell r="C86">
            <v>0</v>
          </cell>
          <cell r="D86" t="str">
            <v>FINISHES WORKS</v>
          </cell>
        </row>
        <row r="87">
          <cell r="B87">
            <v>1</v>
          </cell>
          <cell r="C87">
            <v>0</v>
          </cell>
          <cell r="D87" t="str">
            <v xml:space="preserve">Flooring </v>
          </cell>
        </row>
        <row r="88">
          <cell r="D88" t="str">
            <v xml:space="preserve"> - Granit tile</v>
          </cell>
          <cell r="E88" t="str">
            <v>m2</v>
          </cell>
          <cell r="F88">
            <v>255.6</v>
          </cell>
          <cell r="G88">
            <v>466675</v>
          </cell>
          <cell r="H88">
            <v>10800</v>
          </cell>
          <cell r="I88">
            <v>122042610</v>
          </cell>
        </row>
        <row r="89">
          <cell r="D89" t="str">
            <v xml:space="preserve"> - Ceramic tile non slip</v>
          </cell>
          <cell r="E89" t="str">
            <v>m2</v>
          </cell>
          <cell r="F89">
            <v>166.4</v>
          </cell>
          <cell r="G89">
            <v>82100</v>
          </cell>
          <cell r="H89">
            <v>7200</v>
          </cell>
          <cell r="I89">
            <v>14859520</v>
          </cell>
        </row>
        <row r="90">
          <cell r="D90" t="str">
            <v xml:space="preserve"> - Ceramic tile </v>
          </cell>
          <cell r="E90" t="str">
            <v>m2</v>
          </cell>
          <cell r="F90">
            <v>70.8</v>
          </cell>
          <cell r="G90">
            <v>72500</v>
          </cell>
          <cell r="H90">
            <v>7200</v>
          </cell>
          <cell r="I90">
            <v>5642760</v>
          </cell>
        </row>
        <row r="92">
          <cell r="B92">
            <v>2</v>
          </cell>
          <cell r="C92">
            <v>0</v>
          </cell>
          <cell r="D92" t="str">
            <v>Wall</v>
          </cell>
        </row>
        <row r="93">
          <cell r="D93" t="str">
            <v xml:space="preserve"> - Plastered </v>
          </cell>
          <cell r="E93" t="str">
            <v>m2</v>
          </cell>
          <cell r="F93">
            <v>1119.8800000000001</v>
          </cell>
          <cell r="G93">
            <v>12540</v>
          </cell>
          <cell r="H93">
            <v>3600</v>
          </cell>
          <cell r="I93">
            <v>18074863.200000003</v>
          </cell>
        </row>
        <row r="94">
          <cell r="D94" t="str">
            <v xml:space="preserve"> - Ceramic tile</v>
          </cell>
          <cell r="E94" t="str">
            <v>m2</v>
          </cell>
          <cell r="F94">
            <v>123.29</v>
          </cell>
          <cell r="G94">
            <v>77245</v>
          </cell>
          <cell r="H94">
            <v>7200</v>
          </cell>
          <cell r="I94">
            <v>10411224.050000001</v>
          </cell>
        </row>
        <row r="95">
          <cell r="D95" t="str">
            <v xml:space="preserve"> - Granit skirting</v>
          </cell>
          <cell r="E95" t="str">
            <v>m'</v>
          </cell>
          <cell r="F95">
            <v>135.30000000000001</v>
          </cell>
          <cell r="G95">
            <v>93350</v>
          </cell>
          <cell r="H95">
            <v>6000</v>
          </cell>
          <cell r="I95">
            <v>13442055.000000002</v>
          </cell>
        </row>
        <row r="96">
          <cell r="D96" t="str">
            <v xml:space="preserve"> - Ceramic skirting</v>
          </cell>
          <cell r="E96" t="str">
            <v>m'</v>
          </cell>
          <cell r="F96">
            <v>69.2</v>
          </cell>
          <cell r="G96">
            <v>15450</v>
          </cell>
          <cell r="H96">
            <v>1800</v>
          </cell>
          <cell r="I96">
            <v>1193700</v>
          </cell>
        </row>
        <row r="98">
          <cell r="B98">
            <v>3</v>
          </cell>
          <cell r="C98">
            <v>0</v>
          </cell>
          <cell r="D98" t="str">
            <v>Painting</v>
          </cell>
        </row>
        <row r="99">
          <cell r="D99" t="str">
            <v xml:space="preserve"> - Semi gloss oil base paint</v>
          </cell>
          <cell r="E99" t="str">
            <v>m2</v>
          </cell>
          <cell r="F99">
            <v>1184.9000000000001</v>
          </cell>
          <cell r="G99">
            <v>8700</v>
          </cell>
          <cell r="H99">
            <v>3000</v>
          </cell>
          <cell r="I99">
            <v>13863330.000000002</v>
          </cell>
        </row>
        <row r="100">
          <cell r="D100" t="str">
            <v xml:space="preserve"> - Flat acrylic</v>
          </cell>
          <cell r="E100" t="str">
            <v>m2</v>
          </cell>
          <cell r="F100">
            <v>427.8</v>
          </cell>
          <cell r="G100">
            <v>11500</v>
          </cell>
          <cell r="H100">
            <v>1200</v>
          </cell>
          <cell r="I100">
            <v>5433060</v>
          </cell>
        </row>
        <row r="101">
          <cell r="D101" t="str">
            <v xml:space="preserve"> - Semi gloss satin acrylic</v>
          </cell>
          <cell r="E101" t="str">
            <v>m2</v>
          </cell>
          <cell r="F101">
            <v>256.44</v>
          </cell>
          <cell r="G101">
            <v>13500</v>
          </cell>
          <cell r="H101">
            <v>3000</v>
          </cell>
          <cell r="I101">
            <v>4231260</v>
          </cell>
        </row>
        <row r="102">
          <cell r="I102">
            <v>209194382.25</v>
          </cell>
        </row>
        <row r="104">
          <cell r="B104" t="str">
            <v>VI.</v>
          </cell>
          <cell r="C104">
            <v>0</v>
          </cell>
          <cell r="D104" t="str">
            <v>SPECIALTIES WORKS</v>
          </cell>
        </row>
        <row r="105">
          <cell r="B105">
            <v>1</v>
          </cell>
          <cell r="C105">
            <v>0</v>
          </cell>
          <cell r="D105" t="str">
            <v>Sanitary ware and fitting</v>
          </cell>
        </row>
        <row r="106">
          <cell r="D106" t="str">
            <v xml:space="preserve"> -  Water closet western type</v>
          </cell>
          <cell r="E106" t="str">
            <v>unit</v>
          </cell>
          <cell r="F106">
            <v>7</v>
          </cell>
          <cell r="G106">
            <v>975000</v>
          </cell>
          <cell r="H106">
            <v>64584</v>
          </cell>
          <cell r="I106">
            <v>7277088</v>
          </cell>
        </row>
        <row r="107">
          <cell r="D107" t="str">
            <v xml:space="preserve"> - Wash basin/lavatory</v>
          </cell>
          <cell r="E107" t="str">
            <v>unit</v>
          </cell>
          <cell r="F107">
            <v>8</v>
          </cell>
          <cell r="G107">
            <v>1500000</v>
          </cell>
          <cell r="H107">
            <v>60000</v>
          </cell>
          <cell r="I107">
            <v>12480000</v>
          </cell>
        </row>
        <row r="108">
          <cell r="D108" t="str">
            <v xml:space="preserve"> - Bath tub</v>
          </cell>
          <cell r="E108" t="str">
            <v>unit</v>
          </cell>
          <cell r="F108">
            <v>4</v>
          </cell>
          <cell r="G108">
            <v>1250000</v>
          </cell>
          <cell r="H108">
            <v>240000</v>
          </cell>
          <cell r="I108">
            <v>5960000</v>
          </cell>
        </row>
        <row r="109">
          <cell r="D109" t="str">
            <v xml:space="preserve"> - Water closet squat type</v>
          </cell>
          <cell r="E109" t="str">
            <v>unit</v>
          </cell>
          <cell r="F109">
            <v>2</v>
          </cell>
          <cell r="G109">
            <v>450000</v>
          </cell>
          <cell r="H109">
            <v>34500</v>
          </cell>
          <cell r="I109">
            <v>969000</v>
          </cell>
        </row>
        <row r="110">
          <cell r="D110" t="str">
            <v xml:space="preserve"> - Faucet</v>
          </cell>
          <cell r="E110" t="str">
            <v>ea</v>
          </cell>
          <cell r="F110">
            <v>4</v>
          </cell>
          <cell r="G110">
            <v>180000</v>
          </cell>
          <cell r="H110">
            <v>1800</v>
          </cell>
          <cell r="I110">
            <v>727200</v>
          </cell>
        </row>
        <row r="111">
          <cell r="D111" t="str">
            <v xml:space="preserve"> - Urinal</v>
          </cell>
          <cell r="E111" t="str">
            <v>unit</v>
          </cell>
          <cell r="F111">
            <v>2</v>
          </cell>
          <cell r="G111">
            <v>1200000</v>
          </cell>
          <cell r="H111">
            <v>60000</v>
          </cell>
          <cell r="I111">
            <v>2520000</v>
          </cell>
        </row>
        <row r="112">
          <cell r="D112" t="str">
            <v xml:space="preserve"> - Shower</v>
          </cell>
          <cell r="E112" t="str">
            <v>unit</v>
          </cell>
          <cell r="F112">
            <v>5</v>
          </cell>
          <cell r="G112">
            <v>1500000</v>
          </cell>
          <cell r="H112">
            <v>30000</v>
          </cell>
          <cell r="I112">
            <v>7650000</v>
          </cell>
        </row>
        <row r="113">
          <cell r="D113" t="str">
            <v xml:space="preserve"> - Urinoir partition</v>
          </cell>
          <cell r="E113" t="str">
            <v>unit</v>
          </cell>
          <cell r="F113">
            <v>1</v>
          </cell>
          <cell r="G113">
            <v>350000</v>
          </cell>
          <cell r="H113">
            <v>60000</v>
          </cell>
          <cell r="I113">
            <v>410000</v>
          </cell>
        </row>
        <row r="115">
          <cell r="B115">
            <v>2</v>
          </cell>
          <cell r="C115">
            <v>0</v>
          </cell>
          <cell r="D115" t="str">
            <v>Louvre</v>
          </cell>
        </row>
        <row r="116">
          <cell r="D116" t="str">
            <v xml:space="preserve"> - Type V1</v>
          </cell>
          <cell r="E116" t="str">
            <v>unit</v>
          </cell>
          <cell r="F116">
            <v>3</v>
          </cell>
          <cell r="G116">
            <v>61350</v>
          </cell>
          <cell r="H116">
            <v>15720</v>
          </cell>
          <cell r="I116">
            <v>231210</v>
          </cell>
        </row>
        <row r="117">
          <cell r="D117" t="str">
            <v xml:space="preserve"> - Type V2</v>
          </cell>
          <cell r="E117" t="str">
            <v>unit</v>
          </cell>
          <cell r="F117">
            <v>9</v>
          </cell>
          <cell r="G117">
            <v>117300</v>
          </cell>
          <cell r="H117">
            <v>30000</v>
          </cell>
          <cell r="I117">
            <v>1325700</v>
          </cell>
        </row>
        <row r="118">
          <cell r="D118" t="str">
            <v xml:space="preserve"> - Type V3</v>
          </cell>
          <cell r="E118" t="str">
            <v>unit</v>
          </cell>
          <cell r="F118">
            <v>8</v>
          </cell>
          <cell r="G118">
            <v>115125</v>
          </cell>
          <cell r="H118">
            <v>29520</v>
          </cell>
          <cell r="I118">
            <v>1157160</v>
          </cell>
        </row>
        <row r="119">
          <cell r="D119" t="str">
            <v xml:space="preserve"> - Type V4</v>
          </cell>
          <cell r="E119" t="str">
            <v>unit</v>
          </cell>
          <cell r="F119">
            <v>2</v>
          </cell>
          <cell r="G119">
            <v>305605</v>
          </cell>
          <cell r="H119">
            <v>78360</v>
          </cell>
          <cell r="I119">
            <v>767930</v>
          </cell>
        </row>
        <row r="120">
          <cell r="D120" t="str">
            <v xml:space="preserve"> - Type V5</v>
          </cell>
          <cell r="E120" t="str">
            <v>unit</v>
          </cell>
          <cell r="F120">
            <v>4</v>
          </cell>
          <cell r="G120">
            <v>715455</v>
          </cell>
          <cell r="H120">
            <v>183450</v>
          </cell>
          <cell r="I120">
            <v>3595620</v>
          </cell>
        </row>
        <row r="121">
          <cell r="B121">
            <v>3</v>
          </cell>
          <cell r="C121">
            <v>0</v>
          </cell>
          <cell r="D121" t="str">
            <v>Fly screen</v>
          </cell>
          <cell r="E121" t="str">
            <v>m2</v>
          </cell>
          <cell r="F121">
            <v>18.04</v>
          </cell>
          <cell r="G121">
            <v>10255</v>
          </cell>
          <cell r="H121">
            <v>2100</v>
          </cell>
          <cell r="I121">
            <v>222884.19999999998</v>
          </cell>
        </row>
        <row r="122">
          <cell r="I122">
            <v>45293792.200000003</v>
          </cell>
        </row>
        <row r="123">
          <cell r="D123" t="str">
            <v>Copugated letal roïfing</v>
          </cell>
          <cell r="E123" t="str">
            <v>m2</v>
          </cell>
          <cell r="F123">
            <v>55.001953125</v>
          </cell>
          <cell r="G123">
            <v>31702.004028320313</v>
          </cell>
          <cell r="H123">
            <v>2160.0000019669533</v>
          </cell>
          <cell r="I123">
            <v>1862410.0000038147</v>
          </cell>
        </row>
        <row r="124">
          <cell r="B124" t="str">
            <v>VII.</v>
          </cell>
          <cell r="C124">
            <v>0</v>
          </cell>
          <cell r="D124" t="str">
            <v>EQUIPMENT WORKS</v>
          </cell>
        </row>
        <row r="125">
          <cell r="B125">
            <v>1</v>
          </cell>
          <cell r="C125">
            <v>0</v>
          </cell>
          <cell r="D125" t="str">
            <v>Kitchen sink, include faucet</v>
          </cell>
          <cell r="E125" t="str">
            <v>unit</v>
          </cell>
          <cell r="F125">
            <v>1</v>
          </cell>
          <cell r="G125">
            <v>705120</v>
          </cell>
          <cell r="H125">
            <v>135600</v>
          </cell>
          <cell r="I125">
            <v>840720</v>
          </cell>
        </row>
        <row r="126">
          <cell r="B126">
            <v>2</v>
          </cell>
          <cell r="C126">
            <v>0</v>
          </cell>
          <cell r="D126" t="str">
            <v>Kitchen exhaust hood incl. ducting</v>
          </cell>
          <cell r="E126" t="str">
            <v>unit</v>
          </cell>
          <cell r="F126">
            <v>1</v>
          </cell>
          <cell r="G126">
            <v>2028000</v>
          </cell>
          <cell r="H126">
            <v>240000</v>
          </cell>
          <cell r="I126">
            <v>2268000</v>
          </cell>
        </row>
        <row r="127">
          <cell r="I127">
            <v>3108720</v>
          </cell>
        </row>
        <row r="129">
          <cell r="B129" t="str">
            <v>VIII.</v>
          </cell>
          <cell r="C129">
            <v>0</v>
          </cell>
          <cell r="D129" t="str">
            <v>MECHANICAL WORKS</v>
          </cell>
        </row>
        <row r="130">
          <cell r="B130">
            <v>1</v>
          </cell>
          <cell r="C130">
            <v>0</v>
          </cell>
          <cell r="D130" t="str">
            <v>Air conditioning &amp; Ventilating system</v>
          </cell>
        </row>
        <row r="131">
          <cell r="B131">
            <v>1.1000000000000001</v>
          </cell>
          <cell r="C131">
            <v>0</v>
          </cell>
          <cell r="D131" t="str">
            <v>Install only, materiak by owner</v>
          </cell>
        </row>
        <row r="132">
          <cell r="D132" t="str">
            <v>a. Type : Wall Mounted</v>
          </cell>
        </row>
        <row r="133">
          <cell r="D133" t="str">
            <v xml:space="preserve">     -  ACC-E20.01, FCU-E20.1, cap. 4,60 kW</v>
          </cell>
          <cell r="E133" t="str">
            <v>unit</v>
          </cell>
          <cell r="F133">
            <v>1</v>
          </cell>
          <cell r="G133">
            <v>302500</v>
          </cell>
          <cell r="H133">
            <v>0</v>
          </cell>
          <cell r="I133">
            <v>302500</v>
          </cell>
        </row>
        <row r="134">
          <cell r="D134" t="str">
            <v xml:space="preserve">     -  ACC-E20.02, FCU-E20.2, cap. 4,60 kW</v>
          </cell>
          <cell r="E134" t="str">
            <v>unit</v>
          </cell>
          <cell r="F134">
            <v>1</v>
          </cell>
          <cell r="G134">
            <v>302500</v>
          </cell>
          <cell r="H134">
            <v>0</v>
          </cell>
          <cell r="I134">
            <v>302500</v>
          </cell>
        </row>
        <row r="135">
          <cell r="D135" t="str">
            <v xml:space="preserve">     -  ACC-E20.03, FCU-E20.3, cap. 4,60 kW</v>
          </cell>
          <cell r="E135" t="str">
            <v>unit</v>
          </cell>
          <cell r="F135">
            <v>1</v>
          </cell>
          <cell r="G135">
            <v>302500</v>
          </cell>
          <cell r="H135">
            <v>0</v>
          </cell>
          <cell r="I135">
            <v>302500</v>
          </cell>
        </row>
        <row r="136">
          <cell r="D136" t="str">
            <v xml:space="preserve">     -  ACC-E20.04, FCU-E20.4, cap. 4,60 kW</v>
          </cell>
          <cell r="E136" t="str">
            <v>unit</v>
          </cell>
          <cell r="F136">
            <v>1</v>
          </cell>
          <cell r="G136">
            <v>302500</v>
          </cell>
          <cell r="H136">
            <v>0</v>
          </cell>
          <cell r="I136">
            <v>302500</v>
          </cell>
        </row>
        <row r="137">
          <cell r="D137" t="str">
            <v xml:space="preserve">     -  ACC-E20.08, FCU-E20.8, cap. 2,25 kW</v>
          </cell>
          <cell r="E137" t="str">
            <v>unit</v>
          </cell>
          <cell r="F137">
            <v>1</v>
          </cell>
          <cell r="G137">
            <v>302500</v>
          </cell>
          <cell r="H137">
            <v>0</v>
          </cell>
          <cell r="I137">
            <v>302500</v>
          </cell>
        </row>
        <row r="138">
          <cell r="D138" t="str">
            <v xml:space="preserve">     -  ACC-E20.08, FCU-E20.8, cap. 2,25 kW</v>
          </cell>
          <cell r="E138" t="str">
            <v>unit</v>
          </cell>
          <cell r="F138">
            <v>1</v>
          </cell>
          <cell r="G138">
            <v>6656200</v>
          </cell>
          <cell r="H138">
            <v>0</v>
          </cell>
          <cell r="I138">
            <v>6656200</v>
          </cell>
        </row>
        <row r="139">
          <cell r="D139" t="str">
            <v>b. Type : Ceiling Cassette</v>
          </cell>
        </row>
        <row r="140">
          <cell r="D140" t="str">
            <v xml:space="preserve">     -  ACC-E20.05, FCU-E20.5, cap. 8,66 kW</v>
          </cell>
          <cell r="E140" t="str">
            <v>unit</v>
          </cell>
          <cell r="F140">
            <v>1</v>
          </cell>
          <cell r="G140">
            <v>368500</v>
          </cell>
          <cell r="H140">
            <v>0</v>
          </cell>
          <cell r="I140">
            <v>368500</v>
          </cell>
        </row>
        <row r="141">
          <cell r="D141" t="str">
            <v xml:space="preserve">     -  ACC-E20.05, FCU-E20.5, cap. 8,66 kW</v>
          </cell>
          <cell r="E141" t="str">
            <v>unit</v>
          </cell>
          <cell r="F141">
            <v>1</v>
          </cell>
          <cell r="G141">
            <v>41214000</v>
          </cell>
          <cell r="H141">
            <v>0</v>
          </cell>
          <cell r="I141">
            <v>41214000</v>
          </cell>
        </row>
        <row r="142">
          <cell r="D142" t="str">
            <v>c. Type : Ceiling Suspended</v>
          </cell>
        </row>
        <row r="143">
          <cell r="D143" t="str">
            <v xml:space="preserve">     -  ACC-E20.06, FCU-E20.6, cap. 11,24 kW</v>
          </cell>
          <cell r="E143" t="str">
            <v>unit</v>
          </cell>
          <cell r="F143">
            <v>1</v>
          </cell>
          <cell r="G143">
            <v>368500</v>
          </cell>
          <cell r="H143">
            <v>0</v>
          </cell>
          <cell r="I143">
            <v>368500</v>
          </cell>
        </row>
        <row r="144">
          <cell r="D144" t="str">
            <v xml:space="preserve">     -  ACC-E20.07, FCU-E20.7, cap. 11,24 kW</v>
          </cell>
          <cell r="E144" t="str">
            <v>unit</v>
          </cell>
          <cell r="F144">
            <v>1</v>
          </cell>
          <cell r="G144">
            <v>368500</v>
          </cell>
          <cell r="H144">
            <v>0</v>
          </cell>
          <cell r="I144">
            <v>368500</v>
          </cell>
        </row>
        <row r="145">
          <cell r="D145" t="str">
            <v xml:space="preserve">     -  ACC-E20.07, FCU-E20.7, cap. 11,24 kW</v>
          </cell>
          <cell r="E145" t="str">
            <v>unit</v>
          </cell>
          <cell r="F145">
            <v>1</v>
          </cell>
          <cell r="G145">
            <v>40704400</v>
          </cell>
          <cell r="H145">
            <v>0</v>
          </cell>
          <cell r="I145">
            <v>40704400</v>
          </cell>
        </row>
        <row r="146">
          <cell r="B146">
            <v>1.2</v>
          </cell>
          <cell r="C146">
            <v>0</v>
          </cell>
          <cell r="D146" t="str">
            <v>Ventilating</v>
          </cell>
        </row>
        <row r="147">
          <cell r="B147" t="str">
            <v>1.2.1</v>
          </cell>
          <cell r="C147">
            <v>0</v>
          </cell>
          <cell r="D147" t="str">
            <v>Exhaust Fan</v>
          </cell>
        </row>
        <row r="148">
          <cell r="B148" t="str">
            <v>1.2.1</v>
          </cell>
          <cell r="C148">
            <v>0</v>
          </cell>
          <cell r="D148" t="str">
            <v>a. Type : Roof Mounted</v>
          </cell>
        </row>
        <row r="149">
          <cell r="D149" t="str">
            <v xml:space="preserve">     -  TEF.E20.01, cap. 350 l/sec</v>
          </cell>
          <cell r="E149" t="str">
            <v>unit</v>
          </cell>
          <cell r="F149">
            <v>1</v>
          </cell>
          <cell r="G149">
            <v>1821500</v>
          </cell>
          <cell r="H149">
            <v>0</v>
          </cell>
          <cell r="I149">
            <v>1821500</v>
          </cell>
        </row>
        <row r="150">
          <cell r="D150" t="str">
            <v xml:space="preserve">     -  TEF.E20.01, cap. 350 l/sec</v>
          </cell>
          <cell r="E150" t="str">
            <v>unit</v>
          </cell>
          <cell r="F150">
            <v>1</v>
          </cell>
          <cell r="G150">
            <v>1821500</v>
          </cell>
          <cell r="H150">
            <v>0</v>
          </cell>
          <cell r="I150">
            <v>1821500</v>
          </cell>
        </row>
        <row r="151">
          <cell r="D151" t="str">
            <v xml:space="preserve">b. Type : Ceiling </v>
          </cell>
        </row>
        <row r="152">
          <cell r="D152" t="str">
            <v xml:space="preserve">     -  KEF.E20.01, cap. 160 l/sec</v>
          </cell>
          <cell r="E152" t="str">
            <v>unit</v>
          </cell>
          <cell r="F152">
            <v>1</v>
          </cell>
          <cell r="G152">
            <v>576600</v>
          </cell>
          <cell r="H152">
            <v>0</v>
          </cell>
          <cell r="I152">
            <v>576600</v>
          </cell>
        </row>
        <row r="153">
          <cell r="D153" t="str">
            <v xml:space="preserve">     -  KEF.E20.01, cap. 160 l/sec</v>
          </cell>
          <cell r="E153" t="str">
            <v>unit</v>
          </cell>
          <cell r="F153">
            <v>1</v>
          </cell>
          <cell r="G153">
            <v>379800</v>
          </cell>
          <cell r="H153">
            <v>0</v>
          </cell>
          <cell r="I153">
            <v>379800</v>
          </cell>
        </row>
        <row r="154">
          <cell r="B154" t="str">
            <v>1.2.2</v>
          </cell>
          <cell r="C154">
            <v>0</v>
          </cell>
          <cell r="D154" t="str">
            <v xml:space="preserve">Ducting </v>
          </cell>
        </row>
        <row r="155">
          <cell r="B155" t="str">
            <v>1.2.2</v>
          </cell>
          <cell r="C155">
            <v>0</v>
          </cell>
          <cell r="D155" t="str">
            <v>a. BJLS, include support</v>
          </cell>
        </row>
        <row r="156">
          <cell r="D156" t="str">
            <v xml:space="preserve">    - dia. 400 x 400 mm</v>
          </cell>
          <cell r="E156" t="str">
            <v>m'</v>
          </cell>
          <cell r="F156">
            <v>4</v>
          </cell>
          <cell r="G156">
            <v>153720.00280000002</v>
          </cell>
          <cell r="H156">
            <v>0</v>
          </cell>
          <cell r="I156">
            <v>614880.01120000007</v>
          </cell>
        </row>
        <row r="157">
          <cell r="D157" t="str">
            <v xml:space="preserve">    - dia. 200  mm</v>
          </cell>
          <cell r="E157" t="str">
            <v>m'</v>
          </cell>
          <cell r="F157">
            <v>3</v>
          </cell>
          <cell r="G157">
            <v>38100.004057142862</v>
          </cell>
          <cell r="H157">
            <v>0</v>
          </cell>
          <cell r="I157">
            <v>114300.01217142859</v>
          </cell>
        </row>
        <row r="158">
          <cell r="D158" t="str">
            <v xml:space="preserve">    - dia. 200  mm</v>
          </cell>
          <cell r="E158" t="str">
            <v>m'</v>
          </cell>
          <cell r="F158">
            <v>3</v>
          </cell>
          <cell r="G158">
            <v>38100.004057142862</v>
          </cell>
          <cell r="H158">
            <v>0</v>
          </cell>
          <cell r="I158">
            <v>114300.01217142859</v>
          </cell>
        </row>
        <row r="159">
          <cell r="D159" t="str">
            <v>b. Flexible Duct</v>
          </cell>
        </row>
        <row r="160">
          <cell r="D160" t="str">
            <v xml:space="preserve">    - dia. 125 mm (5")</v>
          </cell>
          <cell r="E160" t="str">
            <v>m'</v>
          </cell>
          <cell r="F160">
            <v>14</v>
          </cell>
          <cell r="G160">
            <v>97124.99500000001</v>
          </cell>
          <cell r="H160">
            <v>0</v>
          </cell>
          <cell r="I160">
            <v>1359749.9300000002</v>
          </cell>
        </row>
        <row r="161">
          <cell r="D161" t="str">
            <v xml:space="preserve">    - dia. 125 mm (5")</v>
          </cell>
          <cell r="E161" t="str">
            <v>m'</v>
          </cell>
          <cell r="F161">
            <v>14</v>
          </cell>
          <cell r="G161">
            <v>97124.99500000001</v>
          </cell>
          <cell r="H161">
            <v>0</v>
          </cell>
          <cell r="I161">
            <v>1359749.9300000002</v>
          </cell>
        </row>
        <row r="162">
          <cell r="B162" t="str">
            <v>1.2.3</v>
          </cell>
          <cell r="C162">
            <v>0</v>
          </cell>
          <cell r="D162" t="str">
            <v>Grille, size 300 x150 mm</v>
          </cell>
          <cell r="E162" t="str">
            <v>pc</v>
          </cell>
          <cell r="F162">
            <v>4</v>
          </cell>
          <cell r="G162">
            <v>87300</v>
          </cell>
          <cell r="H162">
            <v>0</v>
          </cell>
          <cell r="I162">
            <v>349200</v>
          </cell>
        </row>
        <row r="163">
          <cell r="B163" t="str">
            <v>1.2.4</v>
          </cell>
          <cell r="C163">
            <v>0</v>
          </cell>
          <cell r="D163" t="str">
            <v>Split Dumper (SD) dia. 125 mm (5")</v>
          </cell>
          <cell r="E163" t="str">
            <v>pc</v>
          </cell>
          <cell r="F163">
            <v>4</v>
          </cell>
          <cell r="G163">
            <v>93500</v>
          </cell>
          <cell r="H163">
            <v>0</v>
          </cell>
          <cell r="I163">
            <v>374000</v>
          </cell>
        </row>
        <row r="164">
          <cell r="B164" t="str">
            <v>1.2.4</v>
          </cell>
          <cell r="C164">
            <v>0</v>
          </cell>
          <cell r="D164" t="str">
            <v>Split Dumper (SD) dia. 125 mm (5")</v>
          </cell>
          <cell r="E164" t="str">
            <v>pc</v>
          </cell>
          <cell r="F164">
            <v>4</v>
          </cell>
          <cell r="G164">
            <v>93500</v>
          </cell>
          <cell r="H164">
            <v>0</v>
          </cell>
          <cell r="I164">
            <v>374000</v>
          </cell>
        </row>
        <row r="168">
          <cell r="B168">
            <v>2</v>
          </cell>
          <cell r="C168">
            <v>0</v>
          </cell>
          <cell r="D168" t="str">
            <v xml:space="preserve">Plumbing </v>
          </cell>
        </row>
        <row r="169">
          <cell r="B169">
            <v>2.1</v>
          </cell>
          <cell r="C169">
            <v>0</v>
          </cell>
          <cell r="D169" t="str">
            <v>Cold Water System</v>
          </cell>
        </row>
        <row r="170">
          <cell r="B170">
            <v>2.1</v>
          </cell>
          <cell r="C170">
            <v>0</v>
          </cell>
          <cell r="D170" t="str">
            <v>Polivinyl Chloride Pipe, 10 kg/cm² class</v>
          </cell>
        </row>
        <row r="171">
          <cell r="D171" t="str">
            <v>-  PVC dia. 40 mm (1 1/2")</v>
          </cell>
          <cell r="E171" t="str">
            <v>m'</v>
          </cell>
          <cell r="F171">
            <v>18</v>
          </cell>
          <cell r="G171">
            <v>49220</v>
          </cell>
          <cell r="H171">
            <v>0</v>
          </cell>
          <cell r="I171">
            <v>885960</v>
          </cell>
        </row>
        <row r="172">
          <cell r="D172" t="str">
            <v>-  PVC dia. 32 mm (1 1/4")</v>
          </cell>
          <cell r="E172" t="str">
            <v>m'</v>
          </cell>
          <cell r="F172">
            <v>30</v>
          </cell>
          <cell r="G172">
            <v>42810</v>
          </cell>
          <cell r="H172">
            <v>0</v>
          </cell>
          <cell r="I172">
            <v>1284300</v>
          </cell>
        </row>
        <row r="173">
          <cell r="D173" t="str">
            <v>-  PVC dia. 25 mm (1")</v>
          </cell>
          <cell r="E173" t="str">
            <v>m'</v>
          </cell>
          <cell r="F173">
            <v>18</v>
          </cell>
          <cell r="G173">
            <v>33470</v>
          </cell>
          <cell r="H173">
            <v>0</v>
          </cell>
          <cell r="I173">
            <v>602460</v>
          </cell>
        </row>
        <row r="174">
          <cell r="D174" t="str">
            <v>-  PVC dia. 20 mm (3/4")</v>
          </cell>
          <cell r="E174" t="str">
            <v>m'</v>
          </cell>
          <cell r="F174">
            <v>18</v>
          </cell>
          <cell r="G174">
            <v>19680</v>
          </cell>
          <cell r="H174">
            <v>0</v>
          </cell>
          <cell r="I174">
            <v>354240</v>
          </cell>
        </row>
        <row r="175">
          <cell r="D175" t="str">
            <v>-  PVC dia. 15 mm (1/2")</v>
          </cell>
          <cell r="E175" t="str">
            <v>m'</v>
          </cell>
          <cell r="F175">
            <v>66</v>
          </cell>
          <cell r="G175">
            <v>15310</v>
          </cell>
          <cell r="H175">
            <v>0</v>
          </cell>
          <cell r="I175">
            <v>1010460</v>
          </cell>
        </row>
        <row r="176">
          <cell r="D176" t="str">
            <v>-  Fitting &amp; accessories</v>
          </cell>
          <cell r="E176" t="str">
            <v>ls</v>
          </cell>
          <cell r="F176">
            <v>1</v>
          </cell>
          <cell r="G176">
            <v>1448000</v>
          </cell>
          <cell r="H176">
            <v>0</v>
          </cell>
          <cell r="I176">
            <v>1448000</v>
          </cell>
        </row>
        <row r="177">
          <cell r="D177" t="str">
            <v>-  Fitting &amp; accessories</v>
          </cell>
          <cell r="E177" t="str">
            <v>ls</v>
          </cell>
          <cell r="F177">
            <v>1</v>
          </cell>
          <cell r="G177">
            <v>1448000</v>
          </cell>
          <cell r="H177">
            <v>0</v>
          </cell>
          <cell r="I177">
            <v>1448000</v>
          </cell>
        </row>
        <row r="178">
          <cell r="B178">
            <v>2.2000000000000002</v>
          </cell>
          <cell r="C178">
            <v>0</v>
          </cell>
          <cell r="D178" t="str">
            <v>Gate valve dia. 15 mm (1/2")</v>
          </cell>
          <cell r="E178" t="str">
            <v>ea</v>
          </cell>
          <cell r="F178">
            <v>1</v>
          </cell>
          <cell r="G178">
            <v>85800</v>
          </cell>
          <cell r="H178">
            <v>0</v>
          </cell>
          <cell r="I178">
            <v>85800</v>
          </cell>
        </row>
        <row r="179">
          <cell r="B179">
            <v>2.2999999999999998</v>
          </cell>
          <cell r="C179">
            <v>0</v>
          </cell>
          <cell r="D179" t="str">
            <v>Box valve</v>
          </cell>
          <cell r="E179" t="str">
            <v>ea</v>
          </cell>
          <cell r="F179">
            <v>1</v>
          </cell>
          <cell r="G179">
            <v>125000</v>
          </cell>
          <cell r="H179">
            <v>0</v>
          </cell>
          <cell r="I179">
            <v>125000</v>
          </cell>
        </row>
        <row r="180">
          <cell r="B180">
            <v>2.2999999999999998</v>
          </cell>
          <cell r="C180">
            <v>0</v>
          </cell>
          <cell r="D180" t="str">
            <v>Box valve</v>
          </cell>
          <cell r="E180" t="str">
            <v>ea</v>
          </cell>
          <cell r="F180">
            <v>1</v>
          </cell>
          <cell r="G180">
            <v>125000</v>
          </cell>
          <cell r="H180">
            <v>0</v>
          </cell>
          <cell r="I180">
            <v>125000</v>
          </cell>
        </row>
        <row r="181">
          <cell r="B181">
            <v>2.2000000000000002</v>
          </cell>
          <cell r="C181">
            <v>0</v>
          </cell>
          <cell r="D181" t="str">
            <v>Sewarage Water System</v>
          </cell>
        </row>
        <row r="182">
          <cell r="B182" t="str">
            <v>2.2.1</v>
          </cell>
          <cell r="C182">
            <v>0</v>
          </cell>
          <cell r="D182" t="str">
            <v>Polivinyl Chloride Pipe, 5 kg/cm² class</v>
          </cell>
        </row>
        <row r="183">
          <cell r="B183" t="str">
            <v>2.2.1</v>
          </cell>
          <cell r="C183">
            <v>0</v>
          </cell>
          <cell r="D183" t="str">
            <v>-  PVC dia. 125 mm (5")</v>
          </cell>
          <cell r="E183" t="str">
            <v>m'</v>
          </cell>
          <cell r="F183">
            <v>4</v>
          </cell>
          <cell r="G183">
            <v>68600</v>
          </cell>
          <cell r="H183">
            <v>0</v>
          </cell>
          <cell r="I183">
            <v>274400</v>
          </cell>
        </row>
        <row r="184">
          <cell r="D184" t="str">
            <v>-  PVC dia. 100 mm (4")</v>
          </cell>
          <cell r="E184" t="str">
            <v>m'</v>
          </cell>
          <cell r="F184">
            <v>36</v>
          </cell>
          <cell r="G184">
            <v>43550</v>
          </cell>
          <cell r="H184">
            <v>0</v>
          </cell>
          <cell r="I184">
            <v>1567800</v>
          </cell>
        </row>
        <row r="185">
          <cell r="D185" t="str">
            <v>-  PVC dia. 50 mm (2")</v>
          </cell>
          <cell r="E185" t="str">
            <v>m'</v>
          </cell>
          <cell r="F185">
            <v>56</v>
          </cell>
          <cell r="G185">
            <v>13070</v>
          </cell>
          <cell r="H185">
            <v>0</v>
          </cell>
          <cell r="I185">
            <v>731920</v>
          </cell>
        </row>
        <row r="186">
          <cell r="D186" t="str">
            <v>-  PVC dia. 40 mm (1 1/2")</v>
          </cell>
          <cell r="E186" t="str">
            <v>m'</v>
          </cell>
          <cell r="F186">
            <v>28</v>
          </cell>
          <cell r="G186">
            <v>10350</v>
          </cell>
          <cell r="H186">
            <v>0</v>
          </cell>
          <cell r="I186">
            <v>289800</v>
          </cell>
        </row>
        <row r="187">
          <cell r="D187" t="str">
            <v>-  PVC dia. 40, for vent</v>
          </cell>
          <cell r="E187" t="str">
            <v>m'</v>
          </cell>
          <cell r="F187">
            <v>8</v>
          </cell>
          <cell r="G187">
            <v>10350</v>
          </cell>
          <cell r="H187">
            <v>0</v>
          </cell>
          <cell r="I187">
            <v>82800</v>
          </cell>
        </row>
        <row r="188">
          <cell r="D188" t="str">
            <v>-  Fitting &amp; accessories</v>
          </cell>
          <cell r="E188" t="str">
            <v>ls</v>
          </cell>
          <cell r="F188">
            <v>1</v>
          </cell>
          <cell r="G188">
            <v>1031300</v>
          </cell>
          <cell r="H188">
            <v>0</v>
          </cell>
          <cell r="I188">
            <v>1031300</v>
          </cell>
        </row>
        <row r="189">
          <cell r="D189" t="str">
            <v>-  Fitting &amp; accessories</v>
          </cell>
          <cell r="E189" t="str">
            <v>ls</v>
          </cell>
          <cell r="F189">
            <v>1</v>
          </cell>
          <cell r="G189">
            <v>1031300</v>
          </cell>
          <cell r="H189">
            <v>0</v>
          </cell>
          <cell r="I189">
            <v>1031300</v>
          </cell>
        </row>
        <row r="190">
          <cell r="B190" t="str">
            <v>2.2.2</v>
          </cell>
          <cell r="C190">
            <v>0</v>
          </cell>
          <cell r="D190" t="str">
            <v>Floor drain</v>
          </cell>
          <cell r="E190" t="str">
            <v>ea</v>
          </cell>
          <cell r="F190">
            <v>10</v>
          </cell>
          <cell r="G190">
            <v>184800</v>
          </cell>
          <cell r="H190">
            <v>0</v>
          </cell>
          <cell r="I190">
            <v>1848000</v>
          </cell>
        </row>
        <row r="191">
          <cell r="B191" t="str">
            <v>2.2.3</v>
          </cell>
          <cell r="C191">
            <v>0</v>
          </cell>
          <cell r="D191" t="str">
            <v>Clean out</v>
          </cell>
          <cell r="E191" t="str">
            <v>ea</v>
          </cell>
          <cell r="F191">
            <v>12</v>
          </cell>
          <cell r="G191">
            <v>143100</v>
          </cell>
          <cell r="H191">
            <v>0</v>
          </cell>
          <cell r="I191">
            <v>1717200</v>
          </cell>
        </row>
        <row r="192">
          <cell r="B192" t="str">
            <v>2.2.4</v>
          </cell>
          <cell r="C192">
            <v>0</v>
          </cell>
          <cell r="D192" t="str">
            <v>External cully trap</v>
          </cell>
          <cell r="E192" t="str">
            <v>ea</v>
          </cell>
          <cell r="F192">
            <v>2</v>
          </cell>
          <cell r="G192">
            <v>125000</v>
          </cell>
          <cell r="H192">
            <v>0</v>
          </cell>
          <cell r="I192">
            <v>250000</v>
          </cell>
        </row>
        <row r="193">
          <cell r="B193" t="str">
            <v>2.2.5</v>
          </cell>
          <cell r="C193">
            <v>0</v>
          </cell>
          <cell r="D193" t="str">
            <v>Tundish 150x150 cm, condensate drain pipe</v>
          </cell>
          <cell r="E193" t="str">
            <v>ea</v>
          </cell>
          <cell r="F193">
            <v>5</v>
          </cell>
          <cell r="G193">
            <v>35000</v>
          </cell>
          <cell r="H193">
            <v>0</v>
          </cell>
          <cell r="I193">
            <v>175000</v>
          </cell>
        </row>
        <row r="194">
          <cell r="B194" t="str">
            <v>2.2.5</v>
          </cell>
          <cell r="C194">
            <v>0</v>
          </cell>
          <cell r="D194" t="str">
            <v>Tundish 150x150 cm, condensate drain pipe</v>
          </cell>
          <cell r="E194" t="str">
            <v>ea</v>
          </cell>
          <cell r="F194">
            <v>5</v>
          </cell>
          <cell r="G194">
            <v>35000</v>
          </cell>
          <cell r="H194">
            <v>0</v>
          </cell>
          <cell r="I194">
            <v>175000</v>
          </cell>
        </row>
        <row r="195">
          <cell r="B195">
            <v>2.2999999999999998</v>
          </cell>
          <cell r="C195">
            <v>0</v>
          </cell>
          <cell r="D195" t="str">
            <v>Hot Water System</v>
          </cell>
        </row>
        <row r="196">
          <cell r="B196" t="str">
            <v>2.3.1</v>
          </cell>
          <cell r="C196">
            <v>0</v>
          </cell>
          <cell r="D196" t="str">
            <v>Cooper pipe + insulation, for water heater</v>
          </cell>
        </row>
        <row r="197">
          <cell r="B197" t="str">
            <v>2.3.1</v>
          </cell>
          <cell r="C197">
            <v>0</v>
          </cell>
          <cell r="D197" t="str">
            <v>-  COP dia. 32 mm (1 1/4")</v>
          </cell>
          <cell r="E197" t="str">
            <v>m'</v>
          </cell>
          <cell r="F197">
            <v>6</v>
          </cell>
          <cell r="G197">
            <v>59770</v>
          </cell>
          <cell r="H197">
            <v>0</v>
          </cell>
          <cell r="I197">
            <v>358620</v>
          </cell>
        </row>
        <row r="198">
          <cell r="D198" t="str">
            <v>-  COP dia. 25 mm (1")</v>
          </cell>
          <cell r="E198" t="str">
            <v>m'</v>
          </cell>
          <cell r="F198">
            <v>6</v>
          </cell>
          <cell r="G198">
            <v>41330</v>
          </cell>
          <cell r="H198">
            <v>0</v>
          </cell>
          <cell r="I198">
            <v>247980</v>
          </cell>
        </row>
        <row r="199">
          <cell r="D199" t="str">
            <v>-  COP dia. 20 mm (3/4")</v>
          </cell>
          <cell r="E199" t="str">
            <v>m'</v>
          </cell>
          <cell r="F199">
            <v>12</v>
          </cell>
          <cell r="G199">
            <v>30020</v>
          </cell>
          <cell r="H199">
            <v>0</v>
          </cell>
          <cell r="I199">
            <v>360240</v>
          </cell>
        </row>
        <row r="200">
          <cell r="D200" t="str">
            <v>-  COP dia. 15 mm (1/2")</v>
          </cell>
          <cell r="E200" t="str">
            <v>m'</v>
          </cell>
          <cell r="F200">
            <v>54</v>
          </cell>
          <cell r="G200">
            <v>18560</v>
          </cell>
          <cell r="H200">
            <v>0</v>
          </cell>
          <cell r="I200">
            <v>1002240</v>
          </cell>
        </row>
        <row r="201">
          <cell r="D201" t="str">
            <v>-  Fitting &amp; accessories</v>
          </cell>
          <cell r="E201" t="str">
            <v>ls</v>
          </cell>
          <cell r="F201">
            <v>1</v>
          </cell>
          <cell r="G201">
            <v>689100</v>
          </cell>
          <cell r="H201">
            <v>0</v>
          </cell>
          <cell r="I201">
            <v>689100</v>
          </cell>
        </row>
        <row r="202">
          <cell r="D202" t="str">
            <v>-  Fitting &amp; accessories</v>
          </cell>
          <cell r="E202" t="str">
            <v>ls</v>
          </cell>
          <cell r="F202">
            <v>1</v>
          </cell>
          <cell r="G202">
            <v>689100</v>
          </cell>
          <cell r="H202">
            <v>0</v>
          </cell>
          <cell r="I202">
            <v>689100</v>
          </cell>
        </row>
        <row r="203">
          <cell r="B203" t="str">
            <v>2.3.2</v>
          </cell>
          <cell r="C203">
            <v>0</v>
          </cell>
          <cell r="D203" t="str">
            <v>Hot Water Heater, cap. 75 liter</v>
          </cell>
          <cell r="E203" t="str">
            <v>unit</v>
          </cell>
          <cell r="F203">
            <v>1</v>
          </cell>
          <cell r="G203">
            <v>3000400</v>
          </cell>
          <cell r="H203">
            <v>0</v>
          </cell>
          <cell r="I203">
            <v>3000400</v>
          </cell>
        </row>
        <row r="204">
          <cell r="B204" t="str">
            <v>2.3.2</v>
          </cell>
          <cell r="C204">
            <v>0</v>
          </cell>
          <cell r="D204" t="str">
            <v>Hot Water Heater, cap. 75 liter</v>
          </cell>
          <cell r="E204" t="str">
            <v>unit</v>
          </cell>
          <cell r="F204">
            <v>1</v>
          </cell>
          <cell r="G204">
            <v>3000400</v>
          </cell>
          <cell r="H204">
            <v>0</v>
          </cell>
          <cell r="I204">
            <v>27251249.953371428</v>
          </cell>
        </row>
        <row r="205">
          <cell r="I205">
            <v>215975449.95337144</v>
          </cell>
        </row>
        <row r="207">
          <cell r="B207" t="str">
            <v>IX.</v>
          </cell>
          <cell r="C207">
            <v>0</v>
          </cell>
          <cell r="D207" t="str">
            <v>ELECTRICAL WORKS</v>
          </cell>
        </row>
        <row r="208">
          <cell r="B208">
            <v>1</v>
          </cell>
          <cell r="C208">
            <v>0</v>
          </cell>
          <cell r="D208" t="str">
            <v>Electrical system</v>
          </cell>
        </row>
        <row r="209">
          <cell r="B209">
            <v>1</v>
          </cell>
          <cell r="C209">
            <v>0</v>
          </cell>
          <cell r="D209" t="str">
            <v>-  Lighting panel MSB-GH</v>
          </cell>
          <cell r="E209" t="str">
            <v>unit</v>
          </cell>
          <cell r="F209">
            <v>1</v>
          </cell>
          <cell r="G209">
            <v>14379390</v>
          </cell>
          <cell r="H209">
            <v>0</v>
          </cell>
          <cell r="I209">
            <v>14379390</v>
          </cell>
        </row>
        <row r="210">
          <cell r="D210" t="str">
            <v>-  Lighting panel MSB-GH</v>
          </cell>
          <cell r="E210" t="str">
            <v>unit</v>
          </cell>
          <cell r="F210">
            <v>1</v>
          </cell>
          <cell r="G210">
            <v>14379390</v>
          </cell>
          <cell r="H210">
            <v>0</v>
          </cell>
          <cell r="I210">
            <v>14379390</v>
          </cell>
        </row>
        <row r="211">
          <cell r="D211" t="str">
            <v>-  Switch</v>
          </cell>
        </row>
        <row r="212">
          <cell r="D212" t="str">
            <v xml:space="preserve">    - Single switch</v>
          </cell>
          <cell r="E212" t="str">
            <v>ea</v>
          </cell>
          <cell r="F212">
            <v>12</v>
          </cell>
          <cell r="G212">
            <v>28750</v>
          </cell>
          <cell r="H212">
            <v>0</v>
          </cell>
          <cell r="I212">
            <v>345000</v>
          </cell>
        </row>
        <row r="213">
          <cell r="D213" t="str">
            <v xml:space="preserve">    - Double switch</v>
          </cell>
          <cell r="E213" t="str">
            <v>ea</v>
          </cell>
          <cell r="F213">
            <v>18</v>
          </cell>
          <cell r="G213">
            <v>84880</v>
          </cell>
          <cell r="H213">
            <v>0</v>
          </cell>
          <cell r="I213">
            <v>1527840</v>
          </cell>
        </row>
        <row r="214">
          <cell r="D214" t="str">
            <v xml:space="preserve">    - Isolating switch 1 phasa</v>
          </cell>
          <cell r="E214" t="str">
            <v>ea</v>
          </cell>
          <cell r="F214">
            <v>7</v>
          </cell>
          <cell r="G214">
            <v>125000</v>
          </cell>
          <cell r="H214">
            <v>0</v>
          </cell>
          <cell r="I214">
            <v>875000</v>
          </cell>
        </row>
        <row r="215">
          <cell r="D215" t="str">
            <v xml:space="preserve">    - Isolating switch 3 phasa</v>
          </cell>
          <cell r="E215" t="str">
            <v>ea</v>
          </cell>
          <cell r="F215">
            <v>3</v>
          </cell>
          <cell r="G215">
            <v>175000</v>
          </cell>
          <cell r="H215">
            <v>0</v>
          </cell>
          <cell r="I215">
            <v>525000</v>
          </cell>
        </row>
        <row r="216">
          <cell r="D216" t="str">
            <v xml:space="preserve">    - Switch installation</v>
          </cell>
          <cell r="E216" t="str">
            <v>point</v>
          </cell>
          <cell r="F216">
            <v>40</v>
          </cell>
          <cell r="G216">
            <v>65000</v>
          </cell>
          <cell r="H216">
            <v>0</v>
          </cell>
          <cell r="I216">
            <v>2600000</v>
          </cell>
        </row>
        <row r="217">
          <cell r="D217" t="str">
            <v xml:space="preserve">    - Switch installation</v>
          </cell>
          <cell r="E217" t="str">
            <v>point</v>
          </cell>
          <cell r="F217">
            <v>40</v>
          </cell>
          <cell r="G217">
            <v>65000</v>
          </cell>
          <cell r="H217">
            <v>0</v>
          </cell>
          <cell r="I217">
            <v>2600000</v>
          </cell>
        </row>
        <row r="218">
          <cell r="D218" t="str">
            <v>-  Receptacle</v>
          </cell>
        </row>
        <row r="219">
          <cell r="D219" t="str">
            <v xml:space="preserve">    - Plug conector</v>
          </cell>
          <cell r="E219" t="str">
            <v>ea</v>
          </cell>
          <cell r="F219">
            <v>1</v>
          </cell>
          <cell r="G219">
            <v>25000</v>
          </cell>
          <cell r="H219">
            <v>0</v>
          </cell>
          <cell r="I219">
            <v>25000</v>
          </cell>
        </row>
        <row r="220">
          <cell r="D220" t="str">
            <v xml:space="preserve">    - Double receptacle 10 A</v>
          </cell>
          <cell r="E220" t="str">
            <v>ea</v>
          </cell>
          <cell r="F220">
            <v>47</v>
          </cell>
          <cell r="G220">
            <v>47360</v>
          </cell>
          <cell r="H220">
            <v>0</v>
          </cell>
          <cell r="I220">
            <v>2225920</v>
          </cell>
        </row>
        <row r="221">
          <cell r="D221" t="str">
            <v xml:space="preserve">    - Receptacle installation</v>
          </cell>
          <cell r="E221" t="str">
            <v>point</v>
          </cell>
          <cell r="F221">
            <v>48</v>
          </cell>
          <cell r="G221">
            <v>78830</v>
          </cell>
          <cell r="H221">
            <v>0</v>
          </cell>
          <cell r="I221">
            <v>3783840</v>
          </cell>
        </row>
        <row r="222">
          <cell r="D222" t="str">
            <v xml:space="preserve">    - Receptacle installation</v>
          </cell>
          <cell r="E222" t="str">
            <v>point</v>
          </cell>
          <cell r="F222">
            <v>48</v>
          </cell>
          <cell r="G222">
            <v>78830</v>
          </cell>
          <cell r="H222">
            <v>0</v>
          </cell>
          <cell r="I222">
            <v>3783840</v>
          </cell>
        </row>
        <row r="223">
          <cell r="B223">
            <v>2</v>
          </cell>
          <cell r="C223">
            <v>0</v>
          </cell>
          <cell r="D223" t="str">
            <v>Lighting system</v>
          </cell>
        </row>
        <row r="224">
          <cell r="B224">
            <v>2</v>
          </cell>
          <cell r="C224">
            <v>0</v>
          </cell>
          <cell r="D224" t="str">
            <v>-  TL 2 x 36 W recessed</v>
          </cell>
          <cell r="E224" t="str">
            <v>ea</v>
          </cell>
          <cell r="F224">
            <v>4</v>
          </cell>
          <cell r="G224">
            <v>231400</v>
          </cell>
          <cell r="H224">
            <v>0</v>
          </cell>
          <cell r="I224">
            <v>925600</v>
          </cell>
        </row>
        <row r="225">
          <cell r="D225" t="str">
            <v>-  TL 2 x 36 W surface</v>
          </cell>
          <cell r="E225" t="str">
            <v>ea</v>
          </cell>
          <cell r="F225">
            <v>2</v>
          </cell>
          <cell r="G225">
            <v>217890</v>
          </cell>
          <cell r="H225">
            <v>0</v>
          </cell>
          <cell r="I225">
            <v>435780</v>
          </cell>
        </row>
        <row r="226">
          <cell r="D226" t="str">
            <v>-  TL 1 x 18 W surface</v>
          </cell>
          <cell r="E226" t="str">
            <v>ea</v>
          </cell>
          <cell r="F226">
            <v>4</v>
          </cell>
          <cell r="G226">
            <v>125310</v>
          </cell>
          <cell r="H226">
            <v>0</v>
          </cell>
          <cell r="I226">
            <v>501240</v>
          </cell>
        </row>
        <row r="227">
          <cell r="D227" t="str">
            <v>-  PL 1 x 18 W surface baret</v>
          </cell>
          <cell r="E227" t="str">
            <v>ea</v>
          </cell>
          <cell r="F227">
            <v>4</v>
          </cell>
          <cell r="G227">
            <v>189070</v>
          </cell>
          <cell r="H227">
            <v>0</v>
          </cell>
          <cell r="I227">
            <v>756280</v>
          </cell>
        </row>
        <row r="228">
          <cell r="D228" t="str">
            <v>-  PL 1 x 18 W wall decorative lamp</v>
          </cell>
          <cell r="E228" t="str">
            <v>ea</v>
          </cell>
          <cell r="F228">
            <v>4</v>
          </cell>
          <cell r="G228">
            <v>110830</v>
          </cell>
          <cell r="H228">
            <v>0</v>
          </cell>
          <cell r="I228">
            <v>443320</v>
          </cell>
        </row>
        <row r="229">
          <cell r="D229" t="str">
            <v>-  IL 1 x 60 W surface baret</v>
          </cell>
          <cell r="E229" t="str">
            <v>ea</v>
          </cell>
          <cell r="F229">
            <v>8</v>
          </cell>
          <cell r="G229">
            <v>215150</v>
          </cell>
          <cell r="H229">
            <v>0</v>
          </cell>
          <cell r="I229">
            <v>1721200</v>
          </cell>
        </row>
        <row r="230">
          <cell r="D230" t="str">
            <v>-  SL 1 x 18 W recessed down light</v>
          </cell>
          <cell r="E230" t="str">
            <v>ea</v>
          </cell>
          <cell r="F230">
            <v>3</v>
          </cell>
          <cell r="G230">
            <v>170030</v>
          </cell>
          <cell r="H230">
            <v>0</v>
          </cell>
          <cell r="I230">
            <v>510090</v>
          </cell>
        </row>
      </sheetData>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i Nelayan"/>
      <sheetName val="Pabrik Es"/>
      <sheetName val="Harga Survey"/>
      <sheetName val="Harga Bahan"/>
      <sheetName val="Analisa "/>
      <sheetName val="Vol. Bangunan Induk"/>
      <sheetName val="Rab"/>
      <sheetName val="Rekap"/>
      <sheetName val="Vol. Pek. Slasar"/>
      <sheetName val="Vol. Pek. Tower Air"/>
      <sheetName val="Sheet1"/>
    </sheetNames>
    <sheetDataSet>
      <sheetData sheetId="0" refreshError="1"/>
      <sheetData sheetId="1" refreshError="1"/>
      <sheetData sheetId="2" refreshError="1"/>
      <sheetData sheetId="3">
        <row r="12">
          <cell r="H12">
            <v>43500</v>
          </cell>
        </row>
        <row r="35">
          <cell r="H35">
            <v>27951.388888888887</v>
          </cell>
        </row>
        <row r="46">
          <cell r="H46">
            <v>230</v>
          </cell>
        </row>
        <row r="50">
          <cell r="H50">
            <v>28750</v>
          </cell>
        </row>
        <row r="56">
          <cell r="H56">
            <v>6900</v>
          </cell>
        </row>
        <row r="63">
          <cell r="H63">
            <v>575000</v>
          </cell>
        </row>
        <row r="65">
          <cell r="H65">
            <v>115000</v>
          </cell>
        </row>
        <row r="70">
          <cell r="H70">
            <v>23000</v>
          </cell>
        </row>
        <row r="73">
          <cell r="H73">
            <v>8625</v>
          </cell>
        </row>
        <row r="74">
          <cell r="H74">
            <v>54625</v>
          </cell>
        </row>
        <row r="88">
          <cell r="H88">
            <v>23000</v>
          </cell>
        </row>
        <row r="97">
          <cell r="H97">
            <v>345000</v>
          </cell>
        </row>
        <row r="98">
          <cell r="H98">
            <v>74750</v>
          </cell>
        </row>
        <row r="99">
          <cell r="H99">
            <v>126500</v>
          </cell>
        </row>
        <row r="106">
          <cell r="H106">
            <v>43125</v>
          </cell>
        </row>
        <row r="107">
          <cell r="H107">
            <v>34500</v>
          </cell>
        </row>
        <row r="108">
          <cell r="H108">
            <v>74750</v>
          </cell>
        </row>
        <row r="111">
          <cell r="H111">
            <v>345000</v>
          </cell>
        </row>
        <row r="112">
          <cell r="H112">
            <v>977500</v>
          </cell>
        </row>
        <row r="113">
          <cell r="H113">
            <v>8050</v>
          </cell>
        </row>
        <row r="124">
          <cell r="H124">
            <v>517500</v>
          </cell>
        </row>
      </sheetData>
      <sheetData sheetId="4">
        <row r="3">
          <cell r="A3" t="str">
            <v>Pekerjaan</v>
          </cell>
        </row>
      </sheetData>
      <sheetData sheetId="5">
        <row r="766">
          <cell r="M766">
            <v>1.6453625000000001</v>
          </cell>
        </row>
      </sheetData>
      <sheetData sheetId="6" refreshError="1"/>
      <sheetData sheetId="7" refreshError="1"/>
      <sheetData sheetId="8" refreshError="1"/>
      <sheetData sheetId="9" refreshError="1"/>
      <sheetData sheetId="1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sheetName val="Bangunan Utama"/>
      <sheetName val="Kolam Renang"/>
      <sheetName val="rekap"/>
      <sheetName val="Harga Satuan"/>
      <sheetName val="Bangunan Pengurangan"/>
      <sheetName val="ANALISA"/>
      <sheetName val="Sheet2"/>
      <sheetName val="Sheet3"/>
      <sheetName val="Cover"/>
      <sheetName val="sai"/>
      <sheetName val="hsd"/>
      <sheetName val="Material"/>
      <sheetName val="FINISHING"/>
      <sheetName val="BQ-E20-02(Rp)"/>
      <sheetName val="Harga"/>
      <sheetName val="BQ_E20_02_Rp_"/>
      <sheetName val="bahan"/>
      <sheetName val="arab"/>
      <sheetName val="SAA"/>
      <sheetName val="AC"/>
      <sheetName val="upah_borong"/>
      <sheetName val="satuan_pek"/>
      <sheetName val="DHS"/>
      <sheetName val="Anal"/>
      <sheetName val="RAB"/>
      <sheetName val="Summary IP"/>
      <sheetName val="HS Alat"/>
      <sheetName val="HS Upah"/>
      <sheetName val="HS Bahan"/>
      <sheetName val="Quantity"/>
      <sheetName val="bau"/>
      <sheetName val="MAPP"/>
      <sheetName val="rek det 1-3"/>
      <sheetName val="Sheet1"/>
      <sheetName val="UPAH"/>
      <sheetName val="P01-1"/>
      <sheetName val="Bangunan_Utama"/>
      <sheetName val="Kolam_Renang"/>
      <sheetName val="Harga_Satuan"/>
      <sheetName val="Bangunan_Pengurangan"/>
      <sheetName val="Kuantitas &amp; Harga"/>
      <sheetName val="Pekerjaan Utama"/>
      <sheetName val="ARS"/>
      <sheetName val="Analisa HSP"/>
      <sheetName val="DAFT_ALAT,UPAH &amp; MAT"/>
      <sheetName val="DivVI"/>
      <sheetName val="villa"/>
      <sheetName val="help"/>
      <sheetName val="bahan "/>
      <sheetName val="Jembatan I"/>
      <sheetName val="H.Satuan"/>
      <sheetName val="Agregat Halus &amp; Kasar"/>
      <sheetName val="DafBhn+up"/>
      <sheetName val="AnlAlt2b"/>
      <sheetName val="bahan plengkap"/>
      <sheetName val="Daf. Kuantitas"/>
      <sheetName val="Daftar Upah"/>
      <sheetName val="B.U.A"/>
      <sheetName val="Div-6"/>
      <sheetName val="Div-5"/>
      <sheetName val="Div1"/>
      <sheetName val="Div2"/>
      <sheetName val="Div-7"/>
      <sheetName val="Div-4"/>
      <sheetName val="Div-8"/>
      <sheetName val="INDEX"/>
      <sheetName val="Rupa2"/>
      <sheetName val="B000(Steel)"/>
      <sheetName val="2000_080401"/>
      <sheetName val="harsat"/>
      <sheetName val="AKUN"/>
      <sheetName val="TOWN"/>
      <sheetName val="rincian per proyek"/>
      <sheetName val="daf-3(OK)"/>
      <sheetName val="daf-7(OK)"/>
      <sheetName val="Ag Hls &amp; Ksr"/>
      <sheetName val="U&amp;B"/>
      <sheetName val="RPP01-1"/>
      <sheetName val="Hrg Bhn &amp; Upah"/>
      <sheetName val="analisa_gedung"/>
      <sheetName val="AN-PIPA"/>
      <sheetName val="H_Satuan"/>
      <sheetName val="BQ-E20-02 (USD)"/>
      <sheetName val="HARSAT_BAH"/>
      <sheetName val="Plumbing"/>
      <sheetName val="daf_3_OK_"/>
      <sheetName val="daf_7_OK_"/>
      <sheetName val="Jim House ref1"/>
      <sheetName val="Harga Dasar"/>
      <sheetName val="8LT 12"/>
      <sheetName val="_bhn_uph"/>
      <sheetName val="Rev0"/>
      <sheetName val="Rincian Biaya RKM I"/>
      <sheetName val="kriteria sgl"/>
    </sheetNames>
    <sheetDataSet>
      <sheetData sheetId="0" refreshError="1"/>
      <sheetData sheetId="1" refreshError="1">
        <row r="17">
          <cell r="AL17">
            <v>1.0529999999999999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AB2"/>
      <sheetName val="RAB2 (2)"/>
      <sheetName val="R"/>
      <sheetName val="S_DAYA"/>
      <sheetName val="AHS"/>
      <sheetName val="Terbilang"/>
      <sheetName val="Hitungan"/>
    </sheetNames>
    <sheetDataSet>
      <sheetData sheetId="0" refreshError="1"/>
      <sheetData sheetId="1" refreshError="1"/>
      <sheetData sheetId="2" refreshError="1"/>
      <sheetData sheetId="3" refreshError="1"/>
      <sheetData sheetId="4" refreshError="1">
        <row r="12">
          <cell r="C12" t="str">
            <v>UPAH</v>
          </cell>
        </row>
        <row r="95">
          <cell r="C95" t="str">
            <v>PERALATAN</v>
          </cell>
        </row>
        <row r="97">
          <cell r="C97" t="str">
            <v>Vibro Compactor</v>
          </cell>
          <cell r="D97" t="str">
            <v>jam</v>
          </cell>
          <cell r="E97">
            <v>165000</v>
          </cell>
        </row>
        <row r="98">
          <cell r="C98" t="str">
            <v>Dump Truck</v>
          </cell>
          <cell r="D98" t="str">
            <v>jam</v>
          </cell>
          <cell r="E98">
            <v>100000</v>
          </cell>
        </row>
        <row r="99">
          <cell r="C99" t="str">
            <v>Cargo Truck</v>
          </cell>
          <cell r="D99" t="str">
            <v>jam</v>
          </cell>
          <cell r="E99">
            <v>60000</v>
          </cell>
        </row>
        <row r="100">
          <cell r="C100" t="str">
            <v>Water Tank Truck</v>
          </cell>
          <cell r="D100" t="str">
            <v>jam</v>
          </cell>
          <cell r="E100">
            <v>55000</v>
          </cell>
        </row>
        <row r="101">
          <cell r="C101" t="str">
            <v>Bulldozer</v>
          </cell>
          <cell r="D101" t="str">
            <v>jam</v>
          </cell>
          <cell r="E101">
            <v>150000</v>
          </cell>
        </row>
        <row r="102">
          <cell r="C102" t="str">
            <v>Motor Grader</v>
          </cell>
          <cell r="D102" t="str">
            <v>jam</v>
          </cell>
          <cell r="E102">
            <v>150000</v>
          </cell>
        </row>
        <row r="103">
          <cell r="C103" t="str">
            <v>Excavator PC-200</v>
          </cell>
          <cell r="D103" t="str">
            <v>jam</v>
          </cell>
          <cell r="E103">
            <v>160000</v>
          </cell>
        </row>
        <row r="104">
          <cell r="C104" t="str">
            <v>Wheel Loader</v>
          </cell>
          <cell r="D104" t="str">
            <v>jam</v>
          </cell>
          <cell r="E104">
            <v>140000</v>
          </cell>
        </row>
        <row r="105">
          <cell r="C105" t="str">
            <v>Crawler Crane 150 ton</v>
          </cell>
          <cell r="D105" t="str">
            <v>jam</v>
          </cell>
          <cell r="E105">
            <v>420000</v>
          </cell>
        </row>
        <row r="106">
          <cell r="C106" t="str">
            <v>Crawler Crane 45 ton</v>
          </cell>
          <cell r="D106" t="str">
            <v>jam</v>
          </cell>
          <cell r="E106">
            <v>320000</v>
          </cell>
        </row>
        <row r="107">
          <cell r="C107" t="str">
            <v>Crawler Crane 25 ton</v>
          </cell>
          <cell r="D107" t="str">
            <v>jam</v>
          </cell>
          <cell r="E107">
            <v>200000</v>
          </cell>
        </row>
        <row r="108">
          <cell r="C108" t="str">
            <v>Crane Pancang</v>
          </cell>
          <cell r="D108" t="str">
            <v>jam</v>
          </cell>
          <cell r="E108">
            <v>225000</v>
          </cell>
        </row>
        <row r="109">
          <cell r="C109" t="str">
            <v>Diesel Hammer K-45</v>
          </cell>
          <cell r="D109" t="str">
            <v>jam</v>
          </cell>
          <cell r="E109">
            <v>139000</v>
          </cell>
        </row>
        <row r="110">
          <cell r="C110" t="str">
            <v>Diesel Hammer K-60</v>
          </cell>
          <cell r="D110" t="str">
            <v>jam</v>
          </cell>
          <cell r="E110">
            <v>250000</v>
          </cell>
        </row>
        <row r="111">
          <cell r="C111" t="str">
            <v>Vibrating Hammer</v>
          </cell>
          <cell r="D111" t="str">
            <v>jam</v>
          </cell>
          <cell r="E111">
            <v>200000</v>
          </cell>
        </row>
        <row r="112">
          <cell r="C112" t="str">
            <v>Ponton Kerja</v>
          </cell>
          <cell r="D112" t="str">
            <v>jam</v>
          </cell>
          <cell r="E112">
            <v>160000</v>
          </cell>
        </row>
        <row r="113">
          <cell r="C113" t="str">
            <v>Ponton Material</v>
          </cell>
          <cell r="D113" t="str">
            <v>jam</v>
          </cell>
          <cell r="E113">
            <v>225000</v>
          </cell>
        </row>
        <row r="114">
          <cell r="C114" t="str">
            <v>Ponton Pancang</v>
          </cell>
          <cell r="D114" t="str">
            <v>jam</v>
          </cell>
          <cell r="E114">
            <v>175000</v>
          </cell>
        </row>
        <row r="115">
          <cell r="C115" t="str">
            <v>Tug Boat</v>
          </cell>
          <cell r="D115" t="str">
            <v>jam</v>
          </cell>
          <cell r="E115">
            <v>200000</v>
          </cell>
        </row>
        <row r="116">
          <cell r="C116" t="str">
            <v>Speed Boat</v>
          </cell>
          <cell r="D116" t="str">
            <v>jam</v>
          </cell>
          <cell r="E116">
            <v>75000</v>
          </cell>
        </row>
        <row r="117">
          <cell r="C117" t="str">
            <v>Compressor</v>
          </cell>
          <cell r="D117" t="str">
            <v>jam</v>
          </cell>
          <cell r="E117">
            <v>75000</v>
          </cell>
        </row>
        <row r="118">
          <cell r="C118" t="str">
            <v>Trafo Las</v>
          </cell>
          <cell r="D118" t="str">
            <v>jam</v>
          </cell>
          <cell r="E118">
            <v>8000</v>
          </cell>
        </row>
        <row r="119">
          <cell r="C119" t="str">
            <v>Nald Vibrator</v>
          </cell>
          <cell r="D119" t="str">
            <v>jam</v>
          </cell>
          <cell r="E119">
            <v>17500</v>
          </cell>
        </row>
        <row r="120">
          <cell r="C120" t="str">
            <v>Concrete Pump</v>
          </cell>
          <cell r="D120" t="str">
            <v>jam</v>
          </cell>
          <cell r="E120">
            <v>150000</v>
          </cell>
        </row>
        <row r="121">
          <cell r="C121" t="str">
            <v>Concrete Mixer</v>
          </cell>
          <cell r="D121" t="str">
            <v>jam</v>
          </cell>
          <cell r="E121">
            <v>36200</v>
          </cell>
        </row>
        <row r="122">
          <cell r="C122" t="str">
            <v>Batching Plant</v>
          </cell>
          <cell r="D122" t="str">
            <v>jam</v>
          </cell>
          <cell r="E122">
            <v>175000</v>
          </cell>
        </row>
        <row r="123">
          <cell r="C123" t="str">
            <v xml:space="preserve">Genset </v>
          </cell>
          <cell r="D123" t="str">
            <v>jam</v>
          </cell>
          <cell r="E123">
            <v>65000</v>
          </cell>
        </row>
        <row r="124">
          <cell r="C124" t="str">
            <v>Water Pump</v>
          </cell>
          <cell r="D124" t="str">
            <v>jam</v>
          </cell>
          <cell r="E124">
            <v>10000</v>
          </cell>
        </row>
        <row r="125">
          <cell r="C125" t="str">
            <v>Water Jet Pump</v>
          </cell>
          <cell r="D125" t="str">
            <v>jam</v>
          </cell>
          <cell r="E125">
            <v>30000</v>
          </cell>
        </row>
        <row r="126">
          <cell r="C126" t="str">
            <v>Waste Water Pump</v>
          </cell>
          <cell r="D126" t="str">
            <v>jam</v>
          </cell>
          <cell r="E126">
            <v>25000</v>
          </cell>
        </row>
        <row r="127">
          <cell r="C127" t="str">
            <v>Stamper</v>
          </cell>
          <cell r="D127" t="str">
            <v>jam</v>
          </cell>
          <cell r="E127">
            <v>16000</v>
          </cell>
        </row>
        <row r="128">
          <cell r="C128" t="str">
            <v>Chain Saw</v>
          </cell>
          <cell r="D128" t="str">
            <v>jam</v>
          </cell>
          <cell r="E128">
            <v>17500</v>
          </cell>
        </row>
        <row r="129">
          <cell r="C129" t="str">
            <v>Bar Bender</v>
          </cell>
          <cell r="D129" t="str">
            <v>jam</v>
          </cell>
          <cell r="E129">
            <v>4500</v>
          </cell>
        </row>
        <row r="130">
          <cell r="C130" t="str">
            <v>Bar Cutter</v>
          </cell>
          <cell r="D130" t="str">
            <v>jam</v>
          </cell>
          <cell r="E130">
            <v>4500</v>
          </cell>
        </row>
        <row r="131">
          <cell r="C131" t="str">
            <v>Landing Ship Tank</v>
          </cell>
          <cell r="D131" t="str">
            <v>jam</v>
          </cell>
          <cell r="E131">
            <v>225000</v>
          </cell>
        </row>
        <row r="132">
          <cell r="C132" t="str">
            <v>Power Pack</v>
          </cell>
          <cell r="D132" t="str">
            <v>jam</v>
          </cell>
          <cell r="E132">
            <v>45000</v>
          </cell>
        </row>
        <row r="133">
          <cell r="C133" t="str">
            <v>Hydraulic Jack 150 ton</v>
          </cell>
          <cell r="D133" t="str">
            <v>jam</v>
          </cell>
          <cell r="E133">
            <v>35000</v>
          </cell>
        </row>
        <row r="134">
          <cell r="C134" t="str">
            <v>Alat Test Ultrasonic</v>
          </cell>
          <cell r="D134" t="str">
            <v>jam</v>
          </cell>
          <cell r="E134">
            <v>22500</v>
          </cell>
        </row>
        <row r="135">
          <cell r="C135" t="str">
            <v>Truck Mixer</v>
          </cell>
          <cell r="D135" t="str">
            <v>jam</v>
          </cell>
          <cell r="E135">
            <v>100000</v>
          </cell>
        </row>
        <row r="136">
          <cell r="C136" t="str">
            <v>Asphalt Sprayer</v>
          </cell>
          <cell r="D136" t="str">
            <v>jam</v>
          </cell>
          <cell r="E136">
            <v>50000</v>
          </cell>
        </row>
        <row r="137">
          <cell r="C137" t="str">
            <v>AMP</v>
          </cell>
          <cell r="D137" t="str">
            <v>jam</v>
          </cell>
          <cell r="E137">
            <v>900000</v>
          </cell>
        </row>
        <row r="138">
          <cell r="C138" t="str">
            <v>Asphalt Finisher</v>
          </cell>
          <cell r="D138" t="str">
            <v>jam</v>
          </cell>
          <cell r="E138">
            <v>300000</v>
          </cell>
        </row>
        <row r="139">
          <cell r="C139" t="str">
            <v>Tandem Roller</v>
          </cell>
          <cell r="D139" t="str">
            <v>jam</v>
          </cell>
          <cell r="E139">
            <v>125000</v>
          </cell>
        </row>
        <row r="140">
          <cell r="C140" t="str">
            <v>P. Tyre Roller</v>
          </cell>
          <cell r="D140" t="str">
            <v>jam</v>
          </cell>
          <cell r="E140">
            <v>150000</v>
          </cell>
        </row>
        <row r="141">
          <cell r="D141" t="str">
            <v>jam</v>
          </cell>
        </row>
      </sheetData>
      <sheetData sheetId="5" refreshError="1"/>
      <sheetData sheetId="6" refreshError="1"/>
      <sheetData sheetId="7"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
      <sheetName val="Personil (2)"/>
      <sheetName val="Personil"/>
      <sheetName val="MTD"/>
      <sheetName val="SC"/>
      <sheetName val="Pngalaman"/>
      <sheetName val="Pernyataan"/>
      <sheetName val="Kl"/>
      <sheetName val="Surat"/>
      <sheetName val="REK"/>
      <sheetName val="RAB"/>
      <sheetName val="Analisa"/>
      <sheetName val="Harga Satuan"/>
      <sheetName val="cvr"/>
      <sheetName val="Volum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3">
          <cell r="L13">
            <v>49000</v>
          </cell>
        </row>
        <row r="19">
          <cell r="L19">
            <v>50000</v>
          </cell>
        </row>
        <row r="25">
          <cell r="L25">
            <v>9000</v>
          </cell>
        </row>
        <row r="26">
          <cell r="L26">
            <v>17000</v>
          </cell>
        </row>
        <row r="27">
          <cell r="L27">
            <v>4000</v>
          </cell>
        </row>
        <row r="29">
          <cell r="L29">
            <v>1100</v>
          </cell>
        </row>
        <row r="30">
          <cell r="L30">
            <v>46000</v>
          </cell>
        </row>
        <row r="33">
          <cell r="L33">
            <v>159750</v>
          </cell>
        </row>
        <row r="36">
          <cell r="L36">
            <v>160000</v>
          </cell>
        </row>
        <row r="37">
          <cell r="L37">
            <v>2052</v>
          </cell>
        </row>
        <row r="38">
          <cell r="L38">
            <v>22797.5</v>
          </cell>
        </row>
        <row r="39">
          <cell r="L39">
            <v>14055</v>
          </cell>
        </row>
        <row r="43">
          <cell r="L43">
            <v>29250</v>
          </cell>
        </row>
        <row r="44">
          <cell r="L44">
            <v>26075</v>
          </cell>
        </row>
        <row r="45">
          <cell r="L45">
            <v>23200</v>
          </cell>
        </row>
        <row r="46">
          <cell r="L46">
            <v>32400</v>
          </cell>
        </row>
        <row r="48">
          <cell r="L48">
            <v>32572.5</v>
          </cell>
        </row>
        <row r="49">
          <cell r="L49">
            <v>54825</v>
          </cell>
        </row>
        <row r="52">
          <cell r="L52">
            <v>23200</v>
          </cell>
        </row>
        <row r="53">
          <cell r="L53">
            <v>23200</v>
          </cell>
        </row>
        <row r="58">
          <cell r="L58">
            <v>37000</v>
          </cell>
        </row>
        <row r="59">
          <cell r="L59">
            <v>12200</v>
          </cell>
        </row>
        <row r="60">
          <cell r="L60">
            <v>12200</v>
          </cell>
        </row>
        <row r="61">
          <cell r="L61">
            <v>651700</v>
          </cell>
        </row>
        <row r="62">
          <cell r="L62">
            <v>28750</v>
          </cell>
        </row>
        <row r="63">
          <cell r="L63">
            <v>94000</v>
          </cell>
        </row>
        <row r="65">
          <cell r="L65">
            <v>5750</v>
          </cell>
        </row>
        <row r="66">
          <cell r="L66">
            <v>154500</v>
          </cell>
        </row>
        <row r="69">
          <cell r="L69">
            <v>161000</v>
          </cell>
        </row>
        <row r="70">
          <cell r="L70">
            <v>72000</v>
          </cell>
        </row>
        <row r="75">
          <cell r="L75">
            <v>60000</v>
          </cell>
        </row>
        <row r="76">
          <cell r="L76">
            <v>75000</v>
          </cell>
        </row>
        <row r="77">
          <cell r="L77">
            <v>2500</v>
          </cell>
        </row>
      </sheetData>
      <sheetData sheetId="13"/>
      <sheetData sheetId="14"/>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M"/>
      <sheetName val="RAB"/>
      <sheetName val="BOQ"/>
      <sheetName val="C Boq"/>
      <sheetName val="UTM"/>
      <sheetName val="%"/>
      <sheetName val="BBL"/>
      <sheetName val="P MBL"/>
      <sheetName val="LL"/>
      <sheetName val="J DRT"/>
      <sheetName val="Metode"/>
      <sheetName val="D P U"/>
      <sheetName val="Harga"/>
      <sheetName val="MOS"/>
      <sheetName val="KONF"/>
      <sheetName val="Sched"/>
      <sheetName val="B2"/>
      <sheetName val="B3"/>
      <sheetName val="B3A"/>
      <sheetName val="B3B"/>
      <sheetName val="B4"/>
      <sheetName val="B5"/>
      <sheetName val="B6"/>
      <sheetName val="B6A"/>
      <sheetName val="B7"/>
      <sheetName val="B7A"/>
      <sheetName val="B8"/>
      <sheetName val="B9"/>
      <sheetName val="B 10"/>
      <sheetName val="B 10k"/>
      <sheetName val="AHSP"/>
      <sheetName val="H DSR"/>
      <sheetName val="F BHN"/>
      <sheetName val="A QUARY"/>
      <sheetName val="ALT"/>
      <sheetName val="ALT 1"/>
      <sheetName val="AG K-H"/>
      <sheetName val="KLS A"/>
      <sheetName val="KLS B"/>
      <sheetName val="KLS C"/>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refreshError="1"/>
      <sheetData sheetId="32"/>
      <sheetData sheetId="33"/>
      <sheetData sheetId="34" refreshError="1">
        <row r="8">
          <cell r="AO8" t="str">
            <v>P1</v>
          </cell>
          <cell r="AQ8" t="str">
            <v>1.</v>
          </cell>
          <cell r="AS8" t="str">
            <v>ASPHALT MIXING PLANT</v>
          </cell>
          <cell r="AT8" t="str">
            <v>E01</v>
          </cell>
          <cell r="AU8" t="str">
            <v>Jam</v>
          </cell>
          <cell r="AV8">
            <v>220</v>
          </cell>
          <cell r="AW8">
            <v>50</v>
          </cell>
          <cell r="AX8" t="str">
            <v>T/Jam</v>
          </cell>
          <cell r="AY8">
            <v>1800000000</v>
          </cell>
          <cell r="AZ8">
            <v>3015025.0630330578</v>
          </cell>
        </row>
        <row r="9">
          <cell r="AO9" t="str">
            <v>P2</v>
          </cell>
          <cell r="AQ9" t="str">
            <v>2.</v>
          </cell>
          <cell r="AS9" t="str">
            <v>ASPHALT FINISHER</v>
          </cell>
          <cell r="AT9" t="str">
            <v>E02</v>
          </cell>
          <cell r="AU9" t="str">
            <v>Jam</v>
          </cell>
          <cell r="AV9">
            <v>50</v>
          </cell>
          <cell r="AW9">
            <v>5</v>
          </cell>
          <cell r="AX9" t="str">
            <v>Ton</v>
          </cell>
          <cell r="AY9">
            <v>317658375</v>
          </cell>
          <cell r="AZ9">
            <v>106951.52459750031</v>
          </cell>
        </row>
        <row r="10">
          <cell r="AO10" t="str">
            <v>P3</v>
          </cell>
          <cell r="AQ10" t="str">
            <v>3.</v>
          </cell>
          <cell r="AS10" t="str">
            <v>ASPHALT SPRAYER</v>
          </cell>
          <cell r="AT10" t="str">
            <v>E03</v>
          </cell>
          <cell r="AU10" t="str">
            <v>Jam</v>
          </cell>
          <cell r="AV10">
            <v>15</v>
          </cell>
          <cell r="AW10">
            <v>800</v>
          </cell>
          <cell r="AX10" t="str">
            <v>Liter</v>
          </cell>
          <cell r="AY10">
            <v>49721625</v>
          </cell>
          <cell r="AZ10">
            <v>31358.581147121498</v>
          </cell>
        </row>
        <row r="11">
          <cell r="AO11" t="str">
            <v>P4</v>
          </cell>
          <cell r="AQ11" t="str">
            <v>4.</v>
          </cell>
          <cell r="AS11" t="str">
            <v>BULLDOZER 100-150 HP</v>
          </cell>
          <cell r="AT11" t="str">
            <v>E04</v>
          </cell>
          <cell r="AU11" t="str">
            <v>Jam</v>
          </cell>
          <cell r="AV11">
            <v>140</v>
          </cell>
          <cell r="AW11" t="str">
            <v xml:space="preserve">          -</v>
          </cell>
          <cell r="AX11" t="str">
            <v/>
          </cell>
          <cell r="AY11">
            <v>900021725</v>
          </cell>
          <cell r="AZ11">
            <v>299038.57005395583</v>
          </cell>
        </row>
        <row r="12">
          <cell r="AO12" t="str">
            <v>P5</v>
          </cell>
          <cell r="AQ12" t="str">
            <v>5.</v>
          </cell>
          <cell r="AS12" t="str">
            <v>COMPRESSOR 4000-6500 L\M</v>
          </cell>
          <cell r="AT12" t="str">
            <v>E05</v>
          </cell>
          <cell r="AU12" t="str">
            <v>Jam</v>
          </cell>
          <cell r="AV12">
            <v>80</v>
          </cell>
          <cell r="AW12" t="str">
            <v xml:space="preserve">          -</v>
          </cell>
          <cell r="AX12" t="str">
            <v/>
          </cell>
          <cell r="AY12">
            <v>54602683</v>
          </cell>
          <cell r="AZ12">
            <v>89544.079548340218</v>
          </cell>
        </row>
        <row r="13">
          <cell r="AO13" t="str">
            <v>P6</v>
          </cell>
          <cell r="AQ13" t="str">
            <v>6.</v>
          </cell>
          <cell r="AS13" t="str">
            <v>CONCRETE MIXER 0.3-0.6 M3</v>
          </cell>
          <cell r="AT13" t="str">
            <v>E06</v>
          </cell>
          <cell r="AU13" t="str">
            <v>Jam</v>
          </cell>
          <cell r="AV13">
            <v>16</v>
          </cell>
          <cell r="AW13">
            <v>350</v>
          </cell>
          <cell r="AX13" t="str">
            <v>Liter</v>
          </cell>
          <cell r="AY13">
            <v>6500000</v>
          </cell>
          <cell r="AZ13">
            <v>26058.221320243738</v>
          </cell>
        </row>
        <row r="14">
          <cell r="AO14" t="str">
            <v>P7</v>
          </cell>
          <cell r="AQ14" t="str">
            <v>7.</v>
          </cell>
          <cell r="AS14" t="str">
            <v>CRANE 10-15 TON</v>
          </cell>
          <cell r="AT14" t="str">
            <v>E07</v>
          </cell>
          <cell r="AU14" t="str">
            <v>Jam</v>
          </cell>
          <cell r="AV14">
            <v>150</v>
          </cell>
          <cell r="AW14">
            <v>25</v>
          </cell>
          <cell r="AX14" t="str">
            <v>Ton</v>
          </cell>
          <cell r="AY14">
            <v>777038177</v>
          </cell>
          <cell r="AZ14">
            <v>285067.55126454472</v>
          </cell>
        </row>
        <row r="15">
          <cell r="AO15" t="str">
            <v>P8</v>
          </cell>
          <cell r="AQ15" t="str">
            <v>8.</v>
          </cell>
          <cell r="AS15" t="str">
            <v>DUMP TRUCK 3-4 M3</v>
          </cell>
          <cell r="AT15" t="str">
            <v>E08</v>
          </cell>
          <cell r="AU15" t="str">
            <v>Jam</v>
          </cell>
          <cell r="AV15">
            <v>100</v>
          </cell>
          <cell r="AW15">
            <v>6</v>
          </cell>
          <cell r="AX15" t="str">
            <v>Ton</v>
          </cell>
          <cell r="AY15">
            <v>140000000</v>
          </cell>
          <cell r="AZ15">
            <v>123477.70722901054</v>
          </cell>
        </row>
        <row r="16">
          <cell r="AO16" t="str">
            <v>P9</v>
          </cell>
          <cell r="AQ16" t="str">
            <v>9.</v>
          </cell>
          <cell r="AS16" t="str">
            <v>DUMP TRUCK  8 - 10 Ton</v>
          </cell>
          <cell r="AT16" t="str">
            <v>E09</v>
          </cell>
          <cell r="AU16" t="str">
            <v>Jam</v>
          </cell>
          <cell r="AV16">
            <v>145</v>
          </cell>
          <cell r="AW16">
            <v>10</v>
          </cell>
          <cell r="AX16" t="str">
            <v>Ton</v>
          </cell>
          <cell r="AY16">
            <v>300000000</v>
          </cell>
          <cell r="AZ16">
            <v>181993.16231841751</v>
          </cell>
        </row>
        <row r="17">
          <cell r="AO17" t="str">
            <v>P10</v>
          </cell>
          <cell r="AQ17" t="str">
            <v>10.</v>
          </cell>
          <cell r="AS17" t="str">
            <v>EXCAVATOR 80-140 HP</v>
          </cell>
          <cell r="AT17" t="str">
            <v>E10</v>
          </cell>
          <cell r="AU17" t="str">
            <v>Jam</v>
          </cell>
          <cell r="AV17">
            <v>145</v>
          </cell>
          <cell r="AW17">
            <v>0.9</v>
          </cell>
          <cell r="AX17" t="str">
            <v>M3</v>
          </cell>
          <cell r="AY17">
            <v>650000000</v>
          </cell>
          <cell r="AZ17">
            <v>302801.97935594455</v>
          </cell>
        </row>
        <row r="18">
          <cell r="AO18" t="str">
            <v>P11</v>
          </cell>
          <cell r="AQ18" t="str">
            <v>11.</v>
          </cell>
          <cell r="AS18" t="str">
            <v>FLAT BED TRUCK 3-4 M3</v>
          </cell>
          <cell r="AT18" t="str">
            <v>E11</v>
          </cell>
          <cell r="AU18" t="str">
            <v>Jam</v>
          </cell>
          <cell r="AV18">
            <v>100</v>
          </cell>
          <cell r="AW18">
            <v>4</v>
          </cell>
          <cell r="AX18" t="str">
            <v>M3</v>
          </cell>
          <cell r="AY18">
            <v>250000000</v>
          </cell>
          <cell r="AZ18">
            <v>153191.94553988802</v>
          </cell>
        </row>
        <row r="19">
          <cell r="AO19" t="str">
            <v>P12</v>
          </cell>
          <cell r="AQ19" t="str">
            <v>12.</v>
          </cell>
          <cell r="AS19" t="str">
            <v>GENERATOR SET</v>
          </cell>
          <cell r="AT19" t="str">
            <v>E12</v>
          </cell>
          <cell r="AU19" t="str">
            <v>Jam</v>
          </cell>
          <cell r="AV19">
            <v>220</v>
          </cell>
          <cell r="AW19">
            <v>180</v>
          </cell>
          <cell r="AX19" t="str">
            <v>KVA</v>
          </cell>
          <cell r="AY19">
            <v>185000000</v>
          </cell>
          <cell r="AZ19">
            <v>246147.3838166919</v>
          </cell>
        </row>
        <row r="20">
          <cell r="AO20" t="str">
            <v>P13</v>
          </cell>
          <cell r="AQ20" t="str">
            <v>13.</v>
          </cell>
          <cell r="AS20" t="str">
            <v>MOTOR GRADER &gt;100 HP</v>
          </cell>
          <cell r="AT20" t="str">
            <v>E13</v>
          </cell>
          <cell r="AU20" t="str">
            <v>Jam</v>
          </cell>
          <cell r="AV20">
            <v>145</v>
          </cell>
          <cell r="AW20" t="str">
            <v xml:space="preserve">          -</v>
          </cell>
          <cell r="AX20" t="str">
            <v/>
          </cell>
          <cell r="AY20">
            <v>750000000</v>
          </cell>
          <cell r="AZ20">
            <v>275652.29946122284</v>
          </cell>
        </row>
        <row r="21">
          <cell r="AO21" t="str">
            <v>P14</v>
          </cell>
          <cell r="AQ21" t="str">
            <v>14.</v>
          </cell>
          <cell r="AS21" t="str">
            <v>TRACK LOADER 75-100 HP</v>
          </cell>
          <cell r="AT21" t="str">
            <v>E14</v>
          </cell>
          <cell r="AU21" t="str">
            <v>Jam</v>
          </cell>
          <cell r="AV21">
            <v>100</v>
          </cell>
          <cell r="AW21">
            <v>1.5</v>
          </cell>
          <cell r="AX21" t="str">
            <v>M3</v>
          </cell>
          <cell r="AY21">
            <v>604024763</v>
          </cell>
          <cell r="AZ21">
            <v>208953.16763626333</v>
          </cell>
        </row>
        <row r="22">
          <cell r="AO22" t="str">
            <v>P15</v>
          </cell>
          <cell r="AQ22" t="str">
            <v>15.</v>
          </cell>
          <cell r="AS22" t="str">
            <v>WHEEL LOADER 1.0-1.6 M3</v>
          </cell>
          <cell r="AT22" t="str">
            <v>E15</v>
          </cell>
          <cell r="AU22" t="str">
            <v>Jam</v>
          </cell>
          <cell r="AV22">
            <v>145</v>
          </cell>
          <cell r="AW22">
            <v>1.5</v>
          </cell>
          <cell r="AX22" t="str">
            <v>M3</v>
          </cell>
          <cell r="AY22">
            <v>582367850</v>
          </cell>
          <cell r="AZ22">
            <v>244597.33071666869</v>
          </cell>
        </row>
        <row r="23">
          <cell r="AO23" t="str">
            <v>P16</v>
          </cell>
          <cell r="AQ23" t="str">
            <v>16.</v>
          </cell>
          <cell r="AS23" t="str">
            <v>THREE WHEEL ROLLER 6-8 T</v>
          </cell>
          <cell r="AT23" t="str">
            <v>E16</v>
          </cell>
          <cell r="AU23" t="str">
            <v>Jam</v>
          </cell>
          <cell r="AV23">
            <v>60</v>
          </cell>
          <cell r="AW23">
            <v>8</v>
          </cell>
          <cell r="AX23" t="str">
            <v>Ton</v>
          </cell>
          <cell r="AY23">
            <v>175000000</v>
          </cell>
          <cell r="AZ23">
            <v>94223.481874285339</v>
          </cell>
        </row>
        <row r="24">
          <cell r="AO24" t="str">
            <v>P17</v>
          </cell>
          <cell r="AQ24" t="str">
            <v>17.</v>
          </cell>
          <cell r="AS24" t="str">
            <v>TANDEM ROLLER 6-8 T.</v>
          </cell>
          <cell r="AT24" t="str">
            <v>E17</v>
          </cell>
          <cell r="AU24" t="str">
            <v>Jam</v>
          </cell>
          <cell r="AV24">
            <v>80</v>
          </cell>
          <cell r="AW24">
            <v>8</v>
          </cell>
          <cell r="AX24" t="str">
            <v>Ton</v>
          </cell>
          <cell r="AY24">
            <v>325000000</v>
          </cell>
          <cell r="AZ24">
            <v>162474.64967797228</v>
          </cell>
        </row>
        <row r="25">
          <cell r="AO25" t="str">
            <v>P18</v>
          </cell>
          <cell r="AQ25" t="str">
            <v>18.</v>
          </cell>
          <cell r="AS25" t="str">
            <v>TIRE ROLLER 8-10 T.</v>
          </cell>
          <cell r="AT25" t="str">
            <v>E18</v>
          </cell>
          <cell r="AU25" t="str">
            <v>Jam</v>
          </cell>
          <cell r="AV25">
            <v>80</v>
          </cell>
          <cell r="AW25">
            <v>10</v>
          </cell>
          <cell r="AX25" t="str">
            <v>Ton</v>
          </cell>
          <cell r="AY25">
            <v>376408667</v>
          </cell>
          <cell r="AZ25">
            <v>175610.92123434259</v>
          </cell>
        </row>
        <row r="26">
          <cell r="AO26" t="str">
            <v>P19</v>
          </cell>
          <cell r="AQ26" t="str">
            <v>19.</v>
          </cell>
          <cell r="AS26" t="str">
            <v>VIBRATORY ROLLER 5-8 T.</v>
          </cell>
          <cell r="AT26" t="str">
            <v>E19</v>
          </cell>
          <cell r="AU26" t="str">
            <v>Jam</v>
          </cell>
          <cell r="AV26">
            <v>80</v>
          </cell>
          <cell r="AW26">
            <v>8</v>
          </cell>
          <cell r="AX26" t="str">
            <v>Ton</v>
          </cell>
          <cell r="AY26">
            <v>297409699</v>
          </cell>
          <cell r="AZ26">
            <v>164978.71941182765</v>
          </cell>
        </row>
        <row r="27">
          <cell r="AO27" t="str">
            <v>P20</v>
          </cell>
          <cell r="AQ27" t="str">
            <v>20.</v>
          </cell>
          <cell r="AS27" t="str">
            <v>CONCRETE VIBRATOR</v>
          </cell>
          <cell r="AT27" t="str">
            <v>E20</v>
          </cell>
          <cell r="AU27" t="str">
            <v>Jam</v>
          </cell>
          <cell r="AV27">
            <v>3</v>
          </cell>
          <cell r="AW27" t="str">
            <v xml:space="preserve">          -</v>
          </cell>
          <cell r="AX27" t="str">
            <v/>
          </cell>
          <cell r="AY27">
            <v>6500000</v>
          </cell>
          <cell r="AZ27">
            <v>14283.429156552676</v>
          </cell>
        </row>
        <row r="28">
          <cell r="AO28" t="str">
            <v>P21</v>
          </cell>
          <cell r="AQ28" t="str">
            <v>21.</v>
          </cell>
          <cell r="AS28" t="str">
            <v>STONE CRUSHER</v>
          </cell>
          <cell r="AT28" t="str">
            <v>E21</v>
          </cell>
          <cell r="AU28" t="str">
            <v>Jam</v>
          </cell>
          <cell r="AV28">
            <v>220</v>
          </cell>
          <cell r="AW28">
            <v>50</v>
          </cell>
          <cell r="AX28" t="str">
            <v>T/Jam</v>
          </cell>
          <cell r="AY28">
            <v>1200000000</v>
          </cell>
          <cell r="AZ28">
            <v>513363.8188109746</v>
          </cell>
        </row>
        <row r="29">
          <cell r="AO29" t="str">
            <v>P22</v>
          </cell>
          <cell r="AQ29" t="str">
            <v>22.</v>
          </cell>
          <cell r="AS29" t="str">
            <v>WATER PUMP 70-100 mm</v>
          </cell>
          <cell r="AT29" t="str">
            <v>E22</v>
          </cell>
          <cell r="AU29" t="str">
            <v>Jam</v>
          </cell>
          <cell r="AV29">
            <v>6</v>
          </cell>
          <cell r="AW29" t="str">
            <v xml:space="preserve">          -</v>
          </cell>
          <cell r="AX29" t="str">
            <v/>
          </cell>
          <cell r="AY29">
            <v>6500000</v>
          </cell>
          <cell r="AZ29">
            <v>17750.663206951023</v>
          </cell>
        </row>
        <row r="30">
          <cell r="AO30" t="str">
            <v>P23</v>
          </cell>
          <cell r="AQ30" t="str">
            <v>23.</v>
          </cell>
          <cell r="AS30" t="str">
            <v>WATER TANKER 3000-4500 L.</v>
          </cell>
          <cell r="AT30" t="str">
            <v>E23</v>
          </cell>
          <cell r="AU30" t="str">
            <v>Jam</v>
          </cell>
          <cell r="AV30">
            <v>125</v>
          </cell>
          <cell r="AW30">
            <v>4000</v>
          </cell>
          <cell r="AX30" t="str">
            <v>Liter</v>
          </cell>
          <cell r="AY30">
            <v>135000000</v>
          </cell>
          <cell r="AZ30">
            <v>153580.88386623465</v>
          </cell>
        </row>
        <row r="31">
          <cell r="AO31" t="str">
            <v>P24</v>
          </cell>
          <cell r="AQ31" t="str">
            <v>24.</v>
          </cell>
          <cell r="AS31" t="str">
            <v>PEDESTRIAN ROLLER</v>
          </cell>
          <cell r="AT31" t="str">
            <v>E24</v>
          </cell>
          <cell r="AU31" t="str">
            <v>Jam</v>
          </cell>
          <cell r="AV31">
            <v>11</v>
          </cell>
          <cell r="AW31">
            <v>1</v>
          </cell>
          <cell r="AX31" t="str">
            <v>Ton</v>
          </cell>
          <cell r="AY31">
            <v>71403508</v>
          </cell>
          <cell r="AZ31">
            <v>33513.297257598642</v>
          </cell>
        </row>
        <row r="32">
          <cell r="AO32" t="str">
            <v>P25</v>
          </cell>
          <cell r="AQ32" t="str">
            <v>25.</v>
          </cell>
          <cell r="AS32" t="str">
            <v>TAMPER</v>
          </cell>
          <cell r="AT32" t="str">
            <v>E25</v>
          </cell>
          <cell r="AU32" t="str">
            <v>Jam</v>
          </cell>
          <cell r="AV32">
            <v>5</v>
          </cell>
          <cell r="AW32">
            <v>0.2</v>
          </cell>
          <cell r="AX32" t="str">
            <v>Ton</v>
          </cell>
          <cell r="AY32">
            <v>6720330</v>
          </cell>
          <cell r="AZ32">
            <v>16137.827415085485</v>
          </cell>
        </row>
        <row r="33">
          <cell r="AO33" t="str">
            <v>P26</v>
          </cell>
          <cell r="AQ33" t="str">
            <v>26.</v>
          </cell>
          <cell r="AS33" t="str">
            <v>JACK HAMMER</v>
          </cell>
          <cell r="AT33" t="str">
            <v>E26</v>
          </cell>
          <cell r="AU33" t="str">
            <v>Jam</v>
          </cell>
          <cell r="AV33">
            <v>3</v>
          </cell>
          <cell r="AW33" t="str">
            <v xml:space="preserve">          -</v>
          </cell>
          <cell r="AX33" t="str">
            <v/>
          </cell>
          <cell r="AY33">
            <v>27721362</v>
          </cell>
          <cell r="AZ33">
            <v>23134.725900047913</v>
          </cell>
        </row>
        <row r="34">
          <cell r="AO34" t="str">
            <v>P27</v>
          </cell>
          <cell r="AQ34" t="str">
            <v>27.</v>
          </cell>
          <cell r="AS34" t="str">
            <v>FULVI MIXER</v>
          </cell>
          <cell r="AT34" t="str">
            <v>E27</v>
          </cell>
          <cell r="AU34" t="str">
            <v>Jam</v>
          </cell>
          <cell r="AV34">
            <v>75</v>
          </cell>
          <cell r="AW34" t="str">
            <v xml:space="preserve">          -</v>
          </cell>
          <cell r="AX34" t="str">
            <v/>
          </cell>
          <cell r="AY34">
            <v>46000000</v>
          </cell>
          <cell r="AZ34">
            <v>83544.125406955005</v>
          </cell>
        </row>
        <row r="35">
          <cell r="AO35" t="str">
            <v>P28</v>
          </cell>
          <cell r="AQ35" t="str">
            <v>28.</v>
          </cell>
          <cell r="AS35" t="str">
            <v>CONCRETE PUMP</v>
          </cell>
          <cell r="AT35" t="str">
            <v>E28</v>
          </cell>
          <cell r="AU35" t="str">
            <v>Jam</v>
          </cell>
          <cell r="AV35">
            <v>100</v>
          </cell>
          <cell r="AW35">
            <v>8</v>
          </cell>
          <cell r="AX35" t="str">
            <v>M3</v>
          </cell>
          <cell r="AY35">
            <v>112500000</v>
          </cell>
          <cell r="AZ35">
            <v>116163.88353169513</v>
          </cell>
        </row>
        <row r="36">
          <cell r="AO36" t="str">
            <v>P29</v>
          </cell>
          <cell r="AQ36" t="str">
            <v>29.</v>
          </cell>
          <cell r="AS36" t="str">
            <v>TRAILER 20 TON</v>
          </cell>
          <cell r="AT36" t="str">
            <v>E29</v>
          </cell>
          <cell r="AU36" t="str">
            <v>Jam</v>
          </cell>
          <cell r="AV36">
            <v>175</v>
          </cell>
          <cell r="AW36">
            <v>20</v>
          </cell>
          <cell r="AX36" t="str">
            <v>Ton</v>
          </cell>
          <cell r="AY36">
            <v>166250000</v>
          </cell>
          <cell r="AZ36">
            <v>191388.11666350503</v>
          </cell>
        </row>
        <row r="37">
          <cell r="AO37" t="str">
            <v>P30</v>
          </cell>
          <cell r="AQ37" t="str">
            <v>30.</v>
          </cell>
          <cell r="AS37" t="str">
            <v>PILE DRIVER + HAMMER</v>
          </cell>
          <cell r="AT37" t="str">
            <v>E30</v>
          </cell>
          <cell r="AU37" t="str">
            <v>Jam</v>
          </cell>
          <cell r="AV37">
            <v>25</v>
          </cell>
          <cell r="AW37">
            <v>2.5</v>
          </cell>
          <cell r="AX37" t="str">
            <v>Ton</v>
          </cell>
          <cell r="AY37">
            <v>70000000</v>
          </cell>
          <cell r="AZ37">
            <v>43927.784749714134</v>
          </cell>
        </row>
        <row r="38">
          <cell r="AO38" t="str">
            <v>P31</v>
          </cell>
          <cell r="AQ38" t="str">
            <v>31.</v>
          </cell>
          <cell r="AS38" t="str">
            <v>CRANE ON TRACK 35 TON</v>
          </cell>
          <cell r="AT38" t="str">
            <v>E31</v>
          </cell>
          <cell r="AU38" t="str">
            <v>Jam</v>
          </cell>
          <cell r="AV38">
            <v>125</v>
          </cell>
          <cell r="AW38">
            <v>35</v>
          </cell>
          <cell r="AX38" t="str">
            <v>Ton</v>
          </cell>
          <cell r="AY38">
            <v>350000000</v>
          </cell>
          <cell r="AZ38">
            <v>178539.12876527372</v>
          </cell>
        </row>
        <row r="39">
          <cell r="AO39" t="str">
            <v>P32</v>
          </cell>
          <cell r="AQ39" t="str">
            <v>32.</v>
          </cell>
          <cell r="AS39" t="str">
            <v>WELDING SET</v>
          </cell>
          <cell r="AT39" t="str">
            <v>E32</v>
          </cell>
          <cell r="AU39" t="str">
            <v>Jam</v>
          </cell>
          <cell r="AV39">
            <v>40</v>
          </cell>
          <cell r="AW39">
            <v>250</v>
          </cell>
          <cell r="AX39" t="str">
            <v>Amp</v>
          </cell>
          <cell r="AY39">
            <v>17500000</v>
          </cell>
          <cell r="AZ39">
            <v>47420.561187428531</v>
          </cell>
        </row>
        <row r="40">
          <cell r="AO40" t="str">
            <v>P33</v>
          </cell>
          <cell r="AQ40" t="str">
            <v>33.</v>
          </cell>
          <cell r="AS40" t="str">
            <v>BORE PILE MACHINE</v>
          </cell>
          <cell r="AT40" t="str">
            <v>E33</v>
          </cell>
          <cell r="AU40" t="str">
            <v>Jam</v>
          </cell>
          <cell r="AV40">
            <v>150</v>
          </cell>
          <cell r="AW40">
            <v>2000</v>
          </cell>
          <cell r="AX40" t="str">
            <v>Meter</v>
          </cell>
          <cell r="AY40">
            <v>2250000000</v>
          </cell>
          <cell r="AZ40">
            <v>523322.34063390247</v>
          </cell>
        </row>
        <row r="41">
          <cell r="AO41" t="str">
            <v>P34</v>
          </cell>
          <cell r="AQ41" t="str">
            <v>34.</v>
          </cell>
          <cell r="AS41" t="str">
            <v>ASPHALT LIQUID MIXER</v>
          </cell>
          <cell r="AT41" t="str">
            <v>E34</v>
          </cell>
          <cell r="AU41" t="str">
            <v>Jam</v>
          </cell>
          <cell r="AV41">
            <v>5</v>
          </cell>
          <cell r="AW41">
            <v>1000</v>
          </cell>
          <cell r="AX41" t="str">
            <v>Liter</v>
          </cell>
          <cell r="AY41">
            <v>15000000</v>
          </cell>
          <cell r="AZ41">
            <v>16463.022872945396</v>
          </cell>
        </row>
        <row r="42">
          <cell r="AO42" t="str">
            <v>P35</v>
          </cell>
          <cell r="AQ42" t="str">
            <v>35.</v>
          </cell>
          <cell r="AS42" t="str">
            <v>TRAILLER 15 TON</v>
          </cell>
          <cell r="AT42" t="str">
            <v>E35</v>
          </cell>
          <cell r="AU42" t="str">
            <v>Jam</v>
          </cell>
          <cell r="AV42">
            <v>150</v>
          </cell>
          <cell r="AW42">
            <v>15</v>
          </cell>
          <cell r="AX42" t="str">
            <v>Ton</v>
          </cell>
          <cell r="AY42">
            <v>115000000</v>
          </cell>
          <cell r="AZ42">
            <v>162569.0351363935</v>
          </cell>
        </row>
        <row r="43">
          <cell r="AO43" t="str">
            <v>P36</v>
          </cell>
          <cell r="AQ43" t="str">
            <v>36.</v>
          </cell>
          <cell r="AS43" t="str">
            <v>ROCK DRILL BREAKER</v>
          </cell>
          <cell r="AT43" t="str">
            <v>E36</v>
          </cell>
          <cell r="AU43" t="str">
            <v>Jam</v>
          </cell>
        </row>
        <row r="44">
          <cell r="AO44" t="str">
            <v>P37</v>
          </cell>
          <cell r="AQ44" t="str">
            <v>37.</v>
          </cell>
          <cell r="AS44" t="str">
            <v>COLD MILLING</v>
          </cell>
          <cell r="AT44" t="str">
            <v>E37</v>
          </cell>
          <cell r="AU44" t="str">
            <v>Jam</v>
          </cell>
        </row>
        <row r="45">
          <cell r="AQ45" t="str">
            <v>38.</v>
          </cell>
        </row>
        <row r="46">
          <cell r="AQ46" t="str">
            <v>39.</v>
          </cell>
        </row>
      </sheetData>
      <sheetData sheetId="35"/>
      <sheetData sheetId="36"/>
      <sheetData sheetId="37" refreshError="1"/>
      <sheetData sheetId="38" refreshError="1"/>
      <sheetData sheetId="39"/>
      <sheetData sheetId="40"/>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SC"/>
      <sheetName val="Mtd"/>
      <sheetName val="Rekap"/>
      <sheetName val="Rab"/>
      <sheetName val="Analisa "/>
      <sheetName val="Hb"/>
      <sheetName val="Perhitungan"/>
      <sheetName val="Sheet2"/>
      <sheetName val="Sheet3"/>
      <sheetName val="Pembesian"/>
      <sheetName val="Sheet5"/>
      <sheetName val="Sheet10"/>
      <sheetName val="Sheet1"/>
      <sheetName val="Sheet4"/>
      <sheetName val="Mtdd"/>
    </sheetNames>
    <sheetDataSet>
      <sheetData sheetId="0"/>
      <sheetData sheetId="1"/>
      <sheetData sheetId="2"/>
      <sheetData sheetId="3"/>
      <sheetData sheetId="4">
        <row r="12">
          <cell r="C12" t="str">
            <v>Pembongkaran Bagunan Lama</v>
          </cell>
        </row>
      </sheetData>
      <sheetData sheetId="5">
        <row r="56">
          <cell r="E56" t="str">
            <v>Batu Kali</v>
          </cell>
        </row>
      </sheetData>
      <sheetData sheetId="6">
        <row r="13">
          <cell r="K13">
            <v>50000</v>
          </cell>
        </row>
        <row r="19">
          <cell r="K19">
            <v>143750</v>
          </cell>
        </row>
        <row r="21">
          <cell r="K21">
            <v>132250</v>
          </cell>
        </row>
        <row r="22">
          <cell r="K22">
            <v>109250</v>
          </cell>
        </row>
        <row r="28">
          <cell r="K28">
            <v>19895</v>
          </cell>
        </row>
        <row r="32">
          <cell r="K32">
            <v>5750</v>
          </cell>
        </row>
        <row r="34">
          <cell r="K34">
            <v>132250</v>
          </cell>
        </row>
        <row r="35">
          <cell r="K35">
            <v>23000</v>
          </cell>
        </row>
        <row r="37">
          <cell r="K37">
            <v>12950.450450450449</v>
          </cell>
        </row>
        <row r="42">
          <cell r="K42">
            <v>575</v>
          </cell>
        </row>
        <row r="45">
          <cell r="K45">
            <v>27600</v>
          </cell>
        </row>
        <row r="46">
          <cell r="K46">
            <v>28750</v>
          </cell>
        </row>
        <row r="47">
          <cell r="K47">
            <v>28750</v>
          </cell>
        </row>
        <row r="52">
          <cell r="K52">
            <v>143750</v>
          </cell>
        </row>
        <row r="53">
          <cell r="K53">
            <v>6900</v>
          </cell>
        </row>
        <row r="55">
          <cell r="K55">
            <v>31625</v>
          </cell>
        </row>
        <row r="56">
          <cell r="K56">
            <v>28750</v>
          </cell>
        </row>
        <row r="57">
          <cell r="K57">
            <v>25875</v>
          </cell>
        </row>
        <row r="59">
          <cell r="K59">
            <v>28750</v>
          </cell>
        </row>
        <row r="60">
          <cell r="K60">
            <v>8625</v>
          </cell>
        </row>
        <row r="61">
          <cell r="K61">
            <v>575000</v>
          </cell>
        </row>
        <row r="63">
          <cell r="K63">
            <v>172500</v>
          </cell>
        </row>
        <row r="64">
          <cell r="K64">
            <v>63250</v>
          </cell>
        </row>
        <row r="66">
          <cell r="K66">
            <v>23000</v>
          </cell>
        </row>
        <row r="67">
          <cell r="K67">
            <v>17250</v>
          </cell>
        </row>
        <row r="68">
          <cell r="K68">
            <v>23000</v>
          </cell>
        </row>
        <row r="79">
          <cell r="K79">
            <v>184000</v>
          </cell>
        </row>
        <row r="83">
          <cell r="K83">
            <v>28750</v>
          </cell>
        </row>
        <row r="84">
          <cell r="K84">
            <v>109250</v>
          </cell>
        </row>
        <row r="86">
          <cell r="K86">
            <v>51750</v>
          </cell>
        </row>
        <row r="90">
          <cell r="K90">
            <v>23000</v>
          </cell>
        </row>
        <row r="91">
          <cell r="K91">
            <v>23000</v>
          </cell>
        </row>
        <row r="95">
          <cell r="K95">
            <v>25300</v>
          </cell>
        </row>
        <row r="96">
          <cell r="K96">
            <v>30084</v>
          </cell>
        </row>
        <row r="101">
          <cell r="K101">
            <v>51750</v>
          </cell>
        </row>
        <row r="103">
          <cell r="K103">
            <v>28750</v>
          </cell>
        </row>
        <row r="105">
          <cell r="K105">
            <v>37375</v>
          </cell>
        </row>
        <row r="118">
          <cell r="K118">
            <v>3450</v>
          </cell>
        </row>
        <row r="119">
          <cell r="K119">
            <v>4312.5</v>
          </cell>
        </row>
        <row r="125">
          <cell r="K125">
            <v>52900</v>
          </cell>
        </row>
        <row r="126">
          <cell r="K126">
            <v>40250</v>
          </cell>
        </row>
      </sheetData>
      <sheetData sheetId="7"/>
      <sheetData sheetId="8"/>
      <sheetData sheetId="9"/>
      <sheetData sheetId="10"/>
      <sheetData sheetId="11"/>
      <sheetData sheetId="12"/>
      <sheetData sheetId="13"/>
      <sheetData sheetId="14"/>
      <sheetData sheetId="1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REKAPITULASI"/>
      <sheetName val="RAB "/>
      <sheetName val="Mob"/>
      <sheetName val=" Upah"/>
      <sheetName val="Analisa Timbunan"/>
      <sheetName val="T. Scedul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REKAP"/>
      <sheetName val="RAB"/>
      <sheetName val="ANALISA"/>
      <sheetName val="Harga Satuan"/>
      <sheetName val="SURAT PENAWARAN"/>
      <sheetName val="SCHEDULE"/>
    </sheetNames>
    <sheetDataSet>
      <sheetData sheetId="0"/>
      <sheetData sheetId="1" refreshError="1"/>
      <sheetData sheetId="2" refreshError="1"/>
      <sheetData sheetId="3" refreshError="1"/>
      <sheetData sheetId="4">
        <row r="28">
          <cell r="H28">
            <v>50000</v>
          </cell>
        </row>
        <row r="34">
          <cell r="H34">
            <v>12500</v>
          </cell>
        </row>
        <row r="36">
          <cell r="H36">
            <v>12500</v>
          </cell>
        </row>
        <row r="38">
          <cell r="H38">
            <v>17500</v>
          </cell>
        </row>
        <row r="39">
          <cell r="H39">
            <v>2500000</v>
          </cell>
        </row>
        <row r="41">
          <cell r="H41">
            <v>1250000</v>
          </cell>
        </row>
        <row r="44">
          <cell r="H44">
            <v>12500</v>
          </cell>
        </row>
        <row r="59">
          <cell r="H59">
            <v>130000</v>
          </cell>
        </row>
        <row r="61">
          <cell r="H61">
            <v>65000</v>
          </cell>
        </row>
        <row r="62">
          <cell r="H62">
            <v>8500</v>
          </cell>
        </row>
        <row r="63">
          <cell r="H63">
            <v>3500</v>
          </cell>
        </row>
        <row r="65">
          <cell r="H65">
            <v>14500</v>
          </cell>
        </row>
        <row r="67">
          <cell r="H67">
            <v>26500</v>
          </cell>
        </row>
        <row r="70">
          <cell r="H70">
            <v>150000</v>
          </cell>
        </row>
        <row r="72">
          <cell r="H72">
            <v>485500</v>
          </cell>
        </row>
        <row r="75">
          <cell r="H75">
            <v>325500</v>
          </cell>
        </row>
        <row r="78">
          <cell r="H78">
            <v>3500</v>
          </cell>
        </row>
        <row r="80">
          <cell r="H80">
            <v>50000</v>
          </cell>
        </row>
        <row r="100">
          <cell r="H100">
            <v>95000</v>
          </cell>
        </row>
        <row r="101">
          <cell r="H101">
            <v>95000</v>
          </cell>
        </row>
        <row r="105">
          <cell r="H105">
            <v>25000</v>
          </cell>
        </row>
        <row r="108">
          <cell r="H108">
            <v>8500</v>
          </cell>
        </row>
        <row r="109">
          <cell r="H109">
            <v>50000</v>
          </cell>
        </row>
        <row r="110">
          <cell r="H110">
            <v>2100</v>
          </cell>
        </row>
        <row r="111">
          <cell r="H111">
            <v>2500</v>
          </cell>
        </row>
        <row r="112">
          <cell r="H112">
            <v>4750</v>
          </cell>
        </row>
        <row r="114">
          <cell r="H114">
            <v>3500</v>
          </cell>
        </row>
      </sheetData>
      <sheetData sheetId="5" refreshError="1"/>
      <sheetData sheetId="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PAGU"/>
      <sheetName val="RAB"/>
      <sheetName val="REKAP AWAL"/>
      <sheetName val="REKAP MC 0"/>
      <sheetName val="Rekap Bab"/>
      <sheetName val="CCO II BALANCE"/>
      <sheetName val="RAB BALANCE"/>
      <sheetName val="Galian Drainase"/>
      <sheetName val="GOR-GORONG"/>
      <sheetName val="PB MORTAR (2)"/>
      <sheetName val="Tim Pilihan"/>
      <sheetName val="P Bdn Jalan"/>
      <sheetName val="LPA Klas A"/>
      <sheetName val="Lapis Resap Pengikat"/>
      <sheetName val="Lapis Perekat"/>
      <sheetName val="AC-WC 4 cm"/>
      <sheetName val="AC-WC Leveling"/>
      <sheetName val="BETON K300 CCO"/>
      <sheetName val="BETON K250 CCO"/>
      <sheetName val="BAJA TUL CCO 2"/>
      <sheetName val="BAJA TUL CCO"/>
      <sheetName val="Pas. Batu CCO"/>
      <sheetName val="Pas. Batu"/>
      <sheetName val="PB MORTAR"/>
      <sheetName val="BETON K300"/>
      <sheetName val="BETON K250"/>
      <sheetName val="BAJA TUL"/>
      <sheetName val="BETON K175"/>
      <sheetName val="BRONJONG"/>
      <sheetName val="SELOKAN"/>
      <sheetName val="Tim Bia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1">
          <cell r="E11" t="str">
            <v>KM. 280+600 - KM. 284+350</v>
          </cell>
        </row>
      </sheetData>
      <sheetData sheetId="27"/>
      <sheetData sheetId="28"/>
      <sheetData sheetId="29"/>
      <sheetData sheetId="30"/>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Srt-Pen"/>
      <sheetName val="Summary"/>
      <sheetName val="BOQ Total-jALAN"/>
      <sheetName val="Sch (2)"/>
      <sheetName val="uph"/>
      <sheetName val="Bahan"/>
      <sheetName val="mat"/>
      <sheetName val="alat (2)"/>
      <sheetName val="ANALS"/>
      <sheetName val="3. tnh"/>
      <sheetName val="5"/>
      <sheetName val="10.1"/>
      <sheetName val="E01"/>
      <sheetName val="Mos"/>
      <sheetName val="Met"/>
      <sheetName val="G. Alat"/>
      <sheetName val="Usulan Peralatan (2)"/>
      <sheetName val="TEN AHLI"/>
      <sheetName val="2.1"/>
      <sheetName val="3.1 box"/>
      <sheetName val="7"/>
      <sheetName val="7 (2)"/>
      <sheetName val="ulin"/>
      <sheetName val="pasir"/>
      <sheetName val="UPAH"/>
      <sheetName val="PEK TANAH"/>
      <sheetName val="Schidule"/>
      <sheetName val="Rekap Biaya"/>
      <sheetName val="Kuant R.A.B"/>
      <sheetName val="MATERIAL"/>
      <sheetName val="Agregat A"/>
      <sheetName val="Prime Coat"/>
      <sheetName val="Bab3(Tanah)"/>
      <sheetName val="Sheet2"/>
      <sheetName val="Sheet12"/>
      <sheetName val="2 Drains"/>
      <sheetName val="3 tnh"/>
      <sheetName val="Pancng"/>
      <sheetName val="6 Lps Pnds"/>
      <sheetName val="8 Strktr"/>
      <sheetName val="K-175"/>
      <sheetName val="Baja ulin"/>
      <sheetName val="bab 9"/>
      <sheetName val="anal"/>
      <sheetName val="2"/>
      <sheetName val="3"/>
      <sheetName val="4"/>
      <sheetName val="6"/>
      <sheetName val="8"/>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PAKET4"/>
      <sheetName val="Input"/>
      <sheetName val="PT."/>
      <sheetName val="Huruf"/>
      <sheetName val="Sat. Pek."/>
      <sheetName val="Surat"/>
      <sheetName val="sleksi"/>
      <sheetName val="TS"/>
      <sheetName val="TS MINGGUAN rev (2)"/>
      <sheetName val="Du_lieu"/>
      <sheetName val="DHU&amp;B"/>
      <sheetName val="alat_(2)"/>
      <sheetName val="upah_(2)"/>
      <sheetName val="PT_"/>
      <sheetName val="alat_(2)1"/>
      <sheetName val="upah_(2)1"/>
      <sheetName val="PT_1"/>
      <sheetName val="alat_(2)2"/>
      <sheetName val="upah_(2)2"/>
      <sheetName val="PT_2"/>
      <sheetName val="alat_(2)3"/>
      <sheetName val="upah_(2)3"/>
      <sheetName val="PT_3"/>
      <sheetName val="alat_(2)4"/>
      <sheetName val="upah_(2)4"/>
      <sheetName val="PT_4"/>
      <sheetName val="alat_(2)5"/>
      <sheetName val="upah_(2)5"/>
      <sheetName val="PT_5"/>
      <sheetName val="alat_(2)6"/>
      <sheetName val="upah_(2)6"/>
      <sheetName val="PT_6"/>
      <sheetName val="alat_(2)7"/>
      <sheetName val="upah_(2)7"/>
      <sheetName val="PT_7"/>
      <sheetName val="alat_(2)8"/>
      <sheetName val="upah_(2)8"/>
      <sheetName val="PT_8"/>
      <sheetName val="alat_(2)9"/>
      <sheetName val="upah_(2)9"/>
      <sheetName val="PT_9"/>
      <sheetName val="Analisa"/>
      <sheetName val="rincian A"/>
      <sheetName val="DHSD"/>
      <sheetName val="BQ anal"/>
      <sheetName val="BoQ"/>
      <sheetName val="Price"/>
      <sheetName val="J"/>
      <sheetName val="Ven"/>
      <sheetName val="FINISHING"/>
      <sheetName val="Schedule"/>
      <sheetName val="ANAL "/>
      <sheetName val="HS ALAT"/>
      <sheetName val="HS BAHAN"/>
      <sheetName val="HS UPAH"/>
      <sheetName val="PRODALAT"/>
      <sheetName val="BQ-E20-02(Rp)"/>
      <sheetName val="Div6"/>
      <sheetName val="Div5"/>
      <sheetName val="Besi"/>
      <sheetName val="Div7"/>
      <sheetName val="Div3"/>
      <sheetName val="Div2"/>
      <sheetName val="Div8"/>
      <sheetName val="Div1"/>
      <sheetName val="Analisa (me)"/>
      <sheetName val="HS Sub-Kon"/>
      <sheetName val="BEDAH"/>
      <sheetName val="HARGA"/>
      <sheetName val="Program"/>
      <sheetName val="hRG Stn Bhn,Uph, perl"/>
      <sheetName val="Allowance"/>
      <sheetName val="SPJ"/>
      <sheetName val="Base_Price"/>
      <sheetName val="MAPDC"/>
      <sheetName val="HSDLsg"/>
      <sheetName val="Analysa"/>
      <sheetName val="Survei"/>
      <sheetName val="DATA"/>
      <sheetName val="Material"/>
      <sheetName val="MAPP"/>
      <sheetName val="Bekisting"/>
      <sheetName val="Bab10"/>
      <sheetName val="RinciBab1_Seksi1"/>
      <sheetName val="grail"/>
      <sheetName val="Stressing bed"/>
      <sheetName val="Analisa HSP"/>
      <sheetName val="LS-Rutin"/>
      <sheetName val="3-DIV3"/>
      <sheetName val="Anal"/>
      <sheetName val="Harga Bahan2012"/>
      <sheetName val="Kuantitas &amp; Harga"/>
      <sheetName val="upah.bahan.alat"/>
      <sheetName val="analisa.K"/>
      <sheetName val="daftarkuantitas"/>
      <sheetName val="Rekap Biaya"/>
      <sheetName val="Harga S Dasar"/>
      <sheetName val="4-Basic Price"/>
      <sheetName val="5-ALAT(1)"/>
      <sheetName val="Rekap"/>
      <sheetName val="H.SAT"/>
      <sheetName val="Analisa Harga"/>
      <sheetName val="dft-harga"/>
      <sheetName val="Tabels"/>
      <sheetName val="H.Satuan"/>
      <sheetName val="Summary"/>
      <sheetName val="Harga S Dasar UNTUK IDISI"/>
      <sheetName val="isian"/>
      <sheetName val="Harga Dasar"/>
      <sheetName val="Alat (1)"/>
      <sheetName val="MAP"/>
      <sheetName val="sai"/>
      <sheetName val="Qty"/>
    </sheetNames>
    <sheetDataSet>
      <sheetData sheetId="0" refreshError="1"/>
      <sheetData sheetId="1">
        <row r="18">
          <cell r="G18">
            <v>1950</v>
          </cell>
        </row>
      </sheetData>
      <sheetData sheetId="2"/>
      <sheetData sheetId="3" refreshError="1">
        <row r="18">
          <cell r="G18">
            <v>1950</v>
          </cell>
        </row>
        <row r="57">
          <cell r="G57">
            <v>1800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nalisa HSP"/>
    </sheetNames>
    <sheetDataSet>
      <sheetData sheetId="0"/>
      <sheetData sheetId="1" refreshError="1"/>
      <sheetData sheetId="2" refreshError="1"/>
      <sheetData sheetId="3"/>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bilang"/>
      <sheetName val="Sheet1"/>
      <sheetName val="Srt-Pen (2)"/>
      <sheetName val="Rkp Utama"/>
      <sheetName val="rkp i"/>
      <sheetName val="rkp ii"/>
      <sheetName val="bq I"/>
      <sheetName val="bq II"/>
      <sheetName val="mob.1"/>
      <sheetName val="anls"/>
      <sheetName val="MOS"/>
      <sheetName val="HARDAS"/>
      <sheetName val="phtg-alat"/>
      <sheetName val="Div. 2"/>
      <sheetName val="div. 5"/>
      <sheetName val="Div. 6"/>
      <sheetName val="atb"/>
      <sheetName val="hrs"/>
      <sheetName val="Div. 7"/>
      <sheetName val="A.1"/>
      <sheetName val="K"/>
      <sheetName val="metpel"/>
      <sheetName val="SCH"/>
      <sheetName val="MJITM"/>
      <sheetName val="subkontrak"/>
      <sheetName val="bq (4)"/>
    </sheetNames>
    <sheetDataSet>
      <sheetData sheetId="0">
        <row r="2">
          <cell r="H2" t="str">
            <v>0</v>
          </cell>
          <cell r="I2" t="str">
            <v/>
          </cell>
        </row>
        <row r="3">
          <cell r="H3" t="str">
            <v>1</v>
          </cell>
          <cell r="I3" t="str">
            <v>Satu</v>
          </cell>
        </row>
        <row r="4">
          <cell r="H4" t="str">
            <v>2</v>
          </cell>
          <cell r="I4" t="str">
            <v>Dua</v>
          </cell>
        </row>
        <row r="5">
          <cell r="H5" t="str">
            <v>3</v>
          </cell>
          <cell r="I5" t="str">
            <v>Tiga</v>
          </cell>
        </row>
        <row r="6">
          <cell r="H6" t="str">
            <v>4</v>
          </cell>
          <cell r="I6" t="str">
            <v>Empat</v>
          </cell>
        </row>
        <row r="7">
          <cell r="H7" t="str">
            <v>5</v>
          </cell>
          <cell r="I7" t="str">
            <v>Lima</v>
          </cell>
        </row>
        <row r="8">
          <cell r="H8" t="str">
            <v>6</v>
          </cell>
          <cell r="I8" t="str">
            <v>Enam</v>
          </cell>
        </row>
        <row r="9">
          <cell r="H9" t="str">
            <v>7</v>
          </cell>
          <cell r="I9" t="str">
            <v>Tujuh</v>
          </cell>
        </row>
        <row r="10">
          <cell r="H10" t="str">
            <v>8</v>
          </cell>
          <cell r="I10" t="str">
            <v>Delapan</v>
          </cell>
        </row>
        <row r="11">
          <cell r="H11" t="str">
            <v>9</v>
          </cell>
          <cell r="I11" t="str">
            <v>Sembilan</v>
          </cell>
        </row>
        <row r="12">
          <cell r="H12">
            <v>10</v>
          </cell>
          <cell r="I12" t="str">
            <v>Sepuluh</v>
          </cell>
        </row>
        <row r="13">
          <cell r="H13">
            <v>11</v>
          </cell>
          <cell r="I13" t="str">
            <v>Sebelas</v>
          </cell>
        </row>
        <row r="14">
          <cell r="H14">
            <v>12</v>
          </cell>
          <cell r="I14" t="str">
            <v>Dua Belas</v>
          </cell>
        </row>
        <row r="15">
          <cell r="H15">
            <v>13</v>
          </cell>
          <cell r="I15" t="str">
            <v>Tiga Belas</v>
          </cell>
        </row>
        <row r="16">
          <cell r="H16">
            <v>14</v>
          </cell>
          <cell r="I16" t="str">
            <v>Empat Belas</v>
          </cell>
        </row>
        <row r="17">
          <cell r="H17">
            <v>15</v>
          </cell>
          <cell r="I17" t="str">
            <v>Lima Belas</v>
          </cell>
        </row>
        <row r="18">
          <cell r="H18">
            <v>16</v>
          </cell>
          <cell r="I18" t="str">
            <v>Enam Belas</v>
          </cell>
        </row>
        <row r="19">
          <cell r="H19">
            <v>17</v>
          </cell>
          <cell r="I19" t="str">
            <v>Tujuh Belas</v>
          </cell>
        </row>
        <row r="20">
          <cell r="H20">
            <v>18</v>
          </cell>
          <cell r="I20" t="str">
            <v>Delapan Belas</v>
          </cell>
        </row>
        <row r="21">
          <cell r="H21">
            <v>19</v>
          </cell>
          <cell r="I21" t="str">
            <v>Sembilan Belas</v>
          </cell>
        </row>
      </sheetData>
      <sheetData sheetId="1" refreshError="1"/>
      <sheetData sheetId="2" refreshError="1"/>
      <sheetData sheetId="3"/>
      <sheetData sheetId="4" refreshError="1"/>
      <sheetData sheetId="5"/>
      <sheetData sheetId="6"/>
      <sheetData sheetId="7"/>
      <sheetData sheetId="8" refreshError="1"/>
      <sheetData sheetId="9" refreshError="1"/>
      <sheetData sheetId="10" refreshError="1"/>
      <sheetData sheetId="11"/>
      <sheetData sheetId="12" refreshError="1"/>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umum"/>
      <sheetName val="mobilisation"/>
      <sheetName val="metoda"/>
      <sheetName val="H DSR"/>
      <sheetName val="upah"/>
      <sheetName val="absen mekanik&amp;log"/>
      <sheetName val="gvl"/>
      <sheetName val="Dasar2"/>
      <sheetName val="Jadwal_(2)"/>
      <sheetName val="alat_(2)"/>
      <sheetName val="upah_(2)"/>
      <sheetName val="H_DSR"/>
      <sheetName val="Jadwal_(2)1"/>
      <sheetName val="alat_(2)1"/>
      <sheetName val="upah_(2)1"/>
      <sheetName val="H_DSR1"/>
      <sheetName val="Jadwal_(2)2"/>
      <sheetName val="alat_(2)2"/>
      <sheetName val="upah_(2)2"/>
      <sheetName val="H_DSR2"/>
      <sheetName val="Jadwal_(2)3"/>
      <sheetName val="alat_(2)3"/>
      <sheetName val="upah_(2)3"/>
      <sheetName val="H_DSR3"/>
      <sheetName val="Jadwal_(2)4"/>
      <sheetName val="alat_(2)4"/>
      <sheetName val="upah_(2)4"/>
      <sheetName val="H_DSR4"/>
      <sheetName val="Jadwal_(2)5"/>
      <sheetName val="alat_(2)5"/>
      <sheetName val="upah_(2)5"/>
      <sheetName val="H_DSR5"/>
      <sheetName val="Jadwal_(2)6"/>
      <sheetName val="alat_(2)6"/>
      <sheetName val="upah_(2)6"/>
      <sheetName val="H_DSR6"/>
      <sheetName val="Jadwal_(2)7"/>
      <sheetName val="alat_(2)7"/>
      <sheetName val="upah_(2)7"/>
      <sheetName val="H_DSR7"/>
      <sheetName val="Jadwal_(2)8"/>
      <sheetName val="alat_(2)8"/>
      <sheetName val="upah_(2)8"/>
      <sheetName val="H_DSR8"/>
      <sheetName val="Jadwal_(2)9"/>
      <sheetName val="alat_(2)9"/>
      <sheetName val="upah_(2)9"/>
      <sheetName val="H_DSR9"/>
      <sheetName val="rumus"/>
      <sheetName val="alat"/>
      <sheetName val="Analisa"/>
      <sheetName val="DaftarHS"/>
      <sheetName val="Enc14"/>
      <sheetName val="h.satuan"/>
      <sheetName val="Sec I ML"/>
      <sheetName val="LOKASI RIG Litbang"/>
      <sheetName val="Div2"/>
      <sheetName val="CH"/>
      <sheetName val="rekap"/>
      <sheetName val="rincian A"/>
      <sheetName val="BAJA TUL"/>
      <sheetName val="PENAWARAN"/>
      <sheetName val="841"/>
      <sheetName val="21"/>
      <sheetName val="311"/>
      <sheetName val="715"/>
      <sheetName val="811"/>
      <sheetName val="Harsat"/>
      <sheetName val="Jarak"/>
      <sheetName val="HARGA SATUAN"/>
      <sheetName val="anal pake"/>
      <sheetName val="7"/>
      <sheetName val="3-DIV5"/>
      <sheetName val="DIV10(3)"/>
      <sheetName val="Cover"/>
      <sheetName val="5-ALAT(1)"/>
      <sheetName val="5-Peralatan"/>
      <sheetName val="Kuantitas &amp; Harga"/>
      <sheetName val="Daft.Upah.Bhn"/>
      <sheetName val="Sheet1"/>
      <sheetName val="R A B"/>
      <sheetName val="DHSD"/>
      <sheetName val="MAP"/>
      <sheetName val="div-2"/>
      <sheetName val="BASIC"/>
      <sheetName val="RKP"/>
      <sheetName val="Alat (1)"/>
      <sheetName val="HRG.DSR_UPAH"/>
      <sheetName val="HRG.DSR_BAHAN"/>
      <sheetName val="3.4"/>
      <sheetName val="0"/>
      <sheetName val="1"/>
      <sheetName val="2"/>
      <sheetName val="3"/>
      <sheetName val="4"/>
      <sheetName val="Tgl 25"/>
      <sheetName val="5"/>
      <sheetName val="PHO"/>
      <sheetName val="Analisa-Harga"/>
      <sheetName val="Analisa Lump sum"/>
      <sheetName val="data-pendukung"/>
      <sheetName val="Hitungan"/>
      <sheetName val="rab"/>
      <sheetName val="Analisa J"/>
      <sheetName val="4-Basic Price"/>
      <sheetName val="Terbilang"/>
      <sheetName val="subk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0">
          <cell r="G50">
            <v>303732.16499999998</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
      <sheetName val="Rek"/>
      <sheetName val="EE"/>
      <sheetName val="Upah&amp;Bahan"/>
      <sheetName val="Anl"/>
      <sheetName val="Rek.anls"/>
      <sheetName val="Estimasi"/>
    </sheetNames>
    <sheetDataSet>
      <sheetData sheetId="0" refreshError="1"/>
      <sheetData sheetId="1">
        <row r="27">
          <cell r="F27">
            <v>99750000</v>
          </cell>
        </row>
      </sheetData>
      <sheetData sheetId="2" refreshError="1"/>
      <sheetData sheetId="3">
        <row r="11">
          <cell r="C11" t="str">
            <v>UPAH KERJA</v>
          </cell>
        </row>
        <row r="12">
          <cell r="B12">
            <v>1</v>
          </cell>
          <cell r="C12" t="str">
            <v>Pekerja</v>
          </cell>
          <cell r="F12" t="str">
            <v>Oh</v>
          </cell>
          <cell r="I12">
            <v>65000</v>
          </cell>
        </row>
        <row r="13">
          <cell r="B13">
            <v>2</v>
          </cell>
          <cell r="C13" t="str">
            <v>Tukang</v>
          </cell>
          <cell r="F13" t="str">
            <v>Oh</v>
          </cell>
          <cell r="I13">
            <v>80000</v>
          </cell>
        </row>
        <row r="14">
          <cell r="B14">
            <v>3</v>
          </cell>
          <cell r="C14" t="str">
            <v>Kepala Tukang</v>
          </cell>
          <cell r="F14" t="str">
            <v>Oh</v>
          </cell>
          <cell r="I14">
            <v>90000</v>
          </cell>
        </row>
        <row r="15">
          <cell r="B15">
            <v>4</v>
          </cell>
          <cell r="C15" t="str">
            <v>Mandor</v>
          </cell>
          <cell r="F15" t="str">
            <v>Oh</v>
          </cell>
          <cell r="I15">
            <v>80000</v>
          </cell>
        </row>
        <row r="16">
          <cell r="B16">
            <v>5</v>
          </cell>
          <cell r="C16" t="str">
            <v>Operator</v>
          </cell>
          <cell r="F16" t="str">
            <v>Oh</v>
          </cell>
          <cell r="H16">
            <v>100000</v>
          </cell>
          <cell r="I16">
            <v>100000</v>
          </cell>
        </row>
        <row r="17">
          <cell r="B17">
            <v>6</v>
          </cell>
          <cell r="C17" t="str">
            <v>Supir</v>
          </cell>
          <cell r="F17" t="str">
            <v>Oh</v>
          </cell>
          <cell r="H17">
            <v>60000</v>
          </cell>
          <cell r="I17">
            <v>60000</v>
          </cell>
        </row>
        <row r="18">
          <cell r="B18">
            <v>7</v>
          </cell>
          <cell r="C18" t="str">
            <v>P.Operator</v>
          </cell>
          <cell r="F18" t="str">
            <v>Oh</v>
          </cell>
          <cell r="H18">
            <v>0</v>
          </cell>
          <cell r="I18">
            <v>0</v>
          </cell>
        </row>
        <row r="19">
          <cell r="B19">
            <v>8</v>
          </cell>
          <cell r="C19" t="str">
            <v>P.Supir</v>
          </cell>
          <cell r="F19" t="str">
            <v>Oh</v>
          </cell>
          <cell r="H19">
            <v>0</v>
          </cell>
          <cell r="I19">
            <v>0</v>
          </cell>
        </row>
        <row r="22">
          <cell r="B22" t="str">
            <v>No.</v>
          </cell>
          <cell r="C22" t="str">
            <v>JENIS BAHAN</v>
          </cell>
          <cell r="F22" t="str">
            <v>SAT</v>
          </cell>
          <cell r="G22" t="str">
            <v>Harga Dasar</v>
          </cell>
          <cell r="H22" t="str">
            <v xml:space="preserve">Transportasi </v>
          </cell>
          <cell r="I22" t="str">
            <v>HARGA SATUAN</v>
          </cell>
        </row>
        <row r="23">
          <cell r="G23" t="str">
            <v>Wilayah Ampana</v>
          </cell>
        </row>
        <row r="25">
          <cell r="B25">
            <v>9</v>
          </cell>
          <cell r="C25" t="str">
            <v>Batu Kali/Batu Gunung</v>
          </cell>
          <cell r="F25" t="str">
            <v>M³</v>
          </cell>
          <cell r="G25">
            <v>135000</v>
          </cell>
          <cell r="I25">
            <v>150000</v>
          </cell>
        </row>
        <row r="26">
          <cell r="B26">
            <v>10</v>
          </cell>
          <cell r="C26" t="str">
            <v>Kerikil</v>
          </cell>
          <cell r="F26" t="str">
            <v>M³</v>
          </cell>
          <cell r="G26">
            <v>0</v>
          </cell>
          <cell r="I26">
            <v>150000</v>
          </cell>
        </row>
        <row r="27">
          <cell r="B27">
            <v>11</v>
          </cell>
          <cell r="C27" t="str">
            <v>Pasir Pasang</v>
          </cell>
          <cell r="F27" t="str">
            <v>M³</v>
          </cell>
          <cell r="G27">
            <v>100000</v>
          </cell>
          <cell r="I27">
            <v>150000</v>
          </cell>
        </row>
        <row r="28">
          <cell r="B28">
            <v>12</v>
          </cell>
          <cell r="C28" t="str">
            <v>Pasir Beton</v>
          </cell>
          <cell r="F28" t="str">
            <v>M³</v>
          </cell>
          <cell r="G28">
            <v>100000</v>
          </cell>
          <cell r="I28">
            <v>135000</v>
          </cell>
        </row>
        <row r="29">
          <cell r="B29">
            <v>13</v>
          </cell>
          <cell r="C29" t="str">
            <v>Pasir Urug</v>
          </cell>
          <cell r="F29" t="str">
            <v>M³</v>
          </cell>
          <cell r="G29">
            <v>70000</v>
          </cell>
          <cell r="I29">
            <v>95500</v>
          </cell>
        </row>
        <row r="30">
          <cell r="B30">
            <v>14</v>
          </cell>
          <cell r="C30" t="str">
            <v>Tanah Urug</v>
          </cell>
          <cell r="F30" t="str">
            <v>M³</v>
          </cell>
          <cell r="G30">
            <v>50000</v>
          </cell>
          <cell r="I30">
            <v>95500</v>
          </cell>
        </row>
        <row r="31">
          <cell r="B31">
            <v>15</v>
          </cell>
          <cell r="C31" t="str">
            <v>Batu Bata</v>
          </cell>
          <cell r="F31" t="str">
            <v>Bh</v>
          </cell>
          <cell r="G31">
            <v>550</v>
          </cell>
          <cell r="H31">
            <v>150</v>
          </cell>
          <cell r="I31">
            <v>800</v>
          </cell>
        </row>
        <row r="32">
          <cell r="B32">
            <v>16</v>
          </cell>
          <cell r="C32" t="str">
            <v>Batako (35 x 15 x 10)</v>
          </cell>
          <cell r="F32" t="str">
            <v>Bh</v>
          </cell>
          <cell r="G32">
            <v>0</v>
          </cell>
          <cell r="H32">
            <v>500</v>
          </cell>
          <cell r="I32">
            <v>4000</v>
          </cell>
        </row>
        <row r="33">
          <cell r="B33">
            <v>17</v>
          </cell>
          <cell r="C33" t="str">
            <v>Semen Portland</v>
          </cell>
          <cell r="F33" t="str">
            <v>Kg</v>
          </cell>
          <cell r="G33">
            <v>1400</v>
          </cell>
          <cell r="H33">
            <v>100</v>
          </cell>
          <cell r="I33">
            <v>1650</v>
          </cell>
        </row>
        <row r="34">
          <cell r="B34">
            <v>18</v>
          </cell>
          <cell r="C34" t="str">
            <v>Semen Warna</v>
          </cell>
          <cell r="F34" t="str">
            <v>Kg</v>
          </cell>
          <cell r="G34">
            <v>0</v>
          </cell>
          <cell r="I34">
            <v>25248</v>
          </cell>
        </row>
        <row r="35">
          <cell r="B35">
            <v>19</v>
          </cell>
          <cell r="C35" t="str">
            <v>Kayu Klas I</v>
          </cell>
          <cell r="F35" t="str">
            <v>M³</v>
          </cell>
          <cell r="G35">
            <v>2250000</v>
          </cell>
          <cell r="I35">
            <v>2779875</v>
          </cell>
        </row>
        <row r="36">
          <cell r="B36">
            <v>20</v>
          </cell>
          <cell r="C36" t="str">
            <v>Kayu Klas II</v>
          </cell>
          <cell r="F36" t="str">
            <v>M³</v>
          </cell>
          <cell r="G36">
            <v>1900000</v>
          </cell>
          <cell r="I36">
            <v>2175000</v>
          </cell>
        </row>
        <row r="37">
          <cell r="B37">
            <v>21</v>
          </cell>
          <cell r="C37" t="str">
            <v>Kayu Klas III</v>
          </cell>
          <cell r="F37" t="str">
            <v>M³</v>
          </cell>
          <cell r="G37">
            <v>1200000</v>
          </cell>
          <cell r="I37">
            <v>1820000</v>
          </cell>
        </row>
        <row r="38">
          <cell r="B38">
            <v>22</v>
          </cell>
          <cell r="C38" t="str">
            <v>Kayu List Profil</v>
          </cell>
          <cell r="F38" t="str">
            <v>M'</v>
          </cell>
          <cell r="G38">
            <v>5000</v>
          </cell>
          <cell r="I38">
            <v>6100</v>
          </cell>
        </row>
        <row r="39">
          <cell r="B39">
            <v>23</v>
          </cell>
          <cell r="C39" t="str">
            <v>Kayu Dolken</v>
          </cell>
          <cell r="F39" t="str">
            <v>Btng</v>
          </cell>
          <cell r="G39">
            <v>5000</v>
          </cell>
          <cell r="I39">
            <v>5000</v>
          </cell>
        </row>
        <row r="40">
          <cell r="B40">
            <v>24</v>
          </cell>
          <cell r="C40" t="str">
            <v>Tripleks 3 mm</v>
          </cell>
          <cell r="F40" t="str">
            <v>Lbr</v>
          </cell>
          <cell r="G40">
            <v>55000</v>
          </cell>
          <cell r="I40">
            <v>63000</v>
          </cell>
        </row>
        <row r="41">
          <cell r="B41">
            <v>25</v>
          </cell>
          <cell r="C41" t="str">
            <v>Tripleks 6 mm</v>
          </cell>
          <cell r="F41" t="str">
            <v>Lbr</v>
          </cell>
          <cell r="G41">
            <v>95000</v>
          </cell>
          <cell r="I41">
            <v>109013</v>
          </cell>
        </row>
        <row r="42">
          <cell r="B42">
            <v>26</v>
          </cell>
          <cell r="C42" t="str">
            <v>Tripleks Aluminium Kulit Jeruk</v>
          </cell>
          <cell r="F42" t="str">
            <v>Lbr</v>
          </cell>
          <cell r="G42">
            <v>125000</v>
          </cell>
          <cell r="I42">
            <v>149173</v>
          </cell>
        </row>
        <row r="43">
          <cell r="B43">
            <v>27</v>
          </cell>
          <cell r="C43" t="str">
            <v>Plywood</v>
          </cell>
          <cell r="F43" t="str">
            <v>Lbr</v>
          </cell>
          <cell r="G43">
            <v>135000</v>
          </cell>
          <cell r="I43">
            <v>145900</v>
          </cell>
        </row>
        <row r="44">
          <cell r="B44">
            <v>28</v>
          </cell>
          <cell r="C44" t="str">
            <v>Teak Wood</v>
          </cell>
          <cell r="F44" t="str">
            <v>Lbr</v>
          </cell>
          <cell r="G44">
            <v>175000</v>
          </cell>
          <cell r="I44">
            <v>145900</v>
          </cell>
        </row>
        <row r="45">
          <cell r="B45">
            <v>29</v>
          </cell>
          <cell r="C45" t="str">
            <v>Paku Biasa</v>
          </cell>
          <cell r="F45" t="str">
            <v>Kg</v>
          </cell>
          <cell r="G45">
            <v>15000</v>
          </cell>
          <cell r="I45">
            <v>25500</v>
          </cell>
        </row>
        <row r="46">
          <cell r="B46">
            <v>30</v>
          </cell>
          <cell r="C46" t="str">
            <v>Paku Tripleks</v>
          </cell>
          <cell r="F46" t="str">
            <v>Kg</v>
          </cell>
          <cell r="G46">
            <v>25000</v>
          </cell>
          <cell r="I46">
            <v>28680</v>
          </cell>
        </row>
        <row r="47">
          <cell r="B47">
            <v>31</v>
          </cell>
          <cell r="C47" t="str">
            <v>Paku Seng</v>
          </cell>
          <cell r="F47" t="str">
            <v>Kg</v>
          </cell>
          <cell r="G47">
            <v>30000</v>
          </cell>
          <cell r="I47">
            <v>34425</v>
          </cell>
        </row>
        <row r="48">
          <cell r="B48">
            <v>32</v>
          </cell>
          <cell r="C48" t="str">
            <v>Paku Beton</v>
          </cell>
          <cell r="F48" t="str">
            <v>Kg</v>
          </cell>
          <cell r="G48">
            <v>40000</v>
          </cell>
          <cell r="I48">
            <v>22950</v>
          </cell>
        </row>
        <row r="49">
          <cell r="B49">
            <v>33</v>
          </cell>
          <cell r="C49" t="str">
            <v>Minyak Cat</v>
          </cell>
          <cell r="F49" t="str">
            <v>Ltr</v>
          </cell>
          <cell r="G49">
            <v>15000</v>
          </cell>
          <cell r="I49">
            <v>37200</v>
          </cell>
        </row>
        <row r="50">
          <cell r="B50">
            <v>34</v>
          </cell>
          <cell r="C50" t="str">
            <v>Minyak Bekisting</v>
          </cell>
          <cell r="F50" t="str">
            <v>Ltr</v>
          </cell>
          <cell r="G50">
            <v>10000</v>
          </cell>
          <cell r="I50">
            <v>15000</v>
          </cell>
        </row>
        <row r="51">
          <cell r="B51">
            <v>35</v>
          </cell>
          <cell r="C51" t="str">
            <v>Plamir/Dempul</v>
          </cell>
          <cell r="F51" t="str">
            <v>Kg</v>
          </cell>
          <cell r="G51">
            <v>20000</v>
          </cell>
          <cell r="I51">
            <v>25800</v>
          </cell>
        </row>
        <row r="52">
          <cell r="B52">
            <v>36</v>
          </cell>
          <cell r="C52" t="str">
            <v>Cat Kayu</v>
          </cell>
          <cell r="F52" t="str">
            <v>Kg</v>
          </cell>
          <cell r="G52">
            <v>60000</v>
          </cell>
          <cell r="I52">
            <v>68850</v>
          </cell>
        </row>
        <row r="53">
          <cell r="B53">
            <v>37</v>
          </cell>
          <cell r="C53" t="str">
            <v>Residu</v>
          </cell>
          <cell r="F53" t="str">
            <v>Kg</v>
          </cell>
          <cell r="G53">
            <v>25000</v>
          </cell>
          <cell r="I53">
            <v>31500</v>
          </cell>
        </row>
        <row r="54">
          <cell r="B54">
            <v>38</v>
          </cell>
          <cell r="C54" t="str">
            <v>Cat Tembok Klas I</v>
          </cell>
          <cell r="F54" t="str">
            <v>Kg</v>
          </cell>
          <cell r="G54">
            <v>75000</v>
          </cell>
          <cell r="I54">
            <v>143430</v>
          </cell>
        </row>
        <row r="55">
          <cell r="B55">
            <v>39</v>
          </cell>
          <cell r="C55" t="str">
            <v>Cat Tembok Klas II</v>
          </cell>
          <cell r="F55" t="str">
            <v>Kg</v>
          </cell>
          <cell r="G55">
            <v>30000</v>
          </cell>
          <cell r="I55">
            <v>40160</v>
          </cell>
        </row>
        <row r="56">
          <cell r="B56">
            <v>40</v>
          </cell>
          <cell r="C56" t="str">
            <v>Cat Atap</v>
          </cell>
          <cell r="F56" t="str">
            <v>Kg</v>
          </cell>
          <cell r="G56">
            <v>50000</v>
          </cell>
          <cell r="I56">
            <v>30122</v>
          </cell>
        </row>
        <row r="57">
          <cell r="B57">
            <v>41</v>
          </cell>
          <cell r="C57" t="str">
            <v>Cat Meni</v>
          </cell>
          <cell r="F57" t="str">
            <v>Kg</v>
          </cell>
          <cell r="G57">
            <v>35000</v>
          </cell>
          <cell r="I57">
            <v>37250</v>
          </cell>
        </row>
        <row r="58">
          <cell r="B58">
            <v>42</v>
          </cell>
          <cell r="C58" t="str">
            <v>Besi Beton (Polos)</v>
          </cell>
          <cell r="F58" t="str">
            <v>Kg</v>
          </cell>
          <cell r="G58">
            <v>9583</v>
          </cell>
          <cell r="I58">
            <v>7400</v>
          </cell>
        </row>
        <row r="59">
          <cell r="B59">
            <v>43</v>
          </cell>
          <cell r="C59" t="str">
            <v>Kawat Ram</v>
          </cell>
          <cell r="F59" t="str">
            <v>M2</v>
          </cell>
          <cell r="G59">
            <v>35000</v>
          </cell>
          <cell r="I59">
            <v>30000</v>
          </cell>
        </row>
        <row r="60">
          <cell r="B60">
            <v>44</v>
          </cell>
          <cell r="C60" t="str">
            <v>Kawat Beton(Bendrat)</v>
          </cell>
          <cell r="F60" t="str">
            <v>Kg</v>
          </cell>
          <cell r="G60">
            <v>20000</v>
          </cell>
          <cell r="I60">
            <v>28500</v>
          </cell>
        </row>
        <row r="61">
          <cell r="B61">
            <v>45</v>
          </cell>
          <cell r="C61" t="str">
            <v>Besi Strip</v>
          </cell>
          <cell r="F61" t="str">
            <v>Kg</v>
          </cell>
          <cell r="G61">
            <v>11000</v>
          </cell>
          <cell r="I61">
            <v>15000</v>
          </cell>
        </row>
        <row r="62">
          <cell r="B62">
            <v>46</v>
          </cell>
          <cell r="C62" t="str">
            <v>Plint Keramik 10 x 20</v>
          </cell>
          <cell r="F62" t="str">
            <v>Bh</v>
          </cell>
          <cell r="G62" t="e">
            <v>#DIV/0!</v>
          </cell>
          <cell r="I62">
            <v>15000</v>
          </cell>
        </row>
        <row r="63">
          <cell r="B63">
            <v>47</v>
          </cell>
          <cell r="C63" t="str">
            <v>Keramik Lantai 20 x20</v>
          </cell>
          <cell r="F63" t="str">
            <v>Bh</v>
          </cell>
          <cell r="G63" t="e">
            <v>#DIV/0!</v>
          </cell>
          <cell r="I63">
            <v>3588</v>
          </cell>
        </row>
        <row r="64">
          <cell r="B64">
            <v>48</v>
          </cell>
          <cell r="C64" t="str">
            <v>Keramik Lantai 20 x 25</v>
          </cell>
          <cell r="F64" t="str">
            <v>Bh</v>
          </cell>
          <cell r="G64" t="e">
            <v>#DIV/0!</v>
          </cell>
          <cell r="I64">
            <v>4612</v>
          </cell>
        </row>
        <row r="65">
          <cell r="B65">
            <v>49</v>
          </cell>
          <cell r="C65" t="str">
            <v>Keramik Lantai 30 x 30</v>
          </cell>
          <cell r="F65" t="str">
            <v>Bh</v>
          </cell>
          <cell r="G65" t="e">
            <v>#DIV/0!</v>
          </cell>
          <cell r="I65">
            <v>7458</v>
          </cell>
        </row>
        <row r="66">
          <cell r="B66">
            <v>50</v>
          </cell>
          <cell r="C66" t="str">
            <v>Keramik Lantai 35 x 35</v>
          </cell>
          <cell r="F66" t="str">
            <v>Bh</v>
          </cell>
          <cell r="G66" t="e">
            <v>#DIV/0!</v>
          </cell>
          <cell r="I66">
            <v>7962</v>
          </cell>
        </row>
        <row r="67">
          <cell r="B67">
            <v>51</v>
          </cell>
          <cell r="C67" t="str">
            <v>Keramik Lantai 40 x 40</v>
          </cell>
          <cell r="F67" t="str">
            <v>Bh</v>
          </cell>
          <cell r="G67" t="e">
            <v>#DIV/0!</v>
          </cell>
          <cell r="I67">
            <v>12000</v>
          </cell>
        </row>
        <row r="68">
          <cell r="B68">
            <v>52</v>
          </cell>
          <cell r="C68" t="str">
            <v>Keramik Lantai 50 x 50</v>
          </cell>
          <cell r="F68" t="str">
            <v>Bh</v>
          </cell>
          <cell r="G68" t="e">
            <v>#DIV/0!</v>
          </cell>
          <cell r="I68">
            <v>22500</v>
          </cell>
        </row>
        <row r="69">
          <cell r="B69">
            <v>53</v>
          </cell>
          <cell r="C69" t="str">
            <v>Keramik Dinding 15 x 15</v>
          </cell>
          <cell r="F69" t="str">
            <v>Bh</v>
          </cell>
          <cell r="G69" t="e">
            <v>#DIV/0!</v>
          </cell>
          <cell r="I69">
            <v>1462.5</v>
          </cell>
        </row>
        <row r="70">
          <cell r="B70">
            <v>54</v>
          </cell>
          <cell r="C70" t="str">
            <v>Keramik Dinding 20 x 20</v>
          </cell>
          <cell r="F70" t="str">
            <v>Bh</v>
          </cell>
          <cell r="G70" t="e">
            <v>#DIV/0!</v>
          </cell>
          <cell r="I70">
            <v>3588</v>
          </cell>
        </row>
        <row r="71">
          <cell r="B71">
            <v>55</v>
          </cell>
          <cell r="C71" t="str">
            <v>Seng Gelombang Bj Ls 0,2</v>
          </cell>
          <cell r="F71" t="str">
            <v>Lbr</v>
          </cell>
          <cell r="G71">
            <v>46000</v>
          </cell>
          <cell r="I71">
            <v>53617</v>
          </cell>
        </row>
        <row r="72">
          <cell r="B72">
            <v>56</v>
          </cell>
          <cell r="C72" t="str">
            <v>Genteng Metal 2 Susun</v>
          </cell>
          <cell r="F72" t="str">
            <v>Lbr</v>
          </cell>
          <cell r="G72">
            <v>65000</v>
          </cell>
          <cell r="I72">
            <v>55912</v>
          </cell>
        </row>
        <row r="73">
          <cell r="B73">
            <v>57</v>
          </cell>
          <cell r="C73" t="str">
            <v>Genteng Metal 1 Susun</v>
          </cell>
          <cell r="F73" t="str">
            <v>Lbr</v>
          </cell>
          <cell r="G73">
            <v>40000</v>
          </cell>
          <cell r="I73">
            <v>27956</v>
          </cell>
        </row>
        <row r="74">
          <cell r="B74">
            <v>58</v>
          </cell>
          <cell r="C74" t="str">
            <v>Seng Plat</v>
          </cell>
          <cell r="F74" t="str">
            <v>Lbr</v>
          </cell>
          <cell r="G74">
            <v>45000</v>
          </cell>
          <cell r="I74">
            <v>22950</v>
          </cell>
        </row>
        <row r="75">
          <cell r="B75">
            <v>59</v>
          </cell>
          <cell r="C75" t="str">
            <v>Bubungan Genteng Metal</v>
          </cell>
          <cell r="F75" t="str">
            <v>M</v>
          </cell>
          <cell r="G75">
            <v>25000</v>
          </cell>
          <cell r="I75">
            <v>20500</v>
          </cell>
        </row>
        <row r="76">
          <cell r="B76">
            <v>60</v>
          </cell>
          <cell r="C76" t="str">
            <v>Kaca Bening 3 mm</v>
          </cell>
          <cell r="F76" t="str">
            <v>M²</v>
          </cell>
          <cell r="G76">
            <v>75000</v>
          </cell>
          <cell r="I76">
            <v>109891</v>
          </cell>
        </row>
        <row r="77">
          <cell r="B77">
            <v>61</v>
          </cell>
          <cell r="C77" t="str">
            <v>Kaca Bening 5 mm</v>
          </cell>
          <cell r="F77" t="str">
            <v>M²</v>
          </cell>
          <cell r="G77">
            <v>125000</v>
          </cell>
          <cell r="I77">
            <v>134643</v>
          </cell>
        </row>
        <row r="78">
          <cell r="B78">
            <v>62</v>
          </cell>
          <cell r="C78" t="str">
            <v>Kaca Ryben 3 mm</v>
          </cell>
          <cell r="F78" t="str">
            <v>M²</v>
          </cell>
          <cell r="G78">
            <v>100000</v>
          </cell>
          <cell r="I78">
            <v>119173</v>
          </cell>
        </row>
        <row r="79">
          <cell r="B79">
            <v>63</v>
          </cell>
          <cell r="C79" t="str">
            <v>Kaca Ryben 5 mm</v>
          </cell>
          <cell r="F79" t="str">
            <v>M²</v>
          </cell>
          <cell r="G79">
            <v>150000</v>
          </cell>
          <cell r="I79">
            <v>140831</v>
          </cell>
        </row>
        <row r="80">
          <cell r="B80">
            <v>64</v>
          </cell>
          <cell r="C80" t="str">
            <v>Kaca Mono Block</v>
          </cell>
          <cell r="F80" t="str">
            <v>Bh</v>
          </cell>
          <cell r="G80">
            <v>50000</v>
          </cell>
          <cell r="I80">
            <v>31875</v>
          </cell>
        </row>
        <row r="81">
          <cell r="B81">
            <v>65</v>
          </cell>
          <cell r="C81" t="str">
            <v>Kunci Tanam 2 Slag</v>
          </cell>
          <cell r="F81" t="str">
            <v>Bh</v>
          </cell>
          <cell r="G81">
            <v>150000</v>
          </cell>
          <cell r="I81">
            <v>172525</v>
          </cell>
        </row>
        <row r="82">
          <cell r="B82">
            <v>66</v>
          </cell>
          <cell r="C82" t="str">
            <v>Kunci Tanam 1 Slaag</v>
          </cell>
          <cell r="F82" t="str">
            <v>Bh</v>
          </cell>
          <cell r="G82">
            <v>125000</v>
          </cell>
          <cell r="I82">
            <v>150000</v>
          </cell>
        </row>
        <row r="83">
          <cell r="B83">
            <v>67</v>
          </cell>
          <cell r="C83" t="str">
            <v>Tarikan Pintu</v>
          </cell>
          <cell r="F83" t="str">
            <v>Psng</v>
          </cell>
          <cell r="G83">
            <v>100000</v>
          </cell>
          <cell r="I83">
            <v>143435</v>
          </cell>
        </row>
        <row r="84">
          <cell r="B84">
            <v>68</v>
          </cell>
          <cell r="C84" t="str">
            <v>Tarikan Jendela</v>
          </cell>
          <cell r="F84" t="str">
            <v>Bh</v>
          </cell>
          <cell r="G84">
            <v>25000</v>
          </cell>
          <cell r="I84">
            <v>28000</v>
          </cell>
        </row>
        <row r="85">
          <cell r="B85">
            <v>69</v>
          </cell>
          <cell r="C85" t="str">
            <v>Engsel Pintu</v>
          </cell>
          <cell r="F85" t="str">
            <v>Set</v>
          </cell>
          <cell r="G85">
            <v>25000</v>
          </cell>
          <cell r="I85">
            <v>40163</v>
          </cell>
        </row>
        <row r="86">
          <cell r="B86">
            <v>70</v>
          </cell>
          <cell r="C86" t="str">
            <v>Engsel Jendela</v>
          </cell>
          <cell r="F86" t="str">
            <v>Psng</v>
          </cell>
          <cell r="G86">
            <v>15000</v>
          </cell>
          <cell r="I86">
            <v>30000</v>
          </cell>
        </row>
        <row r="87">
          <cell r="B87">
            <v>71</v>
          </cell>
          <cell r="C87" t="str">
            <v>Hak Angin</v>
          </cell>
          <cell r="F87" t="str">
            <v>Psng</v>
          </cell>
          <cell r="G87">
            <v>15000</v>
          </cell>
          <cell r="I87">
            <v>40163</v>
          </cell>
        </row>
        <row r="88">
          <cell r="B88">
            <v>72</v>
          </cell>
          <cell r="C88" t="str">
            <v>Grendel Jendela</v>
          </cell>
          <cell r="F88" t="str">
            <v>Bh</v>
          </cell>
          <cell r="G88">
            <v>5000</v>
          </cell>
          <cell r="I88">
            <v>14344</v>
          </cell>
        </row>
        <row r="89">
          <cell r="B89">
            <v>73</v>
          </cell>
          <cell r="C89" t="str">
            <v>Grendel Pintu Tanam</v>
          </cell>
          <cell r="F89" t="str">
            <v>Bh</v>
          </cell>
          <cell r="G89">
            <v>45000</v>
          </cell>
          <cell r="I89">
            <v>28688</v>
          </cell>
        </row>
        <row r="90">
          <cell r="B90">
            <v>74</v>
          </cell>
          <cell r="C90" t="str">
            <v>Kapur Acian</v>
          </cell>
          <cell r="F90" t="str">
            <v>Kg</v>
          </cell>
          <cell r="G90">
            <v>1125</v>
          </cell>
          <cell r="I90">
            <v>2443</v>
          </cell>
        </row>
        <row r="91">
          <cell r="B91">
            <v>75</v>
          </cell>
          <cell r="C91" t="str">
            <v>Kertas Pasir</v>
          </cell>
          <cell r="F91" t="str">
            <v>Lbr</v>
          </cell>
          <cell r="G91">
            <v>3500</v>
          </cell>
          <cell r="I91">
            <v>6500</v>
          </cell>
        </row>
        <row r="92">
          <cell r="B92">
            <v>76</v>
          </cell>
          <cell r="C92" t="str">
            <v>Lem Kayu</v>
          </cell>
          <cell r="F92" t="str">
            <v>Ltr</v>
          </cell>
          <cell r="G92">
            <v>65000</v>
          </cell>
          <cell r="I92">
            <v>68500</v>
          </cell>
        </row>
        <row r="93">
          <cell r="B93">
            <v>77</v>
          </cell>
          <cell r="C93" t="str">
            <v>Ijuk</v>
          </cell>
          <cell r="F93" t="str">
            <v>Roll</v>
          </cell>
          <cell r="G93">
            <v>10000</v>
          </cell>
          <cell r="I93">
            <v>15000</v>
          </cell>
        </row>
        <row r="94">
          <cell r="B94">
            <v>78</v>
          </cell>
          <cell r="C94" t="str">
            <v>Kloset Jongkok</v>
          </cell>
          <cell r="F94" t="str">
            <v>Bh</v>
          </cell>
          <cell r="G94">
            <v>100000</v>
          </cell>
          <cell r="I94">
            <v>150000</v>
          </cell>
        </row>
        <row r="95">
          <cell r="B95">
            <v>79</v>
          </cell>
          <cell r="C95" t="str">
            <v>Kloset Duduk</v>
          </cell>
          <cell r="F95" t="str">
            <v>Bh</v>
          </cell>
          <cell r="G95">
            <v>350000</v>
          </cell>
          <cell r="I95">
            <v>2231250</v>
          </cell>
        </row>
        <row r="96">
          <cell r="B96">
            <v>80</v>
          </cell>
          <cell r="C96" t="str">
            <v>Bak Cuci Aluminium Stenlis Steel</v>
          </cell>
          <cell r="F96" t="str">
            <v>Bh</v>
          </cell>
          <cell r="G96">
            <v>350000</v>
          </cell>
          <cell r="I96">
            <v>500000</v>
          </cell>
        </row>
        <row r="97">
          <cell r="B97">
            <v>81</v>
          </cell>
          <cell r="C97" t="str">
            <v>Water Drain</v>
          </cell>
          <cell r="F97" t="str">
            <v>Bh</v>
          </cell>
          <cell r="G97">
            <v>25000</v>
          </cell>
          <cell r="I97">
            <v>35000</v>
          </cell>
        </row>
        <row r="98">
          <cell r="B98">
            <v>82</v>
          </cell>
          <cell r="C98" t="str">
            <v>Floor Drain</v>
          </cell>
          <cell r="F98" t="str">
            <v>Bh</v>
          </cell>
          <cell r="G98">
            <v>25000</v>
          </cell>
          <cell r="I98">
            <v>35000</v>
          </cell>
        </row>
        <row r="99">
          <cell r="B99">
            <v>83</v>
          </cell>
          <cell r="C99" t="str">
            <v>Seal Tape</v>
          </cell>
          <cell r="F99" t="str">
            <v>Bh</v>
          </cell>
          <cell r="G99">
            <v>5000</v>
          </cell>
          <cell r="I99">
            <v>800</v>
          </cell>
        </row>
        <row r="100">
          <cell r="B100">
            <v>84</v>
          </cell>
          <cell r="C100" t="str">
            <v>Westafel</v>
          </cell>
          <cell r="F100" t="str">
            <v>Bh</v>
          </cell>
          <cell r="G100">
            <v>250000</v>
          </cell>
          <cell r="I100">
            <v>453250</v>
          </cell>
        </row>
        <row r="101">
          <cell r="B101">
            <v>85</v>
          </cell>
          <cell r="C101" t="str">
            <v>Kran Air  3/4"</v>
          </cell>
          <cell r="F101" t="str">
            <v>Bh</v>
          </cell>
          <cell r="G101">
            <v>12500</v>
          </cell>
          <cell r="I101">
            <v>36450</v>
          </cell>
        </row>
        <row r="102">
          <cell r="B102">
            <v>86</v>
          </cell>
          <cell r="C102" t="str">
            <v>Pipa PVC 1/2"</v>
          </cell>
          <cell r="F102" t="str">
            <v>M'</v>
          </cell>
          <cell r="G102">
            <v>5000</v>
          </cell>
          <cell r="I102">
            <v>4877</v>
          </cell>
        </row>
        <row r="103">
          <cell r="B103">
            <v>87</v>
          </cell>
          <cell r="C103" t="str">
            <v>Pipa PVC 1"</v>
          </cell>
          <cell r="F103" t="str">
            <v>M'</v>
          </cell>
          <cell r="G103">
            <v>8000</v>
          </cell>
          <cell r="I103">
            <v>10040.75</v>
          </cell>
        </row>
        <row r="104">
          <cell r="B104">
            <v>88</v>
          </cell>
          <cell r="C104" t="str">
            <v>Pipa PVC 11/2"</v>
          </cell>
          <cell r="F104" t="str">
            <v>M'</v>
          </cell>
          <cell r="G104">
            <v>10000</v>
          </cell>
          <cell r="I104">
            <v>11312.5</v>
          </cell>
        </row>
        <row r="105">
          <cell r="B105">
            <v>89</v>
          </cell>
          <cell r="C105" t="str">
            <v>Pipa PVC 2"</v>
          </cell>
          <cell r="F105" t="str">
            <v>M'</v>
          </cell>
          <cell r="G105">
            <v>12000</v>
          </cell>
          <cell r="I105">
            <v>7458.75</v>
          </cell>
        </row>
        <row r="106">
          <cell r="B106">
            <v>90</v>
          </cell>
          <cell r="C106" t="str">
            <v>Pipa PVC 2 1/2"</v>
          </cell>
          <cell r="F106" t="str">
            <v>M'</v>
          </cell>
          <cell r="G106">
            <v>15000</v>
          </cell>
          <cell r="I106">
            <v>12842</v>
          </cell>
        </row>
        <row r="107">
          <cell r="B107">
            <v>91</v>
          </cell>
          <cell r="C107" t="str">
            <v>Pipa PVC 3/4"</v>
          </cell>
          <cell r="F107" t="str">
            <v>M'</v>
          </cell>
          <cell r="G107">
            <v>20000</v>
          </cell>
          <cell r="I107">
            <v>7650</v>
          </cell>
        </row>
        <row r="108">
          <cell r="B108">
            <v>92</v>
          </cell>
          <cell r="C108" t="str">
            <v>Pipa PVC 4"</v>
          </cell>
          <cell r="F108" t="str">
            <v>M'</v>
          </cell>
          <cell r="G108">
            <v>25000</v>
          </cell>
          <cell r="I108">
            <v>55940.75</v>
          </cell>
        </row>
        <row r="109">
          <cell r="B109">
            <v>93</v>
          </cell>
          <cell r="C109" t="str">
            <v>Pipa Gip 1"</v>
          </cell>
          <cell r="F109" t="str">
            <v>M</v>
          </cell>
          <cell r="G109">
            <v>125000</v>
          </cell>
          <cell r="I109">
            <v>36250</v>
          </cell>
        </row>
        <row r="110">
          <cell r="B110">
            <v>94</v>
          </cell>
          <cell r="C110" t="str">
            <v>Pipa Gip 1 1/2"</v>
          </cell>
          <cell r="F110" t="str">
            <v>M'</v>
          </cell>
          <cell r="G110">
            <v>45000</v>
          </cell>
          <cell r="I110">
            <v>55000</v>
          </cell>
        </row>
        <row r="111">
          <cell r="B111">
            <v>95</v>
          </cell>
          <cell r="C111" t="str">
            <v>Pipa Penghawaan</v>
          </cell>
          <cell r="F111" t="str">
            <v>Bh</v>
          </cell>
          <cell r="G111">
            <v>55000</v>
          </cell>
          <cell r="I111">
            <v>60000</v>
          </cell>
        </row>
        <row r="112">
          <cell r="B112">
            <v>96</v>
          </cell>
          <cell r="C112" t="str">
            <v>Lem Pipa</v>
          </cell>
          <cell r="F112" t="str">
            <v>Ltr</v>
          </cell>
          <cell r="G112">
            <v>5000</v>
          </cell>
          <cell r="I112">
            <v>8000</v>
          </cell>
        </row>
        <row r="113">
          <cell r="B113">
            <v>97</v>
          </cell>
          <cell r="C113" t="str">
            <v>Stop Kontak</v>
          </cell>
          <cell r="F113" t="str">
            <v>Bh</v>
          </cell>
          <cell r="G113">
            <v>25000</v>
          </cell>
          <cell r="I113">
            <v>30000</v>
          </cell>
        </row>
        <row r="114">
          <cell r="B114">
            <v>98</v>
          </cell>
          <cell r="C114" t="str">
            <v>Saklar Tunggal</v>
          </cell>
          <cell r="F114" t="str">
            <v>Bh</v>
          </cell>
          <cell r="G114">
            <v>15000</v>
          </cell>
          <cell r="I114">
            <v>20000</v>
          </cell>
        </row>
        <row r="115">
          <cell r="B115">
            <v>99</v>
          </cell>
          <cell r="C115" t="str">
            <v>Saklar Ganda</v>
          </cell>
          <cell r="F115" t="str">
            <v>Bh</v>
          </cell>
          <cell r="G115">
            <v>25000</v>
          </cell>
          <cell r="I115">
            <v>30000</v>
          </cell>
        </row>
        <row r="116">
          <cell r="B116">
            <v>100</v>
          </cell>
          <cell r="C116" t="str">
            <v>Sekring Box</v>
          </cell>
          <cell r="F116" t="str">
            <v>Bh</v>
          </cell>
          <cell r="G116">
            <v>25000</v>
          </cell>
          <cell r="I116">
            <v>35000</v>
          </cell>
        </row>
        <row r="117">
          <cell r="B117">
            <v>101</v>
          </cell>
          <cell r="C117" t="str">
            <v>Kabel Listrik Jenis NYY 2.5</v>
          </cell>
          <cell r="F117" t="str">
            <v>M'</v>
          </cell>
          <cell r="G117">
            <v>1500</v>
          </cell>
          <cell r="I117">
            <v>8491</v>
          </cell>
        </row>
        <row r="118">
          <cell r="B118">
            <v>103</v>
          </cell>
          <cell r="C118" t="str">
            <v>Lampu SL 18 Watt Philips Torndo</v>
          </cell>
          <cell r="F118" t="str">
            <v>Bh</v>
          </cell>
          <cell r="G118">
            <v>75000</v>
          </cell>
          <cell r="I118">
            <v>43031</v>
          </cell>
        </row>
        <row r="119">
          <cell r="B119">
            <v>104</v>
          </cell>
          <cell r="C119" t="str">
            <v>Klem Pipa</v>
          </cell>
          <cell r="F119" t="str">
            <v>Bh</v>
          </cell>
          <cell r="G119">
            <v>500</v>
          </cell>
          <cell r="I119">
            <v>1500</v>
          </cell>
        </row>
        <row r="120">
          <cell r="B120">
            <v>105</v>
          </cell>
          <cell r="C120" t="str">
            <v>Isolasi/Seal Tape</v>
          </cell>
          <cell r="F120" t="str">
            <v>Bh</v>
          </cell>
          <cell r="G120">
            <v>2500</v>
          </cell>
          <cell r="I120">
            <v>5000</v>
          </cell>
        </row>
        <row r="121">
          <cell r="B121">
            <v>106</v>
          </cell>
          <cell r="C121" t="str">
            <v>Tee Doos</v>
          </cell>
          <cell r="F121" t="str">
            <v>Kg</v>
          </cell>
          <cell r="G121">
            <v>5000</v>
          </cell>
          <cell r="I121">
            <v>6500</v>
          </cell>
        </row>
        <row r="122">
          <cell r="B122">
            <v>107</v>
          </cell>
          <cell r="C122" t="str">
            <v>Inbouw doos</v>
          </cell>
          <cell r="F122" t="str">
            <v>Bh</v>
          </cell>
          <cell r="G122">
            <v>5000</v>
          </cell>
          <cell r="I122">
            <v>6000</v>
          </cell>
        </row>
        <row r="123">
          <cell r="B123">
            <v>108</v>
          </cell>
          <cell r="C123" t="str">
            <v>Panil Box</v>
          </cell>
          <cell r="F123" t="str">
            <v>Bh</v>
          </cell>
          <cell r="G123">
            <v>150000</v>
          </cell>
          <cell r="I123">
            <v>175000</v>
          </cell>
        </row>
        <row r="124">
          <cell r="B124">
            <v>109</v>
          </cell>
        </row>
        <row r="125">
          <cell r="B125">
            <v>110</v>
          </cell>
        </row>
        <row r="126">
          <cell r="B126">
            <v>111</v>
          </cell>
        </row>
        <row r="127">
          <cell r="B127">
            <v>112</v>
          </cell>
        </row>
        <row r="128">
          <cell r="B128">
            <v>113</v>
          </cell>
        </row>
        <row r="129">
          <cell r="B129">
            <v>114</v>
          </cell>
        </row>
        <row r="130">
          <cell r="B130">
            <v>115</v>
          </cell>
        </row>
        <row r="131">
          <cell r="B131">
            <v>116</v>
          </cell>
        </row>
        <row r="132">
          <cell r="B132">
            <v>117</v>
          </cell>
        </row>
        <row r="133">
          <cell r="B133">
            <v>118</v>
          </cell>
        </row>
        <row r="134">
          <cell r="B134">
            <v>119</v>
          </cell>
        </row>
        <row r="135">
          <cell r="B135">
            <v>120</v>
          </cell>
        </row>
        <row r="136">
          <cell r="B136">
            <v>121</v>
          </cell>
        </row>
        <row r="137">
          <cell r="B137">
            <v>122</v>
          </cell>
        </row>
        <row r="138">
          <cell r="B138">
            <v>123</v>
          </cell>
        </row>
        <row r="139">
          <cell r="B139">
            <v>124</v>
          </cell>
        </row>
        <row r="140">
          <cell r="B140">
            <v>125</v>
          </cell>
        </row>
        <row r="141">
          <cell r="B141">
            <v>126</v>
          </cell>
        </row>
        <row r="142">
          <cell r="B142">
            <v>127</v>
          </cell>
        </row>
        <row r="143">
          <cell r="B143">
            <v>128</v>
          </cell>
        </row>
        <row r="144">
          <cell r="B144">
            <v>129</v>
          </cell>
        </row>
        <row r="145">
          <cell r="B145">
            <v>130</v>
          </cell>
        </row>
        <row r="146">
          <cell r="B146">
            <v>131</v>
          </cell>
        </row>
        <row r="147">
          <cell r="B147">
            <v>132</v>
          </cell>
        </row>
        <row r="148">
          <cell r="B148">
            <v>133</v>
          </cell>
        </row>
        <row r="149">
          <cell r="B149">
            <v>134</v>
          </cell>
        </row>
        <row r="150">
          <cell r="B150">
            <v>135</v>
          </cell>
        </row>
        <row r="151">
          <cell r="B151">
            <v>136</v>
          </cell>
        </row>
        <row r="152">
          <cell r="B152">
            <v>137</v>
          </cell>
        </row>
        <row r="153">
          <cell r="B153">
            <v>138</v>
          </cell>
        </row>
        <row r="154">
          <cell r="B154">
            <v>139</v>
          </cell>
        </row>
        <row r="155">
          <cell r="B155">
            <v>109</v>
          </cell>
          <cell r="C155" t="str">
            <v>Pipa Conduit</v>
          </cell>
          <cell r="F155" t="str">
            <v>M1</v>
          </cell>
          <cell r="I155">
            <v>3750</v>
          </cell>
        </row>
        <row r="156">
          <cell r="B156">
            <v>107</v>
          </cell>
          <cell r="C156" t="str">
            <v>Inbouw doos</v>
          </cell>
          <cell r="F156" t="str">
            <v>Bh</v>
          </cell>
          <cell r="G156">
            <v>5000</v>
          </cell>
          <cell r="I156">
            <v>6000</v>
          </cell>
        </row>
        <row r="157">
          <cell r="B157">
            <v>108</v>
          </cell>
          <cell r="C157" t="str">
            <v>Panil Box</v>
          </cell>
          <cell r="F157" t="str">
            <v>Bh</v>
          </cell>
          <cell r="G157">
            <v>150000</v>
          </cell>
          <cell r="I157">
            <v>175000</v>
          </cell>
        </row>
      </sheetData>
      <sheetData sheetId="4">
        <row r="9">
          <cell r="A9" t="str">
            <v>No.Anl</v>
          </cell>
          <cell r="B9" t="str">
            <v>Indeks</v>
          </cell>
          <cell r="C9" t="str">
            <v>No.Anl</v>
          </cell>
          <cell r="D9" t="str">
            <v>URAIAN ANALISA PEKERJAAN</v>
          </cell>
          <cell r="J9" t="str">
            <v>HARGA SATUAN</v>
          </cell>
          <cell r="L9" t="str">
            <v>UPAH</v>
          </cell>
          <cell r="M9" t="str">
            <v>BAHAN</v>
          </cell>
          <cell r="N9" t="str">
            <v>JUMLAH</v>
          </cell>
        </row>
        <row r="10">
          <cell r="J10" t="str">
            <v>UPAH/BAHAN</v>
          </cell>
        </row>
        <row r="12">
          <cell r="D12" t="str">
            <v>A.PEKERJAAN PERSIAPAN</v>
          </cell>
        </row>
        <row r="13">
          <cell r="C13">
            <v>1</v>
          </cell>
          <cell r="D13" t="str">
            <v>1 M'</v>
          </cell>
          <cell r="E13" t="str">
            <v>Pengukuran &amp; Pas.Bouwplank</v>
          </cell>
          <cell r="P13">
            <v>50570</v>
          </cell>
        </row>
        <row r="14">
          <cell r="B14">
            <v>21</v>
          </cell>
          <cell r="D14">
            <v>1.2E-2</v>
          </cell>
          <cell r="E14" t="str">
            <v>M³</v>
          </cell>
          <cell r="F14" t="str">
            <v>Kayu Klas III</v>
          </cell>
          <cell r="H14" t="str">
            <v>(Balok 5/7)</v>
          </cell>
          <cell r="J14" t="str">
            <v>@</v>
          </cell>
          <cell r="K14">
            <v>1820000</v>
          </cell>
          <cell r="L14">
            <v>0</v>
          </cell>
          <cell r="M14">
            <v>21840</v>
          </cell>
          <cell r="N14">
            <v>21840</v>
          </cell>
        </row>
        <row r="15">
          <cell r="B15">
            <v>29</v>
          </cell>
          <cell r="D15">
            <v>0.02</v>
          </cell>
          <cell r="E15" t="str">
            <v>Kg</v>
          </cell>
          <cell r="F15" t="str">
            <v>Paku Biasa</v>
          </cell>
          <cell r="J15" t="str">
            <v>@</v>
          </cell>
          <cell r="K15">
            <v>25500</v>
          </cell>
          <cell r="L15">
            <v>0</v>
          </cell>
          <cell r="M15">
            <v>510</v>
          </cell>
          <cell r="N15">
            <v>510</v>
          </cell>
        </row>
        <row r="16">
          <cell r="B16">
            <v>21</v>
          </cell>
          <cell r="D16">
            <v>7.0000000000000001E-3</v>
          </cell>
          <cell r="E16" t="str">
            <v>M³</v>
          </cell>
          <cell r="F16" t="str">
            <v>Kayu Klas III</v>
          </cell>
          <cell r="H16" t="str">
            <v>( Papan)</v>
          </cell>
          <cell r="J16" t="str">
            <v>@</v>
          </cell>
          <cell r="K16">
            <v>1820000</v>
          </cell>
          <cell r="L16">
            <v>0</v>
          </cell>
          <cell r="M16">
            <v>12740</v>
          </cell>
          <cell r="N16">
            <v>12740</v>
          </cell>
        </row>
        <row r="17">
          <cell r="B17">
            <v>1</v>
          </cell>
          <cell r="D17">
            <v>0.1</v>
          </cell>
          <cell r="E17" t="str">
            <v>Oh</v>
          </cell>
          <cell r="F17" t="str">
            <v>Pekerja</v>
          </cell>
          <cell r="J17" t="str">
            <v>@</v>
          </cell>
          <cell r="K17">
            <v>65000</v>
          </cell>
          <cell r="L17">
            <v>6500</v>
          </cell>
          <cell r="M17">
            <v>0</v>
          </cell>
          <cell r="N17">
            <v>6500</v>
          </cell>
        </row>
        <row r="18">
          <cell r="B18">
            <v>2</v>
          </cell>
          <cell r="D18">
            <v>0.1</v>
          </cell>
          <cell r="E18" t="str">
            <v>Oh</v>
          </cell>
          <cell r="F18" t="str">
            <v>Tukang</v>
          </cell>
          <cell r="J18" t="str">
            <v>@</v>
          </cell>
          <cell r="K18">
            <v>80000</v>
          </cell>
          <cell r="L18">
            <v>8000</v>
          </cell>
          <cell r="M18">
            <v>0</v>
          </cell>
          <cell r="N18">
            <v>8000</v>
          </cell>
        </row>
        <row r="19">
          <cell r="B19">
            <v>3</v>
          </cell>
          <cell r="D19">
            <v>0.01</v>
          </cell>
          <cell r="E19" t="str">
            <v>Oh</v>
          </cell>
          <cell r="F19" t="str">
            <v>Kepala Tukang</v>
          </cell>
          <cell r="J19" t="str">
            <v>@</v>
          </cell>
          <cell r="K19">
            <v>90000</v>
          </cell>
          <cell r="L19">
            <v>900</v>
          </cell>
          <cell r="M19">
            <v>0</v>
          </cell>
          <cell r="N19">
            <v>900</v>
          </cell>
        </row>
        <row r="20">
          <cell r="B20">
            <v>4</v>
          </cell>
          <cell r="D20">
            <v>1E-3</v>
          </cell>
          <cell r="E20" t="str">
            <v>Oh</v>
          </cell>
          <cell r="F20" t="str">
            <v>Mandor</v>
          </cell>
          <cell r="J20" t="str">
            <v>@</v>
          </cell>
          <cell r="K20">
            <v>80000</v>
          </cell>
          <cell r="L20">
            <v>80</v>
          </cell>
          <cell r="M20">
            <v>0</v>
          </cell>
          <cell r="N20">
            <v>80</v>
          </cell>
        </row>
        <row r="21">
          <cell r="C21" t="str">
            <v>B</v>
          </cell>
          <cell r="D21" t="str">
            <v>Jumlah</v>
          </cell>
          <cell r="L21">
            <v>15480</v>
          </cell>
          <cell r="M21">
            <v>35090</v>
          </cell>
          <cell r="N21">
            <v>50570</v>
          </cell>
        </row>
        <row r="22">
          <cell r="C22" t="str">
            <v>C</v>
          </cell>
          <cell r="D22" t="str">
            <v>Overhead</v>
          </cell>
          <cell r="L22" t="str">
            <v>15% X B</v>
          </cell>
          <cell r="N22">
            <v>7585.5</v>
          </cell>
        </row>
        <row r="23">
          <cell r="C23" t="str">
            <v>D</v>
          </cell>
          <cell r="D23" t="str">
            <v>Jumlah Total</v>
          </cell>
          <cell r="L23" t="str">
            <v>( B+C )</v>
          </cell>
          <cell r="N23">
            <v>58155.5</v>
          </cell>
        </row>
        <row r="25">
          <cell r="D25" t="str">
            <v>B. PEKERJAAN TANAH DAN PASIR</v>
          </cell>
        </row>
        <row r="26">
          <cell r="A26">
            <v>2</v>
          </cell>
          <cell r="C26">
            <v>2</v>
          </cell>
          <cell r="D26" t="str">
            <v>1 M3</v>
          </cell>
          <cell r="E26" t="str">
            <v>Galian Tanah Biasa (SNI)</v>
          </cell>
          <cell r="P26" t="e">
            <v>#REF!</v>
          </cell>
        </row>
        <row r="27">
          <cell r="B27">
            <v>1</v>
          </cell>
          <cell r="D27">
            <v>0.4</v>
          </cell>
          <cell r="E27" t="str">
            <v>Oh</v>
          </cell>
          <cell r="F27" t="str">
            <v>Pekerja</v>
          </cell>
          <cell r="J27" t="str">
            <v>@</v>
          </cell>
          <cell r="K27">
            <v>65000</v>
          </cell>
          <cell r="L27">
            <v>26000</v>
          </cell>
          <cell r="M27">
            <v>0</v>
          </cell>
          <cell r="N27">
            <v>26000</v>
          </cell>
        </row>
        <row r="28">
          <cell r="B28">
            <v>4</v>
          </cell>
          <cell r="D28">
            <v>0.04</v>
          </cell>
          <cell r="E28" t="str">
            <v>Oh</v>
          </cell>
          <cell r="F28" t="str">
            <v>Mandor</v>
          </cell>
          <cell r="J28" t="str">
            <v>@</v>
          </cell>
          <cell r="K28">
            <v>80000</v>
          </cell>
          <cell r="L28">
            <v>3200</v>
          </cell>
          <cell r="M28">
            <v>0</v>
          </cell>
          <cell r="N28">
            <v>3200</v>
          </cell>
        </row>
        <row r="29">
          <cell r="D29" t="str">
            <v>Jumlah</v>
          </cell>
          <cell r="L29">
            <v>29200</v>
          </cell>
          <cell r="M29">
            <v>0</v>
          </cell>
          <cell r="N29">
            <v>29200</v>
          </cell>
        </row>
        <row r="31">
          <cell r="A31">
            <v>3</v>
          </cell>
          <cell r="C31">
            <v>3</v>
          </cell>
          <cell r="D31" t="str">
            <v>1 M3</v>
          </cell>
          <cell r="E31" t="str">
            <v>Urugan Kembali Bekas Galian (SNI)</v>
          </cell>
          <cell r="P31" t="e">
            <v>#REF!</v>
          </cell>
        </row>
        <row r="32">
          <cell r="B32">
            <v>1</v>
          </cell>
          <cell r="D32">
            <v>0.192</v>
          </cell>
          <cell r="E32" t="str">
            <v>Oh</v>
          </cell>
          <cell r="F32" t="str">
            <v>Pekerja</v>
          </cell>
          <cell r="J32" t="str">
            <v>@</v>
          </cell>
          <cell r="K32">
            <v>65000</v>
          </cell>
          <cell r="L32">
            <v>12480</v>
          </cell>
          <cell r="M32">
            <v>0</v>
          </cell>
          <cell r="N32">
            <v>12480</v>
          </cell>
        </row>
        <row r="33">
          <cell r="B33">
            <v>4</v>
          </cell>
          <cell r="D33">
            <v>1.9E-2</v>
          </cell>
          <cell r="E33" t="str">
            <v>Oh</v>
          </cell>
          <cell r="F33" t="str">
            <v>Mandor</v>
          </cell>
          <cell r="J33" t="str">
            <v>@</v>
          </cell>
          <cell r="K33">
            <v>80000</v>
          </cell>
          <cell r="L33">
            <v>1520</v>
          </cell>
          <cell r="M33">
            <v>0</v>
          </cell>
          <cell r="N33">
            <v>1520</v>
          </cell>
        </row>
        <row r="34">
          <cell r="D34" t="str">
            <v>Jumlah</v>
          </cell>
          <cell r="L34">
            <v>43200</v>
          </cell>
          <cell r="M34">
            <v>0</v>
          </cell>
          <cell r="N34">
            <v>14000</v>
          </cell>
        </row>
        <row r="36">
          <cell r="A36">
            <v>4</v>
          </cell>
          <cell r="C36">
            <v>4</v>
          </cell>
          <cell r="D36" t="str">
            <v>1 M3</v>
          </cell>
          <cell r="E36" t="str">
            <v>Urugan Tanah (SNI)</v>
          </cell>
          <cell r="P36" t="e">
            <v>#REF!</v>
          </cell>
        </row>
        <row r="37">
          <cell r="B37">
            <v>14</v>
          </cell>
          <cell r="D37">
            <v>1.2</v>
          </cell>
          <cell r="E37" t="str">
            <v>M³</v>
          </cell>
          <cell r="F37" t="str">
            <v>Tanah Urug</v>
          </cell>
          <cell r="J37" t="str">
            <v>@</v>
          </cell>
          <cell r="K37">
            <v>95500</v>
          </cell>
          <cell r="L37">
            <v>0</v>
          </cell>
          <cell r="M37">
            <v>114600</v>
          </cell>
          <cell r="N37">
            <v>114600</v>
          </cell>
        </row>
        <row r="38">
          <cell r="B38">
            <v>1</v>
          </cell>
          <cell r="D38">
            <v>0.25</v>
          </cell>
          <cell r="E38" t="str">
            <v>Oh</v>
          </cell>
          <cell r="F38" t="str">
            <v>Pekerja</v>
          </cell>
          <cell r="J38" t="str">
            <v>@</v>
          </cell>
          <cell r="K38">
            <v>65000</v>
          </cell>
          <cell r="L38">
            <v>16250</v>
          </cell>
          <cell r="M38">
            <v>0</v>
          </cell>
          <cell r="N38">
            <v>16250</v>
          </cell>
        </row>
        <row r="39">
          <cell r="B39">
            <v>4</v>
          </cell>
          <cell r="D39">
            <v>2.5000000000000001E-2</v>
          </cell>
          <cell r="E39" t="str">
            <v>Oh</v>
          </cell>
          <cell r="F39" t="str">
            <v>Mandor</v>
          </cell>
          <cell r="J39" t="str">
            <v>@</v>
          </cell>
          <cell r="K39">
            <v>80000</v>
          </cell>
          <cell r="L39">
            <v>2000</v>
          </cell>
          <cell r="M39">
            <v>0</v>
          </cell>
          <cell r="N39">
            <v>2000</v>
          </cell>
        </row>
        <row r="40">
          <cell r="D40" t="str">
            <v>Jumlah</v>
          </cell>
          <cell r="L40">
            <v>18250</v>
          </cell>
          <cell r="M40">
            <v>114600</v>
          </cell>
          <cell r="N40">
            <v>132850</v>
          </cell>
        </row>
        <row r="42">
          <cell r="A42">
            <v>5</v>
          </cell>
          <cell r="C42">
            <v>5</v>
          </cell>
          <cell r="D42" t="str">
            <v>1 M3</v>
          </cell>
          <cell r="E42" t="str">
            <v>Urugan Pasir (SNI)</v>
          </cell>
          <cell r="P42" t="e">
            <v>#REF!</v>
          </cell>
        </row>
        <row r="43">
          <cell r="B43">
            <v>13</v>
          </cell>
          <cell r="D43">
            <v>1.2</v>
          </cell>
          <cell r="E43" t="str">
            <v>M³</v>
          </cell>
          <cell r="F43" t="str">
            <v>Pasir Urug</v>
          </cell>
          <cell r="J43" t="str">
            <v>@</v>
          </cell>
          <cell r="K43">
            <v>95500</v>
          </cell>
          <cell r="L43">
            <v>0</v>
          </cell>
          <cell r="M43">
            <v>114600</v>
          </cell>
          <cell r="N43">
            <v>114600</v>
          </cell>
        </row>
        <row r="44">
          <cell r="B44">
            <v>1</v>
          </cell>
          <cell r="D44">
            <v>0.3</v>
          </cell>
          <cell r="E44" t="str">
            <v>Oh</v>
          </cell>
          <cell r="F44" t="str">
            <v>Pekerja</v>
          </cell>
          <cell r="J44" t="str">
            <v>@</v>
          </cell>
          <cell r="K44">
            <v>65000</v>
          </cell>
          <cell r="L44">
            <v>19500</v>
          </cell>
          <cell r="M44">
            <v>0</v>
          </cell>
          <cell r="N44">
            <v>19500</v>
          </cell>
        </row>
        <row r="45">
          <cell r="B45">
            <v>4</v>
          </cell>
          <cell r="D45">
            <v>0.01</v>
          </cell>
          <cell r="E45" t="str">
            <v>Oh</v>
          </cell>
          <cell r="F45" t="str">
            <v>Mandor</v>
          </cell>
          <cell r="J45" t="str">
            <v>@</v>
          </cell>
          <cell r="K45">
            <v>80000</v>
          </cell>
          <cell r="L45">
            <v>800</v>
          </cell>
          <cell r="M45">
            <v>0</v>
          </cell>
          <cell r="N45">
            <v>800</v>
          </cell>
        </row>
        <row r="46">
          <cell r="D46" t="str">
            <v>Jumlah</v>
          </cell>
          <cell r="L46">
            <v>20300</v>
          </cell>
          <cell r="M46">
            <v>114600</v>
          </cell>
          <cell r="N46">
            <v>134900</v>
          </cell>
        </row>
        <row r="48">
          <cell r="D48" t="str">
            <v>C. PEKERJAAN PASANGAN DAN STRUKTUR BETON</v>
          </cell>
        </row>
        <row r="49">
          <cell r="A49">
            <v>6</v>
          </cell>
          <cell r="C49">
            <v>6</v>
          </cell>
          <cell r="D49" t="str">
            <v>1 M3</v>
          </cell>
          <cell r="E49" t="str">
            <v>Pasangan Batu Kosong (SNI)</v>
          </cell>
          <cell r="P49" t="e">
            <v>#REF!</v>
          </cell>
        </row>
        <row r="50">
          <cell r="B50">
            <v>9</v>
          </cell>
          <cell r="D50">
            <v>1</v>
          </cell>
          <cell r="E50" t="str">
            <v>M³</v>
          </cell>
          <cell r="F50" t="str">
            <v>Batu Kali/Batu Gunung</v>
          </cell>
          <cell r="J50" t="str">
            <v>@</v>
          </cell>
          <cell r="K50">
            <v>150000</v>
          </cell>
          <cell r="L50">
            <v>0</v>
          </cell>
          <cell r="M50">
            <v>150000</v>
          </cell>
          <cell r="N50">
            <v>150000</v>
          </cell>
        </row>
        <row r="51">
          <cell r="B51">
            <v>13</v>
          </cell>
          <cell r="D51">
            <v>0.3</v>
          </cell>
          <cell r="E51" t="str">
            <v>M³</v>
          </cell>
          <cell r="F51" t="str">
            <v>Pasir Urug</v>
          </cell>
          <cell r="J51" t="str">
            <v>@</v>
          </cell>
          <cell r="K51">
            <v>95500</v>
          </cell>
          <cell r="L51">
            <v>0</v>
          </cell>
          <cell r="M51">
            <v>28650</v>
          </cell>
          <cell r="N51">
            <v>28650</v>
          </cell>
        </row>
        <row r="52">
          <cell r="B52">
            <v>1</v>
          </cell>
          <cell r="D52">
            <v>0.78</v>
          </cell>
          <cell r="E52" t="str">
            <v>Oh</v>
          </cell>
          <cell r="F52" t="str">
            <v>Pekerja</v>
          </cell>
          <cell r="J52" t="str">
            <v>@</v>
          </cell>
          <cell r="K52">
            <v>65000</v>
          </cell>
          <cell r="L52">
            <v>50700</v>
          </cell>
          <cell r="M52">
            <v>0</v>
          </cell>
          <cell r="N52">
            <v>50700</v>
          </cell>
        </row>
        <row r="53">
          <cell r="B53">
            <v>2</v>
          </cell>
          <cell r="D53">
            <v>0.39</v>
          </cell>
          <cell r="E53" t="str">
            <v>Oh</v>
          </cell>
          <cell r="F53" t="str">
            <v>Tukang</v>
          </cell>
          <cell r="G53" t="str">
            <v>Batu</v>
          </cell>
          <cell r="J53" t="str">
            <v>@</v>
          </cell>
          <cell r="K53">
            <v>80000</v>
          </cell>
          <cell r="L53">
            <v>31200</v>
          </cell>
          <cell r="M53">
            <v>0</v>
          </cell>
          <cell r="N53">
            <v>31200</v>
          </cell>
        </row>
        <row r="54">
          <cell r="B54">
            <v>3</v>
          </cell>
          <cell r="D54">
            <v>3.9E-2</v>
          </cell>
          <cell r="E54" t="str">
            <v>Oh</v>
          </cell>
          <cell r="F54" t="str">
            <v>Kepala Tukang</v>
          </cell>
          <cell r="J54" t="str">
            <v>@</v>
          </cell>
          <cell r="K54">
            <v>90000</v>
          </cell>
          <cell r="L54">
            <v>3510</v>
          </cell>
          <cell r="M54">
            <v>0</v>
          </cell>
          <cell r="N54">
            <v>3510</v>
          </cell>
        </row>
        <row r="55">
          <cell r="B55">
            <v>4</v>
          </cell>
          <cell r="D55">
            <v>3.9E-2</v>
          </cell>
          <cell r="E55" t="str">
            <v>Oh</v>
          </cell>
          <cell r="F55" t="str">
            <v>Mandor</v>
          </cell>
          <cell r="J55" t="str">
            <v>@</v>
          </cell>
          <cell r="K55">
            <v>80000</v>
          </cell>
          <cell r="L55">
            <v>3120</v>
          </cell>
          <cell r="M55">
            <v>0</v>
          </cell>
          <cell r="N55">
            <v>3120</v>
          </cell>
        </row>
        <row r="56">
          <cell r="D56" t="str">
            <v>Jumlah</v>
          </cell>
          <cell r="L56">
            <v>88530</v>
          </cell>
          <cell r="M56">
            <v>178650</v>
          </cell>
          <cell r="N56">
            <v>267180</v>
          </cell>
        </row>
        <row r="58">
          <cell r="A58">
            <v>7</v>
          </cell>
          <cell r="C58">
            <v>7</v>
          </cell>
          <cell r="D58" t="str">
            <v>1 M3</v>
          </cell>
          <cell r="E58" t="str">
            <v>Pasangan Batu Kali Camp. 1 : 4  (SNI)</v>
          </cell>
          <cell r="P58" t="e">
            <v>#REF!</v>
          </cell>
        </row>
        <row r="59">
          <cell r="B59">
            <v>9</v>
          </cell>
          <cell r="D59">
            <v>1.1000000000000001</v>
          </cell>
          <cell r="E59" t="str">
            <v>M³</v>
          </cell>
          <cell r="F59" t="str">
            <v>Batu Kali/Batu Gunung</v>
          </cell>
          <cell r="J59" t="str">
            <v>@</v>
          </cell>
          <cell r="K59">
            <v>150000</v>
          </cell>
          <cell r="L59">
            <v>0</v>
          </cell>
          <cell r="M59">
            <v>165000</v>
          </cell>
          <cell r="N59">
            <v>165000</v>
          </cell>
        </row>
        <row r="60">
          <cell r="B60">
            <v>17</v>
          </cell>
          <cell r="D60">
            <v>136</v>
          </cell>
          <cell r="E60" t="str">
            <v>Kg</v>
          </cell>
          <cell r="F60" t="str">
            <v>Semen Portland</v>
          </cell>
          <cell r="J60" t="str">
            <v>@</v>
          </cell>
          <cell r="K60">
            <v>1650</v>
          </cell>
          <cell r="L60">
            <v>0</v>
          </cell>
          <cell r="M60">
            <v>224400</v>
          </cell>
          <cell r="N60">
            <v>224400</v>
          </cell>
        </row>
        <row r="61">
          <cell r="B61">
            <v>11</v>
          </cell>
          <cell r="D61">
            <v>0.54400000000000004</v>
          </cell>
          <cell r="E61" t="str">
            <v>M³</v>
          </cell>
          <cell r="F61" t="str">
            <v>Pasir Pasang</v>
          </cell>
          <cell r="J61" t="str">
            <v>@</v>
          </cell>
          <cell r="K61">
            <v>150000</v>
          </cell>
          <cell r="L61">
            <v>0</v>
          </cell>
          <cell r="M61">
            <v>81600</v>
          </cell>
          <cell r="N61">
            <v>81600</v>
          </cell>
        </row>
        <row r="62">
          <cell r="B62">
            <v>1</v>
          </cell>
          <cell r="D62">
            <v>1.5</v>
          </cell>
          <cell r="E62" t="str">
            <v>Oh</v>
          </cell>
          <cell r="F62" t="str">
            <v>Pekerja</v>
          </cell>
          <cell r="J62" t="str">
            <v>@</v>
          </cell>
          <cell r="K62">
            <v>65000</v>
          </cell>
          <cell r="L62">
            <v>97500</v>
          </cell>
          <cell r="M62">
            <v>0</v>
          </cell>
          <cell r="N62">
            <v>97500</v>
          </cell>
        </row>
        <row r="63">
          <cell r="B63">
            <v>2</v>
          </cell>
          <cell r="D63">
            <v>0.6</v>
          </cell>
          <cell r="E63" t="str">
            <v>Oh</v>
          </cell>
          <cell r="F63" t="str">
            <v>Tukang</v>
          </cell>
          <cell r="G63" t="str">
            <v>Batu</v>
          </cell>
          <cell r="J63" t="str">
            <v>@</v>
          </cell>
          <cell r="K63">
            <v>80000</v>
          </cell>
          <cell r="L63">
            <v>48000</v>
          </cell>
          <cell r="M63">
            <v>0</v>
          </cell>
          <cell r="N63">
            <v>48000</v>
          </cell>
        </row>
        <row r="64">
          <cell r="B64">
            <v>3</v>
          </cell>
          <cell r="D64">
            <v>0.06</v>
          </cell>
          <cell r="E64" t="str">
            <v>Oh</v>
          </cell>
          <cell r="F64" t="str">
            <v>Kepala Tukang</v>
          </cell>
          <cell r="J64" t="str">
            <v>@</v>
          </cell>
          <cell r="K64">
            <v>90000</v>
          </cell>
          <cell r="L64">
            <v>5400</v>
          </cell>
          <cell r="M64">
            <v>0</v>
          </cell>
          <cell r="N64">
            <v>5400</v>
          </cell>
        </row>
        <row r="65">
          <cell r="B65">
            <v>4</v>
          </cell>
          <cell r="D65">
            <v>7.4999999999999997E-2</v>
          </cell>
          <cell r="E65" t="str">
            <v>Oh</v>
          </cell>
          <cell r="F65" t="str">
            <v>Mandor</v>
          </cell>
          <cell r="J65" t="str">
            <v>@</v>
          </cell>
          <cell r="K65">
            <v>80000</v>
          </cell>
          <cell r="L65">
            <v>6000</v>
          </cell>
          <cell r="M65">
            <v>0</v>
          </cell>
          <cell r="N65">
            <v>6000</v>
          </cell>
        </row>
        <row r="66">
          <cell r="D66" t="str">
            <v>Jumlah</v>
          </cell>
          <cell r="L66">
            <v>156900</v>
          </cell>
          <cell r="M66">
            <v>471000</v>
          </cell>
          <cell r="N66">
            <v>627900</v>
          </cell>
        </row>
        <row r="68">
          <cell r="A68">
            <v>8</v>
          </cell>
          <cell r="C68">
            <v>8</v>
          </cell>
          <cell r="D68" t="str">
            <v>1 M2</v>
          </cell>
          <cell r="E68" t="str">
            <v>Pasanganan Trasram Batu Bata 1/2 Batu Camp  1 : 2  (SNI)</v>
          </cell>
          <cell r="P68" t="e">
            <v>#REF!</v>
          </cell>
        </row>
        <row r="69">
          <cell r="B69">
            <v>15</v>
          </cell>
          <cell r="D69">
            <v>70</v>
          </cell>
          <cell r="E69" t="str">
            <v>Bh</v>
          </cell>
          <cell r="F69" t="str">
            <v>Batu Bata</v>
          </cell>
          <cell r="J69" t="str">
            <v>@</v>
          </cell>
          <cell r="K69">
            <v>800</v>
          </cell>
          <cell r="L69">
            <v>0</v>
          </cell>
          <cell r="M69">
            <v>56000</v>
          </cell>
          <cell r="N69">
            <v>56000</v>
          </cell>
        </row>
        <row r="70">
          <cell r="B70">
            <v>17</v>
          </cell>
          <cell r="D70">
            <v>9.4749999999999996</v>
          </cell>
          <cell r="E70" t="str">
            <v>Kg</v>
          </cell>
          <cell r="F70" t="str">
            <v>Semen Portland</v>
          </cell>
          <cell r="J70" t="str">
            <v>@</v>
          </cell>
          <cell r="K70">
            <v>1650</v>
          </cell>
          <cell r="L70">
            <v>0</v>
          </cell>
          <cell r="M70">
            <v>15633.75</v>
          </cell>
          <cell r="N70">
            <v>15633.75</v>
          </cell>
        </row>
        <row r="71">
          <cell r="B71">
            <v>11</v>
          </cell>
          <cell r="D71">
            <v>3.7999999999999999E-2</v>
          </cell>
          <cell r="E71" t="str">
            <v>M³</v>
          </cell>
          <cell r="F71" t="str">
            <v>Pasir Pasang</v>
          </cell>
          <cell r="J71" t="str">
            <v>@</v>
          </cell>
          <cell r="K71">
            <v>150000</v>
          </cell>
          <cell r="L71">
            <v>0</v>
          </cell>
          <cell r="M71">
            <v>5700</v>
          </cell>
          <cell r="N71">
            <v>5700</v>
          </cell>
        </row>
        <row r="72">
          <cell r="B72">
            <v>1</v>
          </cell>
          <cell r="D72">
            <v>0.32</v>
          </cell>
          <cell r="E72" t="str">
            <v>Oh</v>
          </cell>
          <cell r="F72" t="str">
            <v>Pekerja</v>
          </cell>
          <cell r="J72" t="str">
            <v>@</v>
          </cell>
          <cell r="K72">
            <v>65000</v>
          </cell>
          <cell r="L72">
            <v>20800</v>
          </cell>
          <cell r="M72">
            <v>0</v>
          </cell>
          <cell r="N72">
            <v>20800</v>
          </cell>
        </row>
        <row r="73">
          <cell r="B73">
            <v>2</v>
          </cell>
          <cell r="D73">
            <v>0.1</v>
          </cell>
          <cell r="E73" t="str">
            <v>Oh</v>
          </cell>
          <cell r="F73" t="str">
            <v>Tukang</v>
          </cell>
          <cell r="G73" t="str">
            <v>Batu</v>
          </cell>
          <cell r="J73" t="str">
            <v>@</v>
          </cell>
          <cell r="K73">
            <v>80000</v>
          </cell>
          <cell r="L73">
            <v>8000</v>
          </cell>
          <cell r="M73">
            <v>0</v>
          </cell>
          <cell r="N73">
            <v>8000</v>
          </cell>
        </row>
        <row r="74">
          <cell r="B74">
            <v>3</v>
          </cell>
          <cell r="D74">
            <v>0.01</v>
          </cell>
          <cell r="E74" t="str">
            <v>Oh</v>
          </cell>
          <cell r="F74" t="str">
            <v>Kepala Tukang</v>
          </cell>
          <cell r="J74" t="str">
            <v>@</v>
          </cell>
          <cell r="K74">
            <v>90000</v>
          </cell>
          <cell r="L74">
            <v>900</v>
          </cell>
          <cell r="M74">
            <v>0</v>
          </cell>
          <cell r="N74">
            <v>900</v>
          </cell>
        </row>
        <row r="75">
          <cell r="B75">
            <v>4</v>
          </cell>
          <cell r="D75">
            <v>1.4999999999999999E-2</v>
          </cell>
          <cell r="E75" t="str">
            <v>Oh</v>
          </cell>
          <cell r="F75" t="str">
            <v>Mandor</v>
          </cell>
          <cell r="J75" t="str">
            <v>@</v>
          </cell>
          <cell r="K75">
            <v>80000</v>
          </cell>
          <cell r="L75">
            <v>1200</v>
          </cell>
          <cell r="M75">
            <v>0</v>
          </cell>
          <cell r="N75">
            <v>1200</v>
          </cell>
        </row>
        <row r="76">
          <cell r="D76" t="str">
            <v>Jumlah</v>
          </cell>
          <cell r="L76">
            <v>30900</v>
          </cell>
          <cell r="M76">
            <v>77333.75</v>
          </cell>
          <cell r="N76">
            <v>108233.75</v>
          </cell>
        </row>
        <row r="78">
          <cell r="A78">
            <v>9</v>
          </cell>
          <cell r="C78">
            <v>9</v>
          </cell>
          <cell r="D78" t="str">
            <v>1 M2</v>
          </cell>
          <cell r="E78" t="str">
            <v>Pasangan Dinding Bata Camp. 1 : 4 (SNI)</v>
          </cell>
          <cell r="P78" t="e">
            <v>#REF!</v>
          </cell>
        </row>
        <row r="79">
          <cell r="B79">
            <v>15</v>
          </cell>
          <cell r="D79">
            <v>70</v>
          </cell>
          <cell r="E79" t="str">
            <v>Bh</v>
          </cell>
          <cell r="F79" t="str">
            <v>Batu Bata</v>
          </cell>
          <cell r="J79" t="str">
            <v>@</v>
          </cell>
          <cell r="K79">
            <v>800</v>
          </cell>
          <cell r="L79">
            <v>0</v>
          </cell>
          <cell r="M79">
            <v>56000</v>
          </cell>
          <cell r="N79">
            <v>56000</v>
          </cell>
        </row>
        <row r="80">
          <cell r="B80">
            <v>17</v>
          </cell>
          <cell r="D80">
            <v>5.75</v>
          </cell>
          <cell r="E80" t="str">
            <v>Kg</v>
          </cell>
          <cell r="F80" t="str">
            <v>Semen Portland</v>
          </cell>
          <cell r="J80" t="str">
            <v>@</v>
          </cell>
          <cell r="K80">
            <v>1650</v>
          </cell>
          <cell r="L80">
            <v>0</v>
          </cell>
          <cell r="M80">
            <v>9487.5</v>
          </cell>
          <cell r="N80">
            <v>9487.5</v>
          </cell>
        </row>
        <row r="81">
          <cell r="B81">
            <v>11</v>
          </cell>
          <cell r="D81">
            <v>4.2999999999999997E-2</v>
          </cell>
          <cell r="E81" t="str">
            <v>M³</v>
          </cell>
          <cell r="F81" t="str">
            <v>Pasir Pasang</v>
          </cell>
          <cell r="J81" t="str">
            <v>@</v>
          </cell>
          <cell r="K81">
            <v>150000</v>
          </cell>
          <cell r="L81">
            <v>0</v>
          </cell>
          <cell r="M81">
            <v>6449.9999999999991</v>
          </cell>
          <cell r="N81">
            <v>6449.9999999999991</v>
          </cell>
        </row>
        <row r="82">
          <cell r="B82">
            <v>1</v>
          </cell>
          <cell r="D82">
            <v>0.32</v>
          </cell>
          <cell r="E82" t="str">
            <v>Oh</v>
          </cell>
          <cell r="F82" t="str">
            <v>Pekerja</v>
          </cell>
          <cell r="J82" t="str">
            <v>@</v>
          </cell>
          <cell r="K82">
            <v>65000</v>
          </cell>
          <cell r="L82">
            <v>20800</v>
          </cell>
          <cell r="M82">
            <v>0</v>
          </cell>
          <cell r="N82">
            <v>20800</v>
          </cell>
        </row>
        <row r="83">
          <cell r="B83">
            <v>2</v>
          </cell>
          <cell r="D83">
            <v>0.1</v>
          </cell>
          <cell r="E83" t="str">
            <v>Oh</v>
          </cell>
          <cell r="F83" t="str">
            <v>Tukang</v>
          </cell>
          <cell r="G83" t="str">
            <v>Batu</v>
          </cell>
          <cell r="J83" t="str">
            <v>@</v>
          </cell>
          <cell r="K83">
            <v>80000</v>
          </cell>
          <cell r="L83">
            <v>8000</v>
          </cell>
          <cell r="M83">
            <v>0</v>
          </cell>
          <cell r="N83">
            <v>8000</v>
          </cell>
        </row>
        <row r="84">
          <cell r="B84">
            <v>3</v>
          </cell>
          <cell r="D84">
            <v>0.01</v>
          </cell>
          <cell r="E84" t="str">
            <v>Oh</v>
          </cell>
          <cell r="F84" t="str">
            <v>Kepala Tukang</v>
          </cell>
          <cell r="J84" t="str">
            <v>@</v>
          </cell>
          <cell r="K84">
            <v>90000</v>
          </cell>
          <cell r="L84">
            <v>900</v>
          </cell>
          <cell r="M84">
            <v>0</v>
          </cell>
          <cell r="N84">
            <v>900</v>
          </cell>
        </row>
        <row r="85">
          <cell r="B85">
            <v>4</v>
          </cell>
          <cell r="D85">
            <v>1.4999999999999999E-2</v>
          </cell>
          <cell r="E85" t="str">
            <v>Oh</v>
          </cell>
          <cell r="F85" t="str">
            <v>Mandor</v>
          </cell>
          <cell r="J85" t="str">
            <v>@</v>
          </cell>
          <cell r="K85">
            <v>80000</v>
          </cell>
          <cell r="L85">
            <v>1200</v>
          </cell>
          <cell r="M85">
            <v>0</v>
          </cell>
          <cell r="N85">
            <v>1200</v>
          </cell>
        </row>
        <row r="86">
          <cell r="D86" t="str">
            <v>Jumlah</v>
          </cell>
          <cell r="L86">
            <v>30900</v>
          </cell>
          <cell r="M86">
            <v>71937.5</v>
          </cell>
          <cell r="N86">
            <v>102837.5</v>
          </cell>
        </row>
        <row r="88">
          <cell r="A88">
            <v>10</v>
          </cell>
          <cell r="C88">
            <v>10</v>
          </cell>
          <cell r="D88" t="str">
            <v>1 M2</v>
          </cell>
          <cell r="E88" t="str">
            <v>Pasangan Batu Batako Camp. 1:4</v>
          </cell>
          <cell r="P88" t="e">
            <v>#REF!</v>
          </cell>
        </row>
        <row r="89">
          <cell r="B89">
            <v>17</v>
          </cell>
          <cell r="D89">
            <v>9.68</v>
          </cell>
          <cell r="E89" t="str">
            <v>Kg</v>
          </cell>
          <cell r="F89" t="str">
            <v>Semen Portland</v>
          </cell>
          <cell r="J89" t="str">
            <v>@</v>
          </cell>
          <cell r="K89">
            <v>1650</v>
          </cell>
          <cell r="L89">
            <v>0</v>
          </cell>
          <cell r="M89">
            <v>15972</v>
          </cell>
          <cell r="N89">
            <v>15972</v>
          </cell>
        </row>
        <row r="90">
          <cell r="B90">
            <v>11</v>
          </cell>
          <cell r="D90">
            <v>4.2999999999999997E-2</v>
          </cell>
          <cell r="E90" t="str">
            <v>M³</v>
          </cell>
          <cell r="F90" t="str">
            <v>Pasir Pasang</v>
          </cell>
          <cell r="J90" t="str">
            <v>@</v>
          </cell>
          <cell r="K90">
            <v>150000</v>
          </cell>
          <cell r="L90">
            <v>0</v>
          </cell>
          <cell r="M90">
            <v>6449.9999999999991</v>
          </cell>
          <cell r="N90">
            <v>6449.9999999999991</v>
          </cell>
        </row>
        <row r="91">
          <cell r="B91">
            <v>16</v>
          </cell>
          <cell r="D91">
            <v>12.5</v>
          </cell>
          <cell r="E91" t="str">
            <v>Bh</v>
          </cell>
          <cell r="F91" t="str">
            <v>Batako (35 x 15 x 10)</v>
          </cell>
          <cell r="J91" t="str">
            <v>@</v>
          </cell>
          <cell r="K91">
            <v>4000</v>
          </cell>
          <cell r="L91">
            <v>0</v>
          </cell>
          <cell r="M91">
            <v>50000</v>
          </cell>
          <cell r="N91">
            <v>50000</v>
          </cell>
        </row>
        <row r="92">
          <cell r="B92">
            <v>1</v>
          </cell>
          <cell r="D92">
            <v>0.32</v>
          </cell>
          <cell r="E92" t="str">
            <v>Oh</v>
          </cell>
          <cell r="F92" t="str">
            <v>Pekerja</v>
          </cell>
          <cell r="J92" t="str">
            <v>@</v>
          </cell>
          <cell r="K92">
            <v>65000</v>
          </cell>
          <cell r="L92">
            <v>20800</v>
          </cell>
          <cell r="M92">
            <v>0</v>
          </cell>
          <cell r="N92">
            <v>20800</v>
          </cell>
        </row>
        <row r="93">
          <cell r="B93">
            <v>2</v>
          </cell>
          <cell r="D93">
            <v>0.1</v>
          </cell>
          <cell r="E93" t="str">
            <v>Oh</v>
          </cell>
          <cell r="F93" t="str">
            <v>Tukang</v>
          </cell>
          <cell r="G93" t="str">
            <v>Batu</v>
          </cell>
          <cell r="J93" t="str">
            <v>@</v>
          </cell>
          <cell r="K93">
            <v>80000</v>
          </cell>
          <cell r="L93">
            <v>8000</v>
          </cell>
          <cell r="M93">
            <v>0</v>
          </cell>
          <cell r="N93">
            <v>8000</v>
          </cell>
        </row>
        <row r="94">
          <cell r="B94">
            <v>3</v>
          </cell>
          <cell r="D94">
            <v>0.01</v>
          </cell>
          <cell r="E94" t="str">
            <v>Oh</v>
          </cell>
          <cell r="F94" t="str">
            <v>Kepala Tukang</v>
          </cell>
          <cell r="J94" t="str">
            <v>@</v>
          </cell>
          <cell r="K94">
            <v>90000</v>
          </cell>
          <cell r="L94">
            <v>900</v>
          </cell>
          <cell r="M94">
            <v>0</v>
          </cell>
          <cell r="N94">
            <v>900</v>
          </cell>
        </row>
        <row r="95">
          <cell r="B95">
            <v>4</v>
          </cell>
          <cell r="D95">
            <v>1.4999999999999999E-2</v>
          </cell>
          <cell r="E95" t="str">
            <v>Oh</v>
          </cell>
          <cell r="F95" t="str">
            <v>Mandor</v>
          </cell>
          <cell r="J95" t="str">
            <v>@</v>
          </cell>
          <cell r="K95">
            <v>80000</v>
          </cell>
          <cell r="L95">
            <v>1200</v>
          </cell>
          <cell r="M95">
            <v>0</v>
          </cell>
          <cell r="N95">
            <v>1200</v>
          </cell>
        </row>
        <row r="96">
          <cell r="D96" t="str">
            <v>Jumlah</v>
          </cell>
          <cell r="L96">
            <v>30900</v>
          </cell>
          <cell r="M96">
            <v>72422</v>
          </cell>
          <cell r="N96">
            <v>103322</v>
          </cell>
        </row>
        <row r="98">
          <cell r="A98">
            <v>11</v>
          </cell>
          <cell r="C98">
            <v>11</v>
          </cell>
          <cell r="D98" t="str">
            <v>1 M2</v>
          </cell>
          <cell r="E98" t="str">
            <v>Plesteran  Camp. 1 : 2 (SNI)</v>
          </cell>
          <cell r="P98" t="e">
            <v>#REF!</v>
          </cell>
        </row>
        <row r="99">
          <cell r="B99">
            <v>17</v>
          </cell>
          <cell r="D99">
            <v>13.95</v>
          </cell>
          <cell r="E99" t="str">
            <v>Kg</v>
          </cell>
          <cell r="F99" t="str">
            <v>Semen Portland</v>
          </cell>
          <cell r="J99" t="str">
            <v>@</v>
          </cell>
          <cell r="K99">
            <v>1650</v>
          </cell>
          <cell r="L99">
            <v>0</v>
          </cell>
          <cell r="M99">
            <v>23017.5</v>
          </cell>
          <cell r="N99">
            <v>23017.5</v>
          </cell>
        </row>
        <row r="100">
          <cell r="B100">
            <v>11</v>
          </cell>
          <cell r="D100">
            <v>2.7E-2</v>
          </cell>
          <cell r="E100" t="str">
            <v>M³</v>
          </cell>
          <cell r="F100" t="str">
            <v>Pasir Pasang</v>
          </cell>
          <cell r="J100" t="str">
            <v>@</v>
          </cell>
          <cell r="K100">
            <v>150000</v>
          </cell>
          <cell r="L100">
            <v>0</v>
          </cell>
          <cell r="M100">
            <v>4050</v>
          </cell>
          <cell r="N100">
            <v>4050</v>
          </cell>
        </row>
        <row r="101">
          <cell r="B101">
            <v>1</v>
          </cell>
          <cell r="D101">
            <v>0.26</v>
          </cell>
          <cell r="E101" t="str">
            <v>Oh</v>
          </cell>
          <cell r="F101" t="str">
            <v>Pekerja</v>
          </cell>
          <cell r="J101" t="str">
            <v>@</v>
          </cell>
          <cell r="K101">
            <v>65000</v>
          </cell>
          <cell r="L101">
            <v>16900</v>
          </cell>
          <cell r="M101">
            <v>0</v>
          </cell>
          <cell r="N101">
            <v>16900</v>
          </cell>
        </row>
        <row r="102">
          <cell r="B102">
            <v>2</v>
          </cell>
          <cell r="D102">
            <v>0.2</v>
          </cell>
          <cell r="E102" t="str">
            <v>Oh</v>
          </cell>
          <cell r="F102" t="str">
            <v>Tukang</v>
          </cell>
          <cell r="G102" t="str">
            <v>Batu</v>
          </cell>
          <cell r="J102" t="str">
            <v>@</v>
          </cell>
          <cell r="K102">
            <v>80000</v>
          </cell>
          <cell r="L102">
            <v>16000</v>
          </cell>
          <cell r="M102">
            <v>0</v>
          </cell>
          <cell r="N102">
            <v>16000</v>
          </cell>
        </row>
        <row r="103">
          <cell r="B103">
            <v>3</v>
          </cell>
          <cell r="D103">
            <v>0.02</v>
          </cell>
          <cell r="E103" t="str">
            <v>Oh</v>
          </cell>
          <cell r="F103" t="str">
            <v>Kepala Tukang</v>
          </cell>
          <cell r="J103" t="str">
            <v>@</v>
          </cell>
          <cell r="K103">
            <v>90000</v>
          </cell>
          <cell r="L103">
            <v>1800</v>
          </cell>
          <cell r="M103">
            <v>0</v>
          </cell>
          <cell r="N103">
            <v>1800</v>
          </cell>
        </row>
        <row r="104">
          <cell r="B104">
            <v>4</v>
          </cell>
          <cell r="D104">
            <v>1.2999999999999999E-2</v>
          </cell>
          <cell r="E104" t="str">
            <v>Oh</v>
          </cell>
          <cell r="F104" t="str">
            <v>Mandor</v>
          </cell>
          <cell r="J104" t="str">
            <v>@</v>
          </cell>
          <cell r="K104">
            <v>80000</v>
          </cell>
          <cell r="L104">
            <v>1040</v>
          </cell>
          <cell r="M104">
            <v>0</v>
          </cell>
          <cell r="N104">
            <v>1040</v>
          </cell>
        </row>
        <row r="105">
          <cell r="D105" t="str">
            <v>Jumlah</v>
          </cell>
          <cell r="L105">
            <v>35740</v>
          </cell>
          <cell r="M105">
            <v>27067.5</v>
          </cell>
          <cell r="N105">
            <v>62807.5</v>
          </cell>
        </row>
        <row r="107">
          <cell r="A107">
            <v>12</v>
          </cell>
          <cell r="C107">
            <v>12</v>
          </cell>
          <cell r="D107" t="str">
            <v>1 M2</v>
          </cell>
          <cell r="E107" t="str">
            <v>Plesteran  Camp. 1 : 4 (SNI)</v>
          </cell>
          <cell r="P107" t="e">
            <v>#REF!</v>
          </cell>
        </row>
        <row r="108">
          <cell r="B108">
            <v>17</v>
          </cell>
          <cell r="D108">
            <v>5.2</v>
          </cell>
          <cell r="E108" t="str">
            <v>Kg</v>
          </cell>
          <cell r="F108" t="str">
            <v>Semen Portland</v>
          </cell>
          <cell r="J108" t="str">
            <v>@</v>
          </cell>
          <cell r="K108">
            <v>1650</v>
          </cell>
          <cell r="L108">
            <v>0</v>
          </cell>
          <cell r="M108">
            <v>8580</v>
          </cell>
          <cell r="N108">
            <v>8580</v>
          </cell>
        </row>
        <row r="109">
          <cell r="B109">
            <v>11</v>
          </cell>
          <cell r="D109">
            <v>1.4999999999999999E-2</v>
          </cell>
          <cell r="E109" t="str">
            <v>M³</v>
          </cell>
          <cell r="F109" t="str">
            <v>Pasir Pasang</v>
          </cell>
          <cell r="J109" t="str">
            <v>@</v>
          </cell>
          <cell r="K109">
            <v>150000</v>
          </cell>
          <cell r="L109">
            <v>0</v>
          </cell>
          <cell r="M109">
            <v>2250</v>
          </cell>
          <cell r="N109">
            <v>2250</v>
          </cell>
        </row>
        <row r="110">
          <cell r="B110">
            <v>1</v>
          </cell>
          <cell r="D110">
            <v>0.25</v>
          </cell>
          <cell r="E110" t="str">
            <v>Oh</v>
          </cell>
          <cell r="F110" t="str">
            <v>Pekerja</v>
          </cell>
          <cell r="J110" t="str">
            <v>@</v>
          </cell>
          <cell r="K110">
            <v>65000</v>
          </cell>
          <cell r="L110">
            <v>16250</v>
          </cell>
          <cell r="M110">
            <v>0</v>
          </cell>
          <cell r="N110">
            <v>16250</v>
          </cell>
        </row>
        <row r="111">
          <cell r="B111">
            <v>2</v>
          </cell>
          <cell r="D111">
            <v>0.2</v>
          </cell>
          <cell r="E111" t="str">
            <v>Oh</v>
          </cell>
          <cell r="F111" t="str">
            <v>Tukang</v>
          </cell>
          <cell r="G111" t="str">
            <v>Batu</v>
          </cell>
          <cell r="J111" t="str">
            <v>@</v>
          </cell>
          <cell r="K111">
            <v>80000</v>
          </cell>
          <cell r="L111">
            <v>16000</v>
          </cell>
          <cell r="M111">
            <v>0</v>
          </cell>
          <cell r="N111">
            <v>16000</v>
          </cell>
        </row>
        <row r="112">
          <cell r="B112">
            <v>3</v>
          </cell>
          <cell r="D112">
            <v>0.02</v>
          </cell>
          <cell r="E112" t="str">
            <v>Oh</v>
          </cell>
          <cell r="F112" t="str">
            <v>Kepala Tukang</v>
          </cell>
          <cell r="J112" t="str">
            <v>@</v>
          </cell>
          <cell r="K112">
            <v>90000</v>
          </cell>
          <cell r="L112">
            <v>1800</v>
          </cell>
          <cell r="M112">
            <v>0</v>
          </cell>
          <cell r="N112">
            <v>1800</v>
          </cell>
        </row>
        <row r="113">
          <cell r="B113">
            <v>4</v>
          </cell>
          <cell r="D113">
            <v>1.2999999999999999E-2</v>
          </cell>
          <cell r="E113" t="str">
            <v>Oh</v>
          </cell>
          <cell r="F113" t="str">
            <v>Mandor</v>
          </cell>
          <cell r="J113" t="str">
            <v>@</v>
          </cell>
          <cell r="K113">
            <v>80000</v>
          </cell>
          <cell r="L113">
            <v>1040</v>
          </cell>
          <cell r="M113">
            <v>0</v>
          </cell>
          <cell r="N113">
            <v>1040</v>
          </cell>
        </row>
        <row r="114">
          <cell r="D114" t="str">
            <v>Jumlah</v>
          </cell>
          <cell r="L114">
            <v>35090</v>
          </cell>
          <cell r="M114">
            <v>10830</v>
          </cell>
          <cell r="N114">
            <v>45920</v>
          </cell>
        </row>
        <row r="116">
          <cell r="A116">
            <v>13</v>
          </cell>
          <cell r="C116">
            <v>13</v>
          </cell>
          <cell r="D116" t="str">
            <v>1 M2</v>
          </cell>
          <cell r="E116" t="str">
            <v>Acian Plesteran Dinding (SNI)</v>
          </cell>
          <cell r="P116" t="e">
            <v>#REF!</v>
          </cell>
        </row>
        <row r="117">
          <cell r="B117">
            <v>17</v>
          </cell>
          <cell r="D117">
            <v>0.5</v>
          </cell>
          <cell r="E117" t="str">
            <v>Kg</v>
          </cell>
          <cell r="F117" t="str">
            <v>Semen Portland</v>
          </cell>
          <cell r="J117" t="str">
            <v>@</v>
          </cell>
          <cell r="K117">
            <v>1650</v>
          </cell>
          <cell r="L117">
            <v>0</v>
          </cell>
          <cell r="M117">
            <v>825</v>
          </cell>
          <cell r="N117">
            <v>825</v>
          </cell>
        </row>
        <row r="118">
          <cell r="B118">
            <v>74</v>
          </cell>
          <cell r="D118">
            <v>0.7</v>
          </cell>
          <cell r="E118" t="str">
            <v>Kg</v>
          </cell>
          <cell r="F118" t="str">
            <v>Kapur Acian</v>
          </cell>
          <cell r="J118" t="str">
            <v>@</v>
          </cell>
          <cell r="K118">
            <v>2443</v>
          </cell>
          <cell r="L118">
            <v>0</v>
          </cell>
          <cell r="M118">
            <v>1710.1</v>
          </cell>
          <cell r="N118">
            <v>1710.1</v>
          </cell>
        </row>
        <row r="119">
          <cell r="B119">
            <v>1</v>
          </cell>
          <cell r="D119">
            <v>0.2</v>
          </cell>
          <cell r="E119" t="str">
            <v>Oh</v>
          </cell>
          <cell r="F119" t="str">
            <v>Pekerja</v>
          </cell>
          <cell r="J119" t="str">
            <v>@</v>
          </cell>
          <cell r="K119">
            <v>65000</v>
          </cell>
          <cell r="L119">
            <v>13000</v>
          </cell>
          <cell r="M119">
            <v>0</v>
          </cell>
          <cell r="N119">
            <v>13000</v>
          </cell>
        </row>
        <row r="120">
          <cell r="B120">
            <v>2</v>
          </cell>
          <cell r="D120">
            <v>0.15</v>
          </cell>
          <cell r="E120" t="str">
            <v>Oh</v>
          </cell>
          <cell r="F120" t="str">
            <v>Tukang</v>
          </cell>
          <cell r="J120" t="str">
            <v>@</v>
          </cell>
          <cell r="K120">
            <v>80000</v>
          </cell>
          <cell r="L120">
            <v>12000</v>
          </cell>
          <cell r="M120">
            <v>0</v>
          </cell>
          <cell r="N120">
            <v>12000</v>
          </cell>
        </row>
        <row r="121">
          <cell r="B121">
            <v>3</v>
          </cell>
          <cell r="D121">
            <v>1.4999999999999999E-2</v>
          </cell>
          <cell r="E121" t="str">
            <v>Oh</v>
          </cell>
          <cell r="F121" t="str">
            <v>Kepala Tukang</v>
          </cell>
          <cell r="J121" t="str">
            <v>@</v>
          </cell>
          <cell r="K121">
            <v>90000</v>
          </cell>
          <cell r="L121">
            <v>1350</v>
          </cell>
          <cell r="M121">
            <v>0</v>
          </cell>
          <cell r="N121">
            <v>1350</v>
          </cell>
        </row>
        <row r="122">
          <cell r="B122">
            <v>4</v>
          </cell>
          <cell r="D122">
            <v>0.01</v>
          </cell>
          <cell r="E122" t="str">
            <v>Oh</v>
          </cell>
          <cell r="F122" t="str">
            <v>Mandor</v>
          </cell>
          <cell r="J122" t="str">
            <v>@</v>
          </cell>
          <cell r="K122">
            <v>80000</v>
          </cell>
          <cell r="L122">
            <v>800</v>
          </cell>
          <cell r="M122">
            <v>0</v>
          </cell>
          <cell r="N122">
            <v>800</v>
          </cell>
        </row>
        <row r="123">
          <cell r="D123" t="str">
            <v>Jumlah</v>
          </cell>
          <cell r="L123">
            <v>27150</v>
          </cell>
          <cell r="M123">
            <v>2535.1</v>
          </cell>
          <cell r="N123">
            <v>29685.1</v>
          </cell>
        </row>
        <row r="125">
          <cell r="A125">
            <v>14</v>
          </cell>
          <cell r="C125">
            <v>14</v>
          </cell>
          <cell r="D125" t="str">
            <v>1 M2</v>
          </cell>
          <cell r="E125" t="str">
            <v>Acian Dengan Air Semen (SNI)</v>
          </cell>
          <cell r="P125" t="e">
            <v>#REF!</v>
          </cell>
        </row>
        <row r="126">
          <cell r="B126">
            <v>17</v>
          </cell>
          <cell r="D126">
            <v>3.25</v>
          </cell>
          <cell r="E126" t="str">
            <v>Kg</v>
          </cell>
          <cell r="F126" t="str">
            <v>Semen Portland</v>
          </cell>
          <cell r="J126" t="str">
            <v>@</v>
          </cell>
          <cell r="K126">
            <v>1650</v>
          </cell>
          <cell r="L126">
            <v>0</v>
          </cell>
          <cell r="M126">
            <v>5362.5</v>
          </cell>
          <cell r="N126">
            <v>5362.5</v>
          </cell>
        </row>
        <row r="127">
          <cell r="B127">
            <v>1</v>
          </cell>
          <cell r="D127">
            <v>0.2</v>
          </cell>
          <cell r="E127" t="str">
            <v>Oh</v>
          </cell>
          <cell r="F127" t="str">
            <v>Pekerja</v>
          </cell>
          <cell r="J127" t="str">
            <v>@</v>
          </cell>
          <cell r="K127">
            <v>65000</v>
          </cell>
          <cell r="L127">
            <v>13000</v>
          </cell>
          <cell r="M127">
            <v>0</v>
          </cell>
          <cell r="N127">
            <v>13000</v>
          </cell>
        </row>
        <row r="128">
          <cell r="B128">
            <v>2</v>
          </cell>
          <cell r="D128">
            <v>0.1</v>
          </cell>
          <cell r="E128" t="str">
            <v>Oh</v>
          </cell>
          <cell r="F128" t="str">
            <v>Tukang</v>
          </cell>
          <cell r="G128" t="str">
            <v>Batu</v>
          </cell>
          <cell r="J128" t="str">
            <v>@</v>
          </cell>
          <cell r="K128">
            <v>80000</v>
          </cell>
          <cell r="L128">
            <v>8000</v>
          </cell>
          <cell r="M128">
            <v>0</v>
          </cell>
          <cell r="N128">
            <v>8000</v>
          </cell>
        </row>
        <row r="129">
          <cell r="B129">
            <v>3</v>
          </cell>
          <cell r="D129">
            <v>2.5000000000000001E-2</v>
          </cell>
          <cell r="E129" t="str">
            <v>Oh</v>
          </cell>
          <cell r="F129" t="str">
            <v>Kepala Tukang</v>
          </cell>
          <cell r="J129" t="str">
            <v>@</v>
          </cell>
          <cell r="K129">
            <v>90000</v>
          </cell>
          <cell r="L129">
            <v>2250</v>
          </cell>
          <cell r="M129">
            <v>0</v>
          </cell>
          <cell r="N129">
            <v>2250</v>
          </cell>
        </row>
        <row r="130">
          <cell r="B130">
            <v>4</v>
          </cell>
          <cell r="D130">
            <v>0.01</v>
          </cell>
          <cell r="E130" t="str">
            <v>Oh</v>
          </cell>
          <cell r="F130" t="str">
            <v>Mandor</v>
          </cell>
          <cell r="J130" t="str">
            <v>@</v>
          </cell>
          <cell r="K130">
            <v>80000</v>
          </cell>
          <cell r="L130">
            <v>800</v>
          </cell>
          <cell r="M130">
            <v>0</v>
          </cell>
          <cell r="N130">
            <v>800</v>
          </cell>
        </row>
        <row r="131">
          <cell r="D131" t="str">
            <v>Jumlah</v>
          </cell>
          <cell r="L131">
            <v>24050</v>
          </cell>
          <cell r="M131">
            <v>5362.5</v>
          </cell>
          <cell r="N131">
            <v>29412.5</v>
          </cell>
        </row>
        <row r="133">
          <cell r="A133">
            <v>15</v>
          </cell>
          <cell r="C133">
            <v>15</v>
          </cell>
          <cell r="D133" t="str">
            <v>1 M3</v>
          </cell>
          <cell r="E133" t="str">
            <v>Beton Tumbuk Camp. 1Pc : 3Ps : 5 Kr</v>
          </cell>
          <cell r="P133" t="e">
            <v>#REF!</v>
          </cell>
        </row>
        <row r="134">
          <cell r="B134">
            <v>17</v>
          </cell>
          <cell r="D134">
            <v>175</v>
          </cell>
          <cell r="E134" t="str">
            <v>Kg</v>
          </cell>
          <cell r="F134" t="str">
            <v>Semen Portland</v>
          </cell>
          <cell r="J134" t="str">
            <v>@</v>
          </cell>
          <cell r="K134">
            <v>1650</v>
          </cell>
          <cell r="L134">
            <v>0</v>
          </cell>
          <cell r="M134">
            <v>288750</v>
          </cell>
          <cell r="N134">
            <v>288750</v>
          </cell>
        </row>
        <row r="135">
          <cell r="B135">
            <v>12</v>
          </cell>
          <cell r="D135">
            <v>0.52</v>
          </cell>
          <cell r="E135" t="str">
            <v>M³</v>
          </cell>
          <cell r="F135" t="str">
            <v>Pasir Beton</v>
          </cell>
          <cell r="J135" t="str">
            <v>@</v>
          </cell>
          <cell r="K135">
            <v>150000</v>
          </cell>
          <cell r="L135">
            <v>0</v>
          </cell>
          <cell r="M135">
            <v>78000</v>
          </cell>
          <cell r="N135">
            <v>78000</v>
          </cell>
        </row>
        <row r="136">
          <cell r="B136">
            <v>10</v>
          </cell>
          <cell r="D136">
            <v>0.87</v>
          </cell>
          <cell r="E136" t="str">
            <v>M³</v>
          </cell>
          <cell r="F136" t="str">
            <v>Kerikil</v>
          </cell>
          <cell r="J136" t="str">
            <v>@</v>
          </cell>
          <cell r="K136">
            <v>150000</v>
          </cell>
          <cell r="L136">
            <v>0</v>
          </cell>
          <cell r="M136">
            <v>130500</v>
          </cell>
          <cell r="N136">
            <v>130500</v>
          </cell>
        </row>
        <row r="137">
          <cell r="B137">
            <v>21</v>
          </cell>
          <cell r="D137">
            <v>0.04</v>
          </cell>
          <cell r="E137" t="str">
            <v>M³</v>
          </cell>
          <cell r="F137" t="str">
            <v>Kayu Klas III</v>
          </cell>
          <cell r="J137" t="str">
            <v>@</v>
          </cell>
          <cell r="K137">
            <v>1820000</v>
          </cell>
          <cell r="L137">
            <v>0</v>
          </cell>
          <cell r="M137">
            <v>72800</v>
          </cell>
          <cell r="N137">
            <v>72800</v>
          </cell>
        </row>
        <row r="138">
          <cell r="B138">
            <v>29</v>
          </cell>
          <cell r="D138">
            <v>0.3</v>
          </cell>
          <cell r="E138" t="str">
            <v>Kg</v>
          </cell>
          <cell r="F138" t="str">
            <v>Paku Biasa</v>
          </cell>
          <cell r="J138" t="str">
            <v>@</v>
          </cell>
          <cell r="K138">
            <v>25500</v>
          </cell>
          <cell r="L138">
            <v>0</v>
          </cell>
          <cell r="M138">
            <v>7650</v>
          </cell>
          <cell r="N138">
            <v>7650</v>
          </cell>
        </row>
        <row r="139">
          <cell r="B139">
            <v>1</v>
          </cell>
          <cell r="D139">
            <v>1.2</v>
          </cell>
          <cell r="E139" t="str">
            <v>Oh</v>
          </cell>
          <cell r="F139" t="str">
            <v>Pekerja</v>
          </cell>
          <cell r="J139" t="str">
            <v>@</v>
          </cell>
          <cell r="K139">
            <v>65000</v>
          </cell>
          <cell r="L139">
            <v>78000</v>
          </cell>
          <cell r="M139">
            <v>0</v>
          </cell>
          <cell r="N139">
            <v>78000</v>
          </cell>
        </row>
        <row r="140">
          <cell r="B140">
            <v>2</v>
          </cell>
          <cell r="D140">
            <v>0.51</v>
          </cell>
          <cell r="E140" t="str">
            <v>Oh</v>
          </cell>
          <cell r="F140" t="str">
            <v>Tukang</v>
          </cell>
          <cell r="G140" t="str">
            <v>Batu</v>
          </cell>
          <cell r="J140" t="str">
            <v>@</v>
          </cell>
          <cell r="K140">
            <v>80000</v>
          </cell>
          <cell r="L140">
            <v>40800</v>
          </cell>
          <cell r="M140">
            <v>0</v>
          </cell>
          <cell r="N140">
            <v>40800</v>
          </cell>
        </row>
        <row r="141">
          <cell r="B141">
            <v>3</v>
          </cell>
          <cell r="D141">
            <v>5.0999999999999997E-2</v>
          </cell>
          <cell r="E141" t="str">
            <v>Oh</v>
          </cell>
          <cell r="F141" t="str">
            <v>Kepala Tukang</v>
          </cell>
          <cell r="J141" t="str">
            <v>@</v>
          </cell>
          <cell r="K141">
            <v>90000</v>
          </cell>
          <cell r="L141">
            <v>4590</v>
          </cell>
          <cell r="M141">
            <v>0</v>
          </cell>
          <cell r="N141">
            <v>4590</v>
          </cell>
        </row>
        <row r="142">
          <cell r="B142">
            <v>4</v>
          </cell>
          <cell r="D142">
            <v>8.5000000000000006E-2</v>
          </cell>
          <cell r="E142" t="str">
            <v>Oh</v>
          </cell>
          <cell r="F142" t="str">
            <v>Mandor</v>
          </cell>
          <cell r="J142" t="str">
            <v>@</v>
          </cell>
          <cell r="K142">
            <v>80000</v>
          </cell>
          <cell r="L142">
            <v>6800.0000000000009</v>
          </cell>
          <cell r="M142">
            <v>0</v>
          </cell>
          <cell r="N142">
            <v>6800.0000000000009</v>
          </cell>
        </row>
        <row r="143">
          <cell r="D143" t="str">
            <v>Jumlah</v>
          </cell>
          <cell r="L143">
            <v>130190</v>
          </cell>
          <cell r="M143">
            <v>210950</v>
          </cell>
          <cell r="N143">
            <v>707890</v>
          </cell>
        </row>
        <row r="145">
          <cell r="A145">
            <v>16</v>
          </cell>
          <cell r="C145">
            <v>16</v>
          </cell>
          <cell r="D145" t="str">
            <v>1M3</v>
          </cell>
          <cell r="E145" t="str">
            <v>Struktur Beton Bertulang Camp. 1 : 2 : 3 (SNI)</v>
          </cell>
          <cell r="P145" t="e">
            <v>#REF!</v>
          </cell>
        </row>
        <row r="146">
          <cell r="B146">
            <v>10</v>
          </cell>
          <cell r="D146">
            <v>0.78</v>
          </cell>
          <cell r="E146" t="str">
            <v>M³</v>
          </cell>
          <cell r="F146" t="str">
            <v>Kerikil</v>
          </cell>
          <cell r="J146" t="str">
            <v>@</v>
          </cell>
          <cell r="K146">
            <v>150000</v>
          </cell>
          <cell r="L146">
            <v>0</v>
          </cell>
          <cell r="M146">
            <v>117000</v>
          </cell>
          <cell r="N146">
            <v>117000</v>
          </cell>
        </row>
        <row r="147">
          <cell r="B147">
            <v>11</v>
          </cell>
          <cell r="D147">
            <v>0.52</v>
          </cell>
          <cell r="E147" t="str">
            <v>M³</v>
          </cell>
          <cell r="F147" t="str">
            <v>Pasir Pasang</v>
          </cell>
          <cell r="J147" t="str">
            <v>@</v>
          </cell>
          <cell r="K147">
            <v>150000</v>
          </cell>
          <cell r="L147">
            <v>0</v>
          </cell>
          <cell r="M147">
            <v>78000</v>
          </cell>
          <cell r="N147">
            <v>78000</v>
          </cell>
        </row>
        <row r="148">
          <cell r="B148">
            <v>17</v>
          </cell>
          <cell r="D148">
            <v>232</v>
          </cell>
          <cell r="E148" t="str">
            <v>Kg</v>
          </cell>
          <cell r="F148" t="str">
            <v>Semen Portland</v>
          </cell>
          <cell r="J148" t="str">
            <v>@</v>
          </cell>
          <cell r="K148">
            <v>1650</v>
          </cell>
          <cell r="L148">
            <v>0</v>
          </cell>
          <cell r="M148">
            <v>382800</v>
          </cell>
          <cell r="N148">
            <v>382800</v>
          </cell>
        </row>
        <row r="149">
          <cell r="B149">
            <v>1</v>
          </cell>
          <cell r="D149">
            <v>1.65</v>
          </cell>
          <cell r="E149" t="str">
            <v>Oh</v>
          </cell>
          <cell r="F149" t="str">
            <v>Pekerja</v>
          </cell>
          <cell r="J149" t="str">
            <v>@</v>
          </cell>
          <cell r="K149">
            <v>65000</v>
          </cell>
          <cell r="L149">
            <v>107250</v>
          </cell>
          <cell r="M149">
            <v>0</v>
          </cell>
          <cell r="N149">
            <v>107250</v>
          </cell>
        </row>
        <row r="150">
          <cell r="B150">
            <v>2</v>
          </cell>
          <cell r="D150">
            <v>0.25</v>
          </cell>
          <cell r="E150" t="str">
            <v>Oh</v>
          </cell>
          <cell r="F150" t="str">
            <v>Tukang</v>
          </cell>
          <cell r="G150" t="str">
            <v>Batu</v>
          </cell>
          <cell r="J150" t="str">
            <v>@</v>
          </cell>
          <cell r="K150">
            <v>80000</v>
          </cell>
          <cell r="L150">
            <v>20000</v>
          </cell>
          <cell r="M150">
            <v>0</v>
          </cell>
          <cell r="N150">
            <v>20000</v>
          </cell>
        </row>
        <row r="151">
          <cell r="B151">
            <v>3</v>
          </cell>
          <cell r="D151">
            <v>2.5000000000000001E-2</v>
          </cell>
          <cell r="E151" t="str">
            <v>Oh</v>
          </cell>
          <cell r="F151" t="str">
            <v>Kepala Tukang</v>
          </cell>
          <cell r="J151" t="str">
            <v>@</v>
          </cell>
          <cell r="K151">
            <v>90000</v>
          </cell>
          <cell r="L151">
            <v>2250</v>
          </cell>
          <cell r="M151">
            <v>0</v>
          </cell>
          <cell r="N151">
            <v>2250</v>
          </cell>
        </row>
        <row r="152">
          <cell r="B152">
            <v>4</v>
          </cell>
          <cell r="D152">
            <v>0.08</v>
          </cell>
          <cell r="E152" t="str">
            <v>Oh</v>
          </cell>
          <cell r="F152" t="str">
            <v>Mandor</v>
          </cell>
          <cell r="J152" t="str">
            <v>@</v>
          </cell>
          <cell r="K152">
            <v>80000</v>
          </cell>
          <cell r="L152">
            <v>6400</v>
          </cell>
          <cell r="M152">
            <v>0</v>
          </cell>
          <cell r="N152">
            <v>6400</v>
          </cell>
        </row>
        <row r="153">
          <cell r="D153" t="str">
            <v>Jumlah</v>
          </cell>
          <cell r="L153">
            <v>135900</v>
          </cell>
          <cell r="M153">
            <v>577800</v>
          </cell>
          <cell r="N153">
            <v>713700</v>
          </cell>
        </row>
        <row r="155">
          <cell r="A155">
            <v>17</v>
          </cell>
          <cell r="C155">
            <v>17</v>
          </cell>
          <cell r="D155" t="str">
            <v>1 M2</v>
          </cell>
          <cell r="E155" t="str">
            <v>Bekisting Untuk Sloof (15 X 20)</v>
          </cell>
          <cell r="P155" t="e">
            <v>#REF!</v>
          </cell>
        </row>
        <row r="156">
          <cell r="B156">
            <v>21</v>
          </cell>
          <cell r="D156">
            <v>4.4999999999999998E-2</v>
          </cell>
          <cell r="E156" t="str">
            <v>M³</v>
          </cell>
          <cell r="F156" t="str">
            <v>Kayu Klas III</v>
          </cell>
          <cell r="J156" t="str">
            <v>@</v>
          </cell>
          <cell r="K156">
            <v>1820000</v>
          </cell>
          <cell r="L156">
            <v>0</v>
          </cell>
          <cell r="M156">
            <v>81900</v>
          </cell>
          <cell r="N156">
            <v>81900</v>
          </cell>
        </row>
        <row r="157">
          <cell r="B157">
            <v>29</v>
          </cell>
          <cell r="D157">
            <v>0.3</v>
          </cell>
          <cell r="E157" t="str">
            <v>Kg</v>
          </cell>
          <cell r="F157" t="str">
            <v>Paku Biasa</v>
          </cell>
          <cell r="J157" t="str">
            <v>@</v>
          </cell>
          <cell r="K157">
            <v>25500</v>
          </cell>
          <cell r="L157">
            <v>0</v>
          </cell>
          <cell r="M157">
            <v>7650</v>
          </cell>
          <cell r="N157">
            <v>7650</v>
          </cell>
        </row>
        <row r="158">
          <cell r="B158">
            <v>34</v>
          </cell>
          <cell r="D158">
            <v>0.1</v>
          </cell>
          <cell r="E158" t="str">
            <v>Ltr</v>
          </cell>
          <cell r="F158" t="str">
            <v>Minyak Bekisting</v>
          </cell>
          <cell r="J158" t="str">
            <v>@</v>
          </cell>
          <cell r="K158">
            <v>15000</v>
          </cell>
          <cell r="L158">
            <v>0</v>
          </cell>
          <cell r="M158">
            <v>1500</v>
          </cell>
          <cell r="N158">
            <v>1500</v>
          </cell>
        </row>
        <row r="159">
          <cell r="B159">
            <v>1</v>
          </cell>
          <cell r="D159">
            <v>0.3</v>
          </cell>
          <cell r="E159" t="str">
            <v>Oh</v>
          </cell>
          <cell r="F159" t="str">
            <v>Pekerja</v>
          </cell>
          <cell r="J159" t="str">
            <v>@</v>
          </cell>
          <cell r="K159">
            <v>65000</v>
          </cell>
          <cell r="L159">
            <v>19500</v>
          </cell>
          <cell r="M159">
            <v>0</v>
          </cell>
          <cell r="N159">
            <v>19500</v>
          </cell>
        </row>
        <row r="160">
          <cell r="B160">
            <v>2</v>
          </cell>
          <cell r="D160">
            <v>0.26</v>
          </cell>
          <cell r="E160" t="str">
            <v>Oh</v>
          </cell>
          <cell r="F160" t="str">
            <v>Tukang</v>
          </cell>
          <cell r="G160" t="str">
            <v>Batu</v>
          </cell>
          <cell r="J160" t="str">
            <v>@</v>
          </cell>
          <cell r="K160">
            <v>80000</v>
          </cell>
          <cell r="L160">
            <v>20800</v>
          </cell>
          <cell r="M160">
            <v>0</v>
          </cell>
          <cell r="N160">
            <v>20800</v>
          </cell>
        </row>
        <row r="161">
          <cell r="B161">
            <v>3</v>
          </cell>
          <cell r="D161">
            <v>2.5999999999999999E-2</v>
          </cell>
          <cell r="E161" t="str">
            <v>Oh</v>
          </cell>
          <cell r="F161" t="str">
            <v>Kepala Tukang</v>
          </cell>
          <cell r="J161" t="str">
            <v>@</v>
          </cell>
          <cell r="K161">
            <v>90000</v>
          </cell>
          <cell r="L161">
            <v>2340</v>
          </cell>
          <cell r="M161">
            <v>0</v>
          </cell>
          <cell r="N161">
            <v>2340</v>
          </cell>
        </row>
        <row r="162">
          <cell r="B162">
            <v>4</v>
          </cell>
          <cell r="D162">
            <v>5.0000000000000001E-3</v>
          </cell>
          <cell r="E162" t="str">
            <v>Oh</v>
          </cell>
          <cell r="F162" t="str">
            <v>Mandor</v>
          </cell>
          <cell r="J162" t="str">
            <v>@</v>
          </cell>
          <cell r="K162">
            <v>80000</v>
          </cell>
          <cell r="L162">
            <v>400</v>
          </cell>
          <cell r="M162">
            <v>0</v>
          </cell>
          <cell r="N162">
            <v>400</v>
          </cell>
        </row>
        <row r="163">
          <cell r="D163" t="str">
            <v>Jumlah</v>
          </cell>
          <cell r="L163">
            <v>43040</v>
          </cell>
          <cell r="M163">
            <v>91050</v>
          </cell>
          <cell r="N163">
            <v>134090</v>
          </cell>
        </row>
        <row r="165">
          <cell r="A165">
            <v>18</v>
          </cell>
          <cell r="C165">
            <v>18</v>
          </cell>
          <cell r="D165" t="str">
            <v>1 M2</v>
          </cell>
          <cell r="E165" t="str">
            <v>Bekisting Untuk Kolom</v>
          </cell>
          <cell r="P165" t="e">
            <v>#REF!</v>
          </cell>
        </row>
        <row r="166">
          <cell r="B166">
            <v>21</v>
          </cell>
          <cell r="D166">
            <v>0.04</v>
          </cell>
          <cell r="E166" t="str">
            <v>M³</v>
          </cell>
          <cell r="F166" t="str">
            <v>Kayu Klas III</v>
          </cell>
          <cell r="J166" t="str">
            <v>@</v>
          </cell>
          <cell r="K166">
            <v>1820000</v>
          </cell>
          <cell r="L166">
            <v>0</v>
          </cell>
          <cell r="M166">
            <v>72800</v>
          </cell>
          <cell r="N166">
            <v>72800</v>
          </cell>
        </row>
        <row r="167">
          <cell r="B167">
            <v>29</v>
          </cell>
          <cell r="D167">
            <v>0.4</v>
          </cell>
          <cell r="E167" t="str">
            <v>Kg</v>
          </cell>
          <cell r="F167" t="str">
            <v>Paku Biasa</v>
          </cell>
          <cell r="J167" t="str">
            <v>@</v>
          </cell>
          <cell r="K167">
            <v>25500</v>
          </cell>
          <cell r="L167">
            <v>0</v>
          </cell>
          <cell r="M167">
            <v>10200</v>
          </cell>
          <cell r="N167">
            <v>10200</v>
          </cell>
        </row>
        <row r="168">
          <cell r="B168">
            <v>34</v>
          </cell>
          <cell r="D168">
            <v>0.1</v>
          </cell>
          <cell r="E168" t="str">
            <v>Ltr</v>
          </cell>
          <cell r="F168" t="str">
            <v>Minyak Bekisting</v>
          </cell>
          <cell r="J168" t="str">
            <v>@</v>
          </cell>
          <cell r="K168">
            <v>15000</v>
          </cell>
          <cell r="L168">
            <v>0</v>
          </cell>
          <cell r="M168">
            <v>1500</v>
          </cell>
          <cell r="N168">
            <v>1500</v>
          </cell>
        </row>
        <row r="169">
          <cell r="B169">
            <v>20</v>
          </cell>
          <cell r="D169">
            <v>1.4999999999999999E-2</v>
          </cell>
          <cell r="E169" t="str">
            <v>M³</v>
          </cell>
          <cell r="F169" t="str">
            <v>Kayu Klas II</v>
          </cell>
          <cell r="J169" t="str">
            <v>@</v>
          </cell>
          <cell r="K169">
            <v>2175000</v>
          </cell>
          <cell r="L169">
            <v>0</v>
          </cell>
          <cell r="M169">
            <v>32625</v>
          </cell>
          <cell r="N169">
            <v>32625</v>
          </cell>
        </row>
        <row r="170">
          <cell r="B170">
            <v>27</v>
          </cell>
          <cell r="D170">
            <v>0.35</v>
          </cell>
          <cell r="E170" t="str">
            <v>Lbr</v>
          </cell>
          <cell r="F170" t="str">
            <v>Plywood</v>
          </cell>
          <cell r="J170" t="str">
            <v>@</v>
          </cell>
          <cell r="K170">
            <v>145900</v>
          </cell>
          <cell r="L170">
            <v>0</v>
          </cell>
          <cell r="M170">
            <v>51065</v>
          </cell>
          <cell r="N170">
            <v>51065</v>
          </cell>
        </row>
        <row r="171">
          <cell r="B171">
            <v>23</v>
          </cell>
          <cell r="D171">
            <v>2</v>
          </cell>
          <cell r="E171" t="str">
            <v>Btng</v>
          </cell>
          <cell r="F171" t="str">
            <v>Kayu Dolken</v>
          </cell>
          <cell r="J171" t="str">
            <v>@</v>
          </cell>
          <cell r="K171">
            <v>5000</v>
          </cell>
          <cell r="L171">
            <v>0</v>
          </cell>
          <cell r="M171">
            <v>10000</v>
          </cell>
          <cell r="N171">
            <v>10000</v>
          </cell>
        </row>
        <row r="172">
          <cell r="B172">
            <v>1</v>
          </cell>
          <cell r="D172">
            <v>0.3</v>
          </cell>
          <cell r="E172" t="str">
            <v>Oh</v>
          </cell>
          <cell r="F172" t="str">
            <v>Pekerja</v>
          </cell>
          <cell r="J172" t="str">
            <v>@</v>
          </cell>
          <cell r="K172">
            <v>65000</v>
          </cell>
          <cell r="L172">
            <v>19500</v>
          </cell>
          <cell r="M172">
            <v>0</v>
          </cell>
          <cell r="N172">
            <v>19500</v>
          </cell>
        </row>
        <row r="173">
          <cell r="B173">
            <v>2</v>
          </cell>
          <cell r="D173">
            <v>0.33</v>
          </cell>
          <cell r="E173" t="str">
            <v>Oh</v>
          </cell>
          <cell r="F173" t="str">
            <v>Tukang</v>
          </cell>
          <cell r="J173" t="str">
            <v>@</v>
          </cell>
          <cell r="K173">
            <v>80000</v>
          </cell>
          <cell r="L173">
            <v>26400</v>
          </cell>
          <cell r="M173">
            <v>0</v>
          </cell>
          <cell r="N173">
            <v>26400</v>
          </cell>
        </row>
        <row r="174">
          <cell r="B174">
            <v>3</v>
          </cell>
          <cell r="D174">
            <v>3.3000000000000002E-2</v>
          </cell>
          <cell r="E174" t="str">
            <v>Oh</v>
          </cell>
          <cell r="F174" t="str">
            <v>Kepala Tukang</v>
          </cell>
          <cell r="J174" t="str">
            <v>@</v>
          </cell>
          <cell r="K174">
            <v>90000</v>
          </cell>
          <cell r="L174">
            <v>2970</v>
          </cell>
          <cell r="M174">
            <v>0</v>
          </cell>
          <cell r="N174">
            <v>2970</v>
          </cell>
        </row>
        <row r="175">
          <cell r="B175">
            <v>4</v>
          </cell>
          <cell r="D175">
            <v>6.0000000000000001E-3</v>
          </cell>
          <cell r="E175" t="str">
            <v>Oh</v>
          </cell>
          <cell r="F175" t="str">
            <v>Mandor</v>
          </cell>
          <cell r="J175" t="str">
            <v>@</v>
          </cell>
          <cell r="K175">
            <v>80000</v>
          </cell>
          <cell r="L175">
            <v>480</v>
          </cell>
          <cell r="M175">
            <v>0</v>
          </cell>
          <cell r="N175">
            <v>480</v>
          </cell>
        </row>
        <row r="176">
          <cell r="D176" t="str">
            <v>Jumlah</v>
          </cell>
          <cell r="L176">
            <v>49350</v>
          </cell>
          <cell r="M176">
            <v>93690</v>
          </cell>
          <cell r="N176">
            <v>227540</v>
          </cell>
        </row>
        <row r="178">
          <cell r="A178">
            <v>19</v>
          </cell>
          <cell r="C178">
            <v>19</v>
          </cell>
          <cell r="D178" t="str">
            <v>1 M2</v>
          </cell>
          <cell r="E178" t="str">
            <v>Bekisting Untuk Balok</v>
          </cell>
          <cell r="P178" t="e">
            <v>#REF!</v>
          </cell>
        </row>
        <row r="179">
          <cell r="B179">
            <v>21</v>
          </cell>
          <cell r="D179">
            <v>0.04</v>
          </cell>
          <cell r="E179" t="str">
            <v>M³</v>
          </cell>
          <cell r="F179" t="str">
            <v>Kayu Klas III</v>
          </cell>
          <cell r="J179" t="str">
            <v>@</v>
          </cell>
          <cell r="K179">
            <v>1820000</v>
          </cell>
          <cell r="L179">
            <v>0</v>
          </cell>
          <cell r="M179">
            <v>72800</v>
          </cell>
          <cell r="N179">
            <v>72800</v>
          </cell>
        </row>
        <row r="180">
          <cell r="B180">
            <v>29</v>
          </cell>
          <cell r="D180">
            <v>0.4</v>
          </cell>
          <cell r="E180" t="str">
            <v>Kg</v>
          </cell>
          <cell r="F180" t="str">
            <v>Paku Biasa</v>
          </cell>
          <cell r="J180" t="str">
            <v>@</v>
          </cell>
          <cell r="K180">
            <v>25500</v>
          </cell>
          <cell r="L180">
            <v>0</v>
          </cell>
          <cell r="M180">
            <v>10200</v>
          </cell>
          <cell r="N180">
            <v>10200</v>
          </cell>
        </row>
        <row r="181">
          <cell r="B181">
            <v>34</v>
          </cell>
          <cell r="D181">
            <v>0.2</v>
          </cell>
          <cell r="E181" t="str">
            <v>Ltr</v>
          </cell>
          <cell r="F181" t="str">
            <v>Minyak Bekisting</v>
          </cell>
          <cell r="J181" t="str">
            <v>@</v>
          </cell>
          <cell r="K181">
            <v>15000</v>
          </cell>
          <cell r="L181">
            <v>0</v>
          </cell>
          <cell r="M181">
            <v>3000</v>
          </cell>
          <cell r="N181">
            <v>3000</v>
          </cell>
        </row>
        <row r="182">
          <cell r="B182">
            <v>20</v>
          </cell>
          <cell r="D182">
            <v>1.7999999999999999E-2</v>
          </cell>
          <cell r="E182" t="str">
            <v>M³</v>
          </cell>
          <cell r="F182" t="str">
            <v>Kayu Klas II</v>
          </cell>
          <cell r="J182" t="str">
            <v>@</v>
          </cell>
          <cell r="K182">
            <v>2175000</v>
          </cell>
          <cell r="L182">
            <v>0</v>
          </cell>
          <cell r="M182">
            <v>39150</v>
          </cell>
          <cell r="N182">
            <v>39150</v>
          </cell>
        </row>
        <row r="183">
          <cell r="B183">
            <v>27</v>
          </cell>
          <cell r="D183">
            <v>0.35</v>
          </cell>
          <cell r="E183" t="str">
            <v>Lbr</v>
          </cell>
          <cell r="F183" t="str">
            <v>Plywood</v>
          </cell>
          <cell r="J183" t="str">
            <v>@</v>
          </cell>
          <cell r="K183">
            <v>145900</v>
          </cell>
          <cell r="L183">
            <v>0</v>
          </cell>
          <cell r="M183">
            <v>51065</v>
          </cell>
          <cell r="N183">
            <v>51065</v>
          </cell>
        </row>
        <row r="184">
          <cell r="B184">
            <v>23</v>
          </cell>
          <cell r="D184">
            <v>2</v>
          </cell>
          <cell r="E184" t="str">
            <v>Btng</v>
          </cell>
          <cell r="F184" t="str">
            <v>Kayu Dolken</v>
          </cell>
          <cell r="J184" t="str">
            <v>@</v>
          </cell>
          <cell r="K184">
            <v>5000</v>
          </cell>
          <cell r="L184">
            <v>0</v>
          </cell>
          <cell r="M184">
            <v>10000</v>
          </cell>
          <cell r="N184">
            <v>10000</v>
          </cell>
        </row>
        <row r="185">
          <cell r="B185">
            <v>1</v>
          </cell>
          <cell r="D185">
            <v>0.32</v>
          </cell>
          <cell r="E185" t="str">
            <v>Oh</v>
          </cell>
          <cell r="F185" t="str">
            <v>Pekerja</v>
          </cell>
          <cell r="J185" t="str">
            <v>@</v>
          </cell>
          <cell r="K185">
            <v>65000</v>
          </cell>
          <cell r="L185">
            <v>20800</v>
          </cell>
          <cell r="M185">
            <v>0</v>
          </cell>
          <cell r="N185">
            <v>20800</v>
          </cell>
        </row>
        <row r="186">
          <cell r="B186">
            <v>2</v>
          </cell>
          <cell r="D186">
            <v>0.33</v>
          </cell>
          <cell r="E186" t="str">
            <v>Oh</v>
          </cell>
          <cell r="F186" t="str">
            <v>Tukang</v>
          </cell>
          <cell r="J186" t="str">
            <v>@</v>
          </cell>
          <cell r="K186">
            <v>80000</v>
          </cell>
          <cell r="L186">
            <v>26400</v>
          </cell>
          <cell r="M186">
            <v>0</v>
          </cell>
          <cell r="N186">
            <v>26400</v>
          </cell>
        </row>
        <row r="187">
          <cell r="B187">
            <v>3</v>
          </cell>
          <cell r="D187">
            <v>3.3000000000000002E-2</v>
          </cell>
          <cell r="E187" t="str">
            <v>Oh</v>
          </cell>
          <cell r="F187" t="str">
            <v>Kepala Tukang</v>
          </cell>
          <cell r="J187" t="str">
            <v>@</v>
          </cell>
          <cell r="K187">
            <v>90000</v>
          </cell>
          <cell r="L187">
            <v>2970</v>
          </cell>
          <cell r="M187">
            <v>0</v>
          </cell>
          <cell r="N187">
            <v>2970</v>
          </cell>
        </row>
        <row r="188">
          <cell r="B188">
            <v>4</v>
          </cell>
          <cell r="D188">
            <v>6.0000000000000001E-3</v>
          </cell>
          <cell r="E188" t="str">
            <v>Oh</v>
          </cell>
          <cell r="F188" t="str">
            <v>Mandor</v>
          </cell>
          <cell r="J188" t="str">
            <v>@</v>
          </cell>
          <cell r="K188">
            <v>80000</v>
          </cell>
          <cell r="L188">
            <v>480</v>
          </cell>
          <cell r="M188">
            <v>0</v>
          </cell>
          <cell r="N188">
            <v>480</v>
          </cell>
        </row>
        <row r="189">
          <cell r="D189" t="str">
            <v>Jumlah</v>
          </cell>
          <cell r="L189">
            <v>50650</v>
          </cell>
          <cell r="M189">
            <v>100215</v>
          </cell>
          <cell r="N189">
            <v>236865</v>
          </cell>
        </row>
        <row r="191">
          <cell r="A191">
            <v>20</v>
          </cell>
          <cell r="C191">
            <v>20</v>
          </cell>
          <cell r="D191" t="str">
            <v>1 Kg</v>
          </cell>
          <cell r="E191" t="str">
            <v>Pembesian Dengan Besi Polos</v>
          </cell>
          <cell r="P191" t="e">
            <v>#REF!</v>
          </cell>
        </row>
        <row r="192">
          <cell r="B192">
            <v>42</v>
          </cell>
          <cell r="D192">
            <v>1.05</v>
          </cell>
          <cell r="E192" t="str">
            <v>Kg</v>
          </cell>
          <cell r="F192" t="str">
            <v>Besi Beton (Polos)</v>
          </cell>
          <cell r="J192" t="str">
            <v>@</v>
          </cell>
          <cell r="K192">
            <v>7400</v>
          </cell>
          <cell r="L192">
            <v>0</v>
          </cell>
          <cell r="M192">
            <v>7770</v>
          </cell>
          <cell r="N192">
            <v>7770</v>
          </cell>
        </row>
        <row r="193">
          <cell r="B193">
            <v>44</v>
          </cell>
          <cell r="D193">
            <v>1.4999999999999999E-2</v>
          </cell>
          <cell r="E193" t="str">
            <v>Kg</v>
          </cell>
          <cell r="F193" t="str">
            <v>Kawat Beton(Bendrat)</v>
          </cell>
          <cell r="J193" t="str">
            <v>@</v>
          </cell>
          <cell r="K193">
            <v>28500</v>
          </cell>
          <cell r="L193">
            <v>0</v>
          </cell>
          <cell r="M193">
            <v>427.5</v>
          </cell>
          <cell r="N193">
            <v>427.5</v>
          </cell>
        </row>
        <row r="194">
          <cell r="B194">
            <v>1</v>
          </cell>
          <cell r="D194">
            <v>7.0000000000000001E-3</v>
          </cell>
          <cell r="E194" t="str">
            <v>Oh</v>
          </cell>
          <cell r="F194" t="str">
            <v>Pekerja</v>
          </cell>
          <cell r="J194" t="str">
            <v>@</v>
          </cell>
          <cell r="K194">
            <v>65000</v>
          </cell>
          <cell r="L194">
            <v>455</v>
          </cell>
          <cell r="M194">
            <v>0</v>
          </cell>
          <cell r="N194">
            <v>455</v>
          </cell>
        </row>
        <row r="195">
          <cell r="B195">
            <v>2</v>
          </cell>
          <cell r="D195">
            <v>7.0000000000000001E-3</v>
          </cell>
          <cell r="E195" t="str">
            <v>Oh</v>
          </cell>
          <cell r="F195" t="str">
            <v>Tukang</v>
          </cell>
          <cell r="J195" t="str">
            <v>@</v>
          </cell>
          <cell r="K195">
            <v>80000</v>
          </cell>
          <cell r="L195">
            <v>560</v>
          </cell>
          <cell r="M195">
            <v>0</v>
          </cell>
          <cell r="N195">
            <v>560</v>
          </cell>
        </row>
        <row r="196">
          <cell r="B196">
            <v>3</v>
          </cell>
          <cell r="D196">
            <v>7.0000000000000001E-3</v>
          </cell>
          <cell r="E196" t="str">
            <v>Oh</v>
          </cell>
          <cell r="F196" t="str">
            <v>Kepala Tukang</v>
          </cell>
          <cell r="J196" t="str">
            <v>@</v>
          </cell>
          <cell r="K196">
            <v>90000</v>
          </cell>
          <cell r="L196">
            <v>630</v>
          </cell>
          <cell r="M196">
            <v>0</v>
          </cell>
          <cell r="N196">
            <v>630</v>
          </cell>
        </row>
        <row r="197">
          <cell r="B197">
            <v>4</v>
          </cell>
          <cell r="D197">
            <v>2.9999999999999997E-4</v>
          </cell>
          <cell r="E197" t="str">
            <v>Oh</v>
          </cell>
          <cell r="F197" t="str">
            <v>Mandor</v>
          </cell>
          <cell r="J197" t="str">
            <v>@</v>
          </cell>
          <cell r="K197">
            <v>80000</v>
          </cell>
          <cell r="L197">
            <v>23.999999999999996</v>
          </cell>
          <cell r="M197">
            <v>0</v>
          </cell>
          <cell r="N197">
            <v>23.999999999999996</v>
          </cell>
        </row>
        <row r="198">
          <cell r="D198" t="str">
            <v>Jumlah</v>
          </cell>
          <cell r="L198">
            <v>1669</v>
          </cell>
          <cell r="M198">
            <v>8197.5</v>
          </cell>
          <cell r="N198">
            <v>9866.5</v>
          </cell>
        </row>
        <row r="200">
          <cell r="A200">
            <v>21</v>
          </cell>
          <cell r="C200">
            <v>21</v>
          </cell>
          <cell r="D200" t="str">
            <v>1M3</v>
          </cell>
          <cell r="E200" t="str">
            <v>Upah Menyiram/Bongkar Bekisting Beton</v>
          </cell>
          <cell r="P200" t="e">
            <v>#REF!</v>
          </cell>
        </row>
        <row r="201">
          <cell r="B201">
            <v>1</v>
          </cell>
          <cell r="D201">
            <v>2</v>
          </cell>
          <cell r="E201" t="str">
            <v>Oh</v>
          </cell>
          <cell r="F201" t="str">
            <v>Pekerja</v>
          </cell>
          <cell r="J201" t="str">
            <v>@</v>
          </cell>
          <cell r="K201">
            <v>65000</v>
          </cell>
          <cell r="L201">
            <v>130000</v>
          </cell>
          <cell r="M201">
            <v>0</v>
          </cell>
          <cell r="N201">
            <v>130000</v>
          </cell>
        </row>
        <row r="202">
          <cell r="D202" t="str">
            <v>Jumlah</v>
          </cell>
          <cell r="L202">
            <v>131669</v>
          </cell>
          <cell r="M202">
            <v>8197.5</v>
          </cell>
          <cell r="N202">
            <v>130000</v>
          </cell>
        </row>
        <row r="204">
          <cell r="A204">
            <v>22</v>
          </cell>
          <cell r="C204">
            <v>22</v>
          </cell>
          <cell r="D204" t="str">
            <v>1M3</v>
          </cell>
          <cell r="E204" t="str">
            <v>Pekerjaan Membuat Sloof Beton Bertulang</v>
          </cell>
          <cell r="P204">
            <v>1447105</v>
          </cell>
        </row>
        <row r="205">
          <cell r="B205">
            <v>16</v>
          </cell>
          <cell r="D205">
            <v>1</v>
          </cell>
          <cell r="E205" t="str">
            <v>Struktur Beton Bertulang Camp. 1 : 2 : 3 (SNI)</v>
          </cell>
          <cell r="J205" t="str">
            <v>@</v>
          </cell>
          <cell r="K205">
            <v>713700</v>
          </cell>
          <cell r="N205">
            <v>713700</v>
          </cell>
        </row>
        <row r="206">
          <cell r="B206">
            <v>17</v>
          </cell>
          <cell r="D206">
            <v>4.5</v>
          </cell>
          <cell r="E206" t="str">
            <v>Bekisting Untuk Sloof (15 X 20)</v>
          </cell>
          <cell r="J206" t="str">
            <v>@</v>
          </cell>
          <cell r="K206">
            <v>134090</v>
          </cell>
          <cell r="N206">
            <v>603405</v>
          </cell>
        </row>
        <row r="207">
          <cell r="B207">
            <v>21</v>
          </cell>
          <cell r="D207">
            <v>1</v>
          </cell>
          <cell r="E207" t="str">
            <v>Upah Menyiram/Bongkar Bekisting Beton</v>
          </cell>
          <cell r="J207" t="str">
            <v>@</v>
          </cell>
          <cell r="K207">
            <v>130000</v>
          </cell>
          <cell r="N207">
            <v>130000</v>
          </cell>
        </row>
        <row r="208">
          <cell r="E208" t="str">
            <v/>
          </cell>
          <cell r="F208" t="str">
            <v/>
          </cell>
          <cell r="N208">
            <v>1447105</v>
          </cell>
        </row>
        <row r="209">
          <cell r="A209">
            <v>23</v>
          </cell>
          <cell r="C209">
            <v>23</v>
          </cell>
          <cell r="D209" t="str">
            <v>1M3</v>
          </cell>
          <cell r="E209" t="str">
            <v>Pekerjaan Membuat Kolom Beton Bertulang</v>
          </cell>
          <cell r="P209">
            <v>1867630</v>
          </cell>
        </row>
        <row r="210">
          <cell r="B210">
            <v>16</v>
          </cell>
          <cell r="D210">
            <v>1</v>
          </cell>
          <cell r="E210" t="str">
            <v>Struktur Beton Bertulang Camp. 1 : 2 : 3 (SNI)</v>
          </cell>
          <cell r="J210" t="str">
            <v>@</v>
          </cell>
          <cell r="K210">
            <v>713700</v>
          </cell>
          <cell r="N210">
            <v>713700</v>
          </cell>
        </row>
        <row r="211">
          <cell r="B211">
            <v>18</v>
          </cell>
          <cell r="D211">
            <v>4.5</v>
          </cell>
          <cell r="E211" t="str">
            <v>Bekisting Untuk Kolom</v>
          </cell>
          <cell r="J211" t="str">
            <v>@</v>
          </cell>
          <cell r="K211">
            <v>227540</v>
          </cell>
          <cell r="N211">
            <v>1023930</v>
          </cell>
        </row>
        <row r="212">
          <cell r="B212">
            <v>21</v>
          </cell>
          <cell r="D212">
            <v>1</v>
          </cell>
          <cell r="E212" t="str">
            <v>Upah Menyiram/Bongkar Bekisting Beton</v>
          </cell>
          <cell r="J212" t="str">
            <v>@</v>
          </cell>
          <cell r="K212">
            <v>130000</v>
          </cell>
          <cell r="N212">
            <v>130000</v>
          </cell>
        </row>
        <row r="213">
          <cell r="E213" t="str">
            <v/>
          </cell>
          <cell r="F213" t="str">
            <v/>
          </cell>
          <cell r="N213">
            <v>1867630</v>
          </cell>
        </row>
        <row r="214">
          <cell r="E214" t="str">
            <v/>
          </cell>
          <cell r="F214" t="str">
            <v/>
          </cell>
        </row>
        <row r="215">
          <cell r="A215">
            <v>24</v>
          </cell>
          <cell r="C215">
            <v>24</v>
          </cell>
          <cell r="D215" t="str">
            <v>1M3</v>
          </cell>
          <cell r="E215" t="str">
            <v>Pekerjaan Membuat Balok Beton Bertulang</v>
          </cell>
          <cell r="P215">
            <v>2383322.5</v>
          </cell>
        </row>
        <row r="216">
          <cell r="B216">
            <v>16</v>
          </cell>
          <cell r="D216">
            <v>1</v>
          </cell>
          <cell r="E216" t="str">
            <v>Struktur Beton Bertulang Camp. 1 : 2 : 3 (SNI)</v>
          </cell>
          <cell r="J216" t="str">
            <v>@</v>
          </cell>
          <cell r="K216">
            <v>713700</v>
          </cell>
          <cell r="N216">
            <v>713700</v>
          </cell>
        </row>
        <row r="217">
          <cell r="B217">
            <v>19</v>
          </cell>
          <cell r="D217">
            <v>6.5</v>
          </cell>
          <cell r="E217" t="str">
            <v>Bekisting Untuk Balok</v>
          </cell>
          <cell r="J217" t="str">
            <v>@</v>
          </cell>
          <cell r="K217">
            <v>236865</v>
          </cell>
          <cell r="N217">
            <v>1539622.5</v>
          </cell>
        </row>
        <row r="218">
          <cell r="B218">
            <v>21</v>
          </cell>
          <cell r="D218">
            <v>1</v>
          </cell>
          <cell r="E218" t="str">
            <v>Upah Menyiram/Bongkar Bekisting Beton</v>
          </cell>
          <cell r="J218" t="str">
            <v>@</v>
          </cell>
          <cell r="K218">
            <v>130000</v>
          </cell>
          <cell r="N218">
            <v>130000</v>
          </cell>
        </row>
        <row r="219">
          <cell r="E219" t="str">
            <v/>
          </cell>
          <cell r="F219" t="str">
            <v/>
          </cell>
          <cell r="N219">
            <v>2383322.5</v>
          </cell>
        </row>
        <row r="221">
          <cell r="A221">
            <v>25</v>
          </cell>
          <cell r="C221">
            <v>25</v>
          </cell>
          <cell r="D221" t="str">
            <v>1M3</v>
          </cell>
          <cell r="E221" t="str">
            <v xml:space="preserve">Membuat Sloof Beton Bertulang </v>
          </cell>
          <cell r="P221">
            <v>2432520.25</v>
          </cell>
        </row>
        <row r="222">
          <cell r="B222">
            <v>21</v>
          </cell>
          <cell r="D222">
            <v>0.27</v>
          </cell>
          <cell r="E222" t="str">
            <v>M³</v>
          </cell>
          <cell r="F222" t="str">
            <v>Kayu Klas III</v>
          </cell>
          <cell r="J222" t="str">
            <v>@</v>
          </cell>
          <cell r="K222">
            <v>1820000</v>
          </cell>
          <cell r="L222">
            <v>0</v>
          </cell>
          <cell r="M222">
            <v>491400.00000000006</v>
          </cell>
          <cell r="N222">
            <v>491400.00000000006</v>
          </cell>
        </row>
        <row r="223">
          <cell r="B223">
            <v>29</v>
          </cell>
          <cell r="D223">
            <v>2</v>
          </cell>
          <cell r="E223" t="str">
            <v>Kg</v>
          </cell>
          <cell r="F223" t="str">
            <v>Paku Biasa</v>
          </cell>
          <cell r="J223" t="str">
            <v>@</v>
          </cell>
          <cell r="K223">
            <v>25500</v>
          </cell>
          <cell r="L223">
            <v>0</v>
          </cell>
          <cell r="M223">
            <v>51000</v>
          </cell>
          <cell r="N223">
            <v>51000</v>
          </cell>
        </row>
        <row r="224">
          <cell r="B224">
            <v>34</v>
          </cell>
          <cell r="D224">
            <v>0</v>
          </cell>
          <cell r="E224" t="str">
            <v>Ltr</v>
          </cell>
          <cell r="F224" t="str">
            <v>Minyak Bekisting</v>
          </cell>
          <cell r="J224" t="str">
            <v>@</v>
          </cell>
          <cell r="K224">
            <v>15000</v>
          </cell>
          <cell r="L224">
            <v>0</v>
          </cell>
          <cell r="M224">
            <v>0</v>
          </cell>
          <cell r="N224">
            <v>0</v>
          </cell>
        </row>
        <row r="225">
          <cell r="B225">
            <v>42</v>
          </cell>
          <cell r="D225">
            <v>105</v>
          </cell>
          <cell r="E225" t="str">
            <v>Kg</v>
          </cell>
          <cell r="F225" t="str">
            <v>Besi Beton (Polos)</v>
          </cell>
          <cell r="J225" t="str">
            <v>@</v>
          </cell>
          <cell r="K225">
            <v>7400</v>
          </cell>
          <cell r="L225">
            <v>0</v>
          </cell>
          <cell r="M225">
            <v>777000</v>
          </cell>
          <cell r="N225">
            <v>777000</v>
          </cell>
        </row>
        <row r="226">
          <cell r="B226">
            <v>44</v>
          </cell>
          <cell r="D226">
            <v>2.25</v>
          </cell>
          <cell r="E226" t="str">
            <v>Kg</v>
          </cell>
          <cell r="F226" t="str">
            <v>Kawat Beton(Bendrat)</v>
          </cell>
          <cell r="J226" t="str">
            <v>@</v>
          </cell>
          <cell r="K226">
            <v>28500</v>
          </cell>
          <cell r="L226">
            <v>0</v>
          </cell>
          <cell r="M226">
            <v>64125</v>
          </cell>
          <cell r="N226">
            <v>64125</v>
          </cell>
        </row>
        <row r="227">
          <cell r="B227">
            <v>17</v>
          </cell>
          <cell r="D227">
            <v>225</v>
          </cell>
          <cell r="E227" t="str">
            <v>Kg</v>
          </cell>
          <cell r="F227" t="str">
            <v>Semen Portland</v>
          </cell>
          <cell r="J227" t="str">
            <v>@</v>
          </cell>
          <cell r="K227">
            <v>1650</v>
          </cell>
          <cell r="L227">
            <v>0</v>
          </cell>
          <cell r="M227">
            <v>371250</v>
          </cell>
          <cell r="N227">
            <v>371250</v>
          </cell>
        </row>
        <row r="228">
          <cell r="B228">
            <v>12</v>
          </cell>
          <cell r="D228">
            <v>0.52</v>
          </cell>
          <cell r="E228" t="str">
            <v>M³</v>
          </cell>
          <cell r="F228" t="str">
            <v>Pasir Beton</v>
          </cell>
          <cell r="J228" t="str">
            <v>@</v>
          </cell>
          <cell r="K228">
            <v>150000</v>
          </cell>
          <cell r="L228">
            <v>0</v>
          </cell>
          <cell r="M228">
            <v>78000</v>
          </cell>
          <cell r="N228">
            <v>78000</v>
          </cell>
        </row>
        <row r="229">
          <cell r="B229">
            <v>10</v>
          </cell>
          <cell r="D229">
            <v>0.78</v>
          </cell>
          <cell r="E229" t="str">
            <v>M³</v>
          </cell>
          <cell r="F229" t="str">
            <v>Kerikil</v>
          </cell>
          <cell r="J229" t="str">
            <v>@</v>
          </cell>
          <cell r="K229">
            <v>150000</v>
          </cell>
          <cell r="L229">
            <v>0</v>
          </cell>
          <cell r="M229">
            <v>117000</v>
          </cell>
          <cell r="N229">
            <v>117000</v>
          </cell>
        </row>
        <row r="230">
          <cell r="B230">
            <v>1</v>
          </cell>
          <cell r="D230">
            <v>1.2</v>
          </cell>
          <cell r="E230" t="str">
            <v>Oh</v>
          </cell>
          <cell r="F230" t="str">
            <v>Pekerja</v>
          </cell>
          <cell r="J230" t="str">
            <v>@</v>
          </cell>
          <cell r="K230">
            <v>65000</v>
          </cell>
          <cell r="L230">
            <v>78000</v>
          </cell>
          <cell r="M230">
            <v>0</v>
          </cell>
          <cell r="N230">
            <v>78000</v>
          </cell>
        </row>
        <row r="231">
          <cell r="B231">
            <v>2</v>
          </cell>
          <cell r="D231">
            <v>0.35</v>
          </cell>
          <cell r="E231" t="str">
            <v>Oh</v>
          </cell>
          <cell r="F231" t="str">
            <v>Tukang</v>
          </cell>
          <cell r="G231" t="str">
            <v>batu</v>
          </cell>
          <cell r="J231" t="str">
            <v>@</v>
          </cell>
          <cell r="K231">
            <v>80000</v>
          </cell>
          <cell r="L231">
            <v>28000</v>
          </cell>
          <cell r="M231">
            <v>0</v>
          </cell>
          <cell r="N231">
            <v>28000</v>
          </cell>
        </row>
        <row r="232">
          <cell r="B232">
            <v>2</v>
          </cell>
          <cell r="D232">
            <v>0.12</v>
          </cell>
          <cell r="E232" t="str">
            <v>Oh</v>
          </cell>
          <cell r="F232" t="str">
            <v>Tukang</v>
          </cell>
          <cell r="G232" t="str">
            <v>kayu</v>
          </cell>
          <cell r="J232" t="str">
            <v>@</v>
          </cell>
          <cell r="K232">
            <v>80000</v>
          </cell>
          <cell r="L232">
            <v>9600</v>
          </cell>
          <cell r="M232">
            <v>0</v>
          </cell>
          <cell r="N232">
            <v>9600</v>
          </cell>
        </row>
        <row r="233">
          <cell r="B233">
            <v>2</v>
          </cell>
          <cell r="D233">
            <v>0.12</v>
          </cell>
          <cell r="E233" t="str">
            <v>Oh</v>
          </cell>
          <cell r="F233" t="str">
            <v>Tukang</v>
          </cell>
          <cell r="G233" t="str">
            <v>besi</v>
          </cell>
          <cell r="J233" t="str">
            <v>@</v>
          </cell>
          <cell r="K233">
            <v>80000</v>
          </cell>
          <cell r="L233">
            <v>9600</v>
          </cell>
          <cell r="M233">
            <v>0</v>
          </cell>
          <cell r="N233">
            <v>9600</v>
          </cell>
        </row>
        <row r="234">
          <cell r="B234">
            <v>3</v>
          </cell>
          <cell r="D234">
            <v>0.30599999999999999</v>
          </cell>
          <cell r="E234" t="str">
            <v>Oh</v>
          </cell>
          <cell r="F234" t="str">
            <v>Kepala Tukang</v>
          </cell>
          <cell r="J234" t="str">
            <v>@</v>
          </cell>
          <cell r="K234">
            <v>90000</v>
          </cell>
          <cell r="L234">
            <v>27540</v>
          </cell>
          <cell r="M234">
            <v>0</v>
          </cell>
          <cell r="N234">
            <v>27540</v>
          </cell>
        </row>
        <row r="235">
          <cell r="B235">
            <v>4</v>
          </cell>
          <cell r="D235">
            <v>0.159</v>
          </cell>
          <cell r="E235" t="str">
            <v>Oh</v>
          </cell>
          <cell r="F235" t="str">
            <v>Mandor</v>
          </cell>
          <cell r="J235" t="str">
            <v>@</v>
          </cell>
          <cell r="K235">
            <v>80000</v>
          </cell>
          <cell r="L235">
            <v>12720</v>
          </cell>
          <cell r="M235">
            <v>0</v>
          </cell>
          <cell r="N235">
            <v>12720</v>
          </cell>
        </row>
        <row r="236">
          <cell r="C236" t="str">
            <v>B</v>
          </cell>
          <cell r="D236" t="str">
            <v>Jumlah</v>
          </cell>
          <cell r="L236">
            <v>165460</v>
          </cell>
          <cell r="M236">
            <v>117000</v>
          </cell>
          <cell r="N236">
            <v>2115235</v>
          </cell>
        </row>
        <row r="237">
          <cell r="C237" t="str">
            <v>C</v>
          </cell>
          <cell r="D237" t="str">
            <v>Overhead</v>
          </cell>
          <cell r="L237" t="str">
            <v>15% X B</v>
          </cell>
          <cell r="N237">
            <v>317285.25</v>
          </cell>
        </row>
        <row r="238">
          <cell r="C238" t="str">
            <v>D</v>
          </cell>
          <cell r="D238" t="str">
            <v>Jumlah Total</v>
          </cell>
          <cell r="L238" t="str">
            <v>( B+C )</v>
          </cell>
          <cell r="N238">
            <v>2432520.25</v>
          </cell>
        </row>
        <row r="240">
          <cell r="A240">
            <v>26</v>
          </cell>
          <cell r="C240">
            <v>26</v>
          </cell>
          <cell r="D240" t="str">
            <v>1M3</v>
          </cell>
          <cell r="E240" t="str">
            <v xml:space="preserve">Membuat Kolom Beton Bertulang </v>
          </cell>
          <cell r="P240">
            <v>3290293.75</v>
          </cell>
        </row>
        <row r="241">
          <cell r="B241">
            <v>21</v>
          </cell>
          <cell r="D241">
            <v>0.4</v>
          </cell>
          <cell r="E241" t="str">
            <v>M³</v>
          </cell>
          <cell r="F241" t="str">
            <v>Kayu Klas III</v>
          </cell>
          <cell r="J241" t="str">
            <v>@</v>
          </cell>
          <cell r="K241">
            <v>1820000</v>
          </cell>
          <cell r="L241">
            <v>0</v>
          </cell>
          <cell r="M241">
            <v>728000</v>
          </cell>
          <cell r="N241">
            <v>728000</v>
          </cell>
        </row>
        <row r="242">
          <cell r="B242">
            <v>29</v>
          </cell>
          <cell r="D242">
            <v>2</v>
          </cell>
          <cell r="E242" t="str">
            <v>Kg</v>
          </cell>
          <cell r="F242" t="str">
            <v>Paku Biasa</v>
          </cell>
          <cell r="J242" t="str">
            <v>@</v>
          </cell>
          <cell r="K242">
            <v>25500</v>
          </cell>
          <cell r="L242">
            <v>0</v>
          </cell>
          <cell r="M242">
            <v>51000</v>
          </cell>
          <cell r="N242">
            <v>51000</v>
          </cell>
        </row>
        <row r="243">
          <cell r="B243">
            <v>34</v>
          </cell>
          <cell r="D243">
            <v>0</v>
          </cell>
          <cell r="E243" t="str">
            <v>Ltr</v>
          </cell>
          <cell r="F243" t="str">
            <v>Minyak Bekisting</v>
          </cell>
          <cell r="J243" t="str">
            <v>@</v>
          </cell>
          <cell r="K243">
            <v>15000</v>
          </cell>
          <cell r="L243">
            <v>0</v>
          </cell>
          <cell r="M243">
            <v>0</v>
          </cell>
          <cell r="N243">
            <v>0</v>
          </cell>
        </row>
        <row r="244">
          <cell r="B244">
            <v>42</v>
          </cell>
          <cell r="D244">
            <v>105</v>
          </cell>
          <cell r="E244" t="str">
            <v>Kg</v>
          </cell>
          <cell r="F244" t="str">
            <v>Besi Beton (Polos)</v>
          </cell>
          <cell r="J244" t="str">
            <v>@</v>
          </cell>
          <cell r="K244">
            <v>7400</v>
          </cell>
          <cell r="L244">
            <v>0</v>
          </cell>
          <cell r="M244">
            <v>777000</v>
          </cell>
          <cell r="N244">
            <v>777000</v>
          </cell>
        </row>
        <row r="245">
          <cell r="B245">
            <v>44</v>
          </cell>
          <cell r="D245">
            <v>2.25</v>
          </cell>
          <cell r="E245" t="str">
            <v>Kg</v>
          </cell>
          <cell r="F245" t="str">
            <v>Kawat Beton(Bendrat)</v>
          </cell>
          <cell r="J245" t="str">
            <v>@</v>
          </cell>
          <cell r="K245">
            <v>28500</v>
          </cell>
          <cell r="L245">
            <v>0</v>
          </cell>
          <cell r="M245">
            <v>64125</v>
          </cell>
          <cell r="N245">
            <v>64125</v>
          </cell>
        </row>
        <row r="246">
          <cell r="B246">
            <v>17</v>
          </cell>
          <cell r="D246">
            <v>225</v>
          </cell>
          <cell r="E246" t="str">
            <v>Kg</v>
          </cell>
          <cell r="F246" t="str">
            <v>Semen Portland</v>
          </cell>
          <cell r="J246" t="str">
            <v>@</v>
          </cell>
          <cell r="K246">
            <v>1650</v>
          </cell>
          <cell r="L246">
            <v>0</v>
          </cell>
          <cell r="M246">
            <v>371250</v>
          </cell>
          <cell r="N246">
            <v>371250</v>
          </cell>
        </row>
        <row r="247">
          <cell r="B247">
            <v>12</v>
          </cell>
          <cell r="D247">
            <v>0.52</v>
          </cell>
          <cell r="E247" t="str">
            <v>M³</v>
          </cell>
          <cell r="F247" t="str">
            <v>Pasir Beton</v>
          </cell>
          <cell r="J247" t="str">
            <v>@</v>
          </cell>
          <cell r="K247">
            <v>150000</v>
          </cell>
          <cell r="L247">
            <v>0</v>
          </cell>
          <cell r="M247">
            <v>78000</v>
          </cell>
          <cell r="N247">
            <v>78000</v>
          </cell>
        </row>
        <row r="248">
          <cell r="B248">
            <v>10</v>
          </cell>
          <cell r="D248">
            <v>0.78</v>
          </cell>
          <cell r="E248" t="str">
            <v>M³</v>
          </cell>
          <cell r="F248" t="str">
            <v>Kerikil</v>
          </cell>
          <cell r="J248" t="str">
            <v>@</v>
          </cell>
          <cell r="K248">
            <v>150000</v>
          </cell>
          <cell r="L248">
            <v>0</v>
          </cell>
          <cell r="M248">
            <v>117000</v>
          </cell>
          <cell r="N248">
            <v>117000</v>
          </cell>
        </row>
        <row r="249">
          <cell r="B249">
            <v>21</v>
          </cell>
          <cell r="D249">
            <v>0.15</v>
          </cell>
          <cell r="E249" t="str">
            <v>M³</v>
          </cell>
          <cell r="F249" t="str">
            <v>Kayu Klas III</v>
          </cell>
          <cell r="H249" t="str">
            <v>(Balok)</v>
          </cell>
          <cell r="J249" t="str">
            <v>@</v>
          </cell>
          <cell r="K249">
            <v>2175000</v>
          </cell>
          <cell r="L249">
            <v>0</v>
          </cell>
          <cell r="M249">
            <v>326250</v>
          </cell>
          <cell r="N249">
            <v>326250</v>
          </cell>
        </row>
        <row r="250">
          <cell r="B250">
            <v>27</v>
          </cell>
          <cell r="D250">
            <v>0</v>
          </cell>
          <cell r="E250" t="str">
            <v>Lbr</v>
          </cell>
          <cell r="F250" t="str">
            <v>Plywood</v>
          </cell>
          <cell r="J250" t="str">
            <v>@</v>
          </cell>
          <cell r="K250">
            <v>145900</v>
          </cell>
          <cell r="L250">
            <v>0</v>
          </cell>
          <cell r="M250">
            <v>0</v>
          </cell>
          <cell r="N250">
            <v>0</v>
          </cell>
        </row>
        <row r="251">
          <cell r="B251">
            <v>23</v>
          </cell>
          <cell r="D251">
            <v>20</v>
          </cell>
          <cell r="E251" t="str">
            <v>Btng</v>
          </cell>
          <cell r="F251" t="str">
            <v>Kayu Dolken</v>
          </cell>
          <cell r="J251" t="str">
            <v>@</v>
          </cell>
          <cell r="K251">
            <v>5000</v>
          </cell>
          <cell r="L251">
            <v>0</v>
          </cell>
          <cell r="M251">
            <v>100000</v>
          </cell>
          <cell r="N251">
            <v>100000</v>
          </cell>
        </row>
        <row r="252">
          <cell r="B252">
            <v>1</v>
          </cell>
          <cell r="D252">
            <v>1.1000000000000001</v>
          </cell>
          <cell r="E252" t="str">
            <v>Oh</v>
          </cell>
          <cell r="F252" t="str">
            <v>Pekerja</v>
          </cell>
          <cell r="J252" t="str">
            <v>@</v>
          </cell>
          <cell r="K252">
            <v>65000</v>
          </cell>
          <cell r="L252">
            <v>71500</v>
          </cell>
          <cell r="M252">
            <v>0</v>
          </cell>
          <cell r="N252">
            <v>71500</v>
          </cell>
        </row>
        <row r="253">
          <cell r="B253">
            <v>2</v>
          </cell>
          <cell r="D253">
            <v>0.35</v>
          </cell>
          <cell r="E253" t="str">
            <v>Oh</v>
          </cell>
          <cell r="F253" t="str">
            <v>Tukang</v>
          </cell>
          <cell r="G253" t="str">
            <v>Batu</v>
          </cell>
          <cell r="J253" t="str">
            <v>@</v>
          </cell>
          <cell r="K253">
            <v>80000</v>
          </cell>
          <cell r="L253">
            <v>28000</v>
          </cell>
          <cell r="M253">
            <v>0</v>
          </cell>
          <cell r="N253">
            <v>28000</v>
          </cell>
        </row>
        <row r="254">
          <cell r="B254">
            <v>2</v>
          </cell>
          <cell r="D254">
            <v>0.11</v>
          </cell>
          <cell r="E254" t="str">
            <v>Oh</v>
          </cell>
          <cell r="F254" t="str">
            <v>Tukang</v>
          </cell>
          <cell r="G254" t="str">
            <v>Kayu</v>
          </cell>
          <cell r="J254" t="str">
            <v>@</v>
          </cell>
          <cell r="K254">
            <v>80000</v>
          </cell>
          <cell r="L254">
            <v>8800</v>
          </cell>
          <cell r="M254">
            <v>0</v>
          </cell>
          <cell r="N254">
            <v>8800</v>
          </cell>
        </row>
        <row r="255">
          <cell r="B255">
            <v>2</v>
          </cell>
          <cell r="D255">
            <v>1.05</v>
          </cell>
          <cell r="E255" t="str">
            <v>Oh</v>
          </cell>
          <cell r="F255" t="str">
            <v>Tukang</v>
          </cell>
          <cell r="G255" t="str">
            <v>besi</v>
          </cell>
          <cell r="J255" t="str">
            <v>@</v>
          </cell>
          <cell r="K255">
            <v>80000</v>
          </cell>
          <cell r="L255">
            <v>84000</v>
          </cell>
          <cell r="M255">
            <v>0</v>
          </cell>
          <cell r="N255">
            <v>84000</v>
          </cell>
        </row>
        <row r="256">
          <cell r="B256">
            <v>3</v>
          </cell>
          <cell r="D256">
            <v>0.46</v>
          </cell>
          <cell r="E256" t="str">
            <v>Oh</v>
          </cell>
          <cell r="F256" t="str">
            <v>Kepala Tukang</v>
          </cell>
          <cell r="J256" t="str">
            <v>@</v>
          </cell>
          <cell r="K256">
            <v>90000</v>
          </cell>
          <cell r="L256">
            <v>41400</v>
          </cell>
          <cell r="M256">
            <v>0</v>
          </cell>
          <cell r="N256">
            <v>41400</v>
          </cell>
        </row>
        <row r="257">
          <cell r="B257">
            <v>4</v>
          </cell>
          <cell r="D257">
            <v>0.185</v>
          </cell>
          <cell r="E257" t="str">
            <v>Oh</v>
          </cell>
          <cell r="F257" t="str">
            <v>Mandor</v>
          </cell>
          <cell r="J257" t="str">
            <v>@</v>
          </cell>
          <cell r="K257">
            <v>80000</v>
          </cell>
          <cell r="L257">
            <v>14800</v>
          </cell>
          <cell r="M257">
            <v>0</v>
          </cell>
          <cell r="N257">
            <v>14800</v>
          </cell>
        </row>
        <row r="258">
          <cell r="C258" t="str">
            <v>B</v>
          </cell>
          <cell r="D258" t="str">
            <v>Jumlah</v>
          </cell>
          <cell r="L258">
            <v>248500</v>
          </cell>
          <cell r="M258">
            <v>100000</v>
          </cell>
          <cell r="N258">
            <v>2861125</v>
          </cell>
        </row>
        <row r="259">
          <cell r="C259" t="str">
            <v>C</v>
          </cell>
          <cell r="D259" t="str">
            <v>Overhead</v>
          </cell>
          <cell r="L259" t="str">
            <v>15% X B</v>
          </cell>
          <cell r="N259">
            <v>429168.75</v>
          </cell>
        </row>
        <row r="260">
          <cell r="C260" t="str">
            <v>D</v>
          </cell>
          <cell r="D260" t="str">
            <v>Jumlah Total</v>
          </cell>
          <cell r="L260" t="str">
            <v>( B+C )</v>
          </cell>
          <cell r="N260">
            <v>3290293.75</v>
          </cell>
        </row>
        <row r="262">
          <cell r="A262">
            <v>27</v>
          </cell>
          <cell r="C262">
            <v>27</v>
          </cell>
          <cell r="D262" t="str">
            <v>1M3</v>
          </cell>
          <cell r="E262" t="str">
            <v>Membuat Balok Beton Bertulang ( 150 Kg Besi + Bekisting )</v>
          </cell>
          <cell r="P262">
            <v>4812974.25</v>
          </cell>
        </row>
        <row r="263">
          <cell r="B263">
            <v>21</v>
          </cell>
          <cell r="D263">
            <v>0.32</v>
          </cell>
          <cell r="E263" t="str">
            <v>M³</v>
          </cell>
          <cell r="F263" t="str">
            <v>Kayu Klas III</v>
          </cell>
          <cell r="J263" t="str">
            <v>@</v>
          </cell>
          <cell r="K263">
            <v>1820000</v>
          </cell>
          <cell r="L263">
            <v>0</v>
          </cell>
          <cell r="M263">
            <v>582400</v>
          </cell>
          <cell r="N263">
            <v>582400</v>
          </cell>
        </row>
        <row r="264">
          <cell r="B264">
            <v>29</v>
          </cell>
          <cell r="D264">
            <v>3.2</v>
          </cell>
          <cell r="E264" t="str">
            <v>Kg</v>
          </cell>
          <cell r="F264" t="str">
            <v>Paku Biasa</v>
          </cell>
          <cell r="J264" t="str">
            <v>@</v>
          </cell>
          <cell r="K264">
            <v>25500</v>
          </cell>
          <cell r="L264">
            <v>0</v>
          </cell>
          <cell r="M264">
            <v>81600</v>
          </cell>
          <cell r="N264">
            <v>81600</v>
          </cell>
        </row>
        <row r="265">
          <cell r="B265">
            <v>34</v>
          </cell>
          <cell r="D265">
            <v>1.6</v>
          </cell>
          <cell r="E265" t="str">
            <v>Ltr</v>
          </cell>
          <cell r="F265" t="str">
            <v>Minyak Bekisting</v>
          </cell>
          <cell r="J265" t="str">
            <v>@</v>
          </cell>
          <cell r="K265">
            <v>15000</v>
          </cell>
          <cell r="L265">
            <v>0</v>
          </cell>
          <cell r="M265">
            <v>24000</v>
          </cell>
          <cell r="N265">
            <v>24000</v>
          </cell>
        </row>
        <row r="266">
          <cell r="B266">
            <v>42</v>
          </cell>
          <cell r="D266">
            <v>150</v>
          </cell>
          <cell r="E266" t="str">
            <v>Kg</v>
          </cell>
          <cell r="F266" t="str">
            <v>Besi Beton (Polos)</v>
          </cell>
          <cell r="J266" t="str">
            <v>@</v>
          </cell>
          <cell r="K266">
            <v>7400</v>
          </cell>
          <cell r="L266">
            <v>0</v>
          </cell>
          <cell r="M266">
            <v>1110000</v>
          </cell>
          <cell r="N266">
            <v>1110000</v>
          </cell>
        </row>
        <row r="267">
          <cell r="B267">
            <v>44</v>
          </cell>
          <cell r="D267">
            <v>2.25</v>
          </cell>
          <cell r="E267" t="str">
            <v>Kg</v>
          </cell>
          <cell r="F267" t="str">
            <v>Kawat Beton(Bendrat)</v>
          </cell>
          <cell r="J267" t="str">
            <v>@</v>
          </cell>
          <cell r="K267">
            <v>28500</v>
          </cell>
          <cell r="L267">
            <v>0</v>
          </cell>
          <cell r="M267">
            <v>64125</v>
          </cell>
          <cell r="N267">
            <v>64125</v>
          </cell>
        </row>
        <row r="268">
          <cell r="B268">
            <v>17</v>
          </cell>
          <cell r="D268">
            <v>323</v>
          </cell>
          <cell r="E268" t="str">
            <v>Kg</v>
          </cell>
          <cell r="F268" t="str">
            <v>Semen Portland</v>
          </cell>
          <cell r="J268" t="str">
            <v>@</v>
          </cell>
          <cell r="K268">
            <v>1650</v>
          </cell>
          <cell r="L268">
            <v>0</v>
          </cell>
          <cell r="M268">
            <v>532950</v>
          </cell>
          <cell r="N268">
            <v>532950</v>
          </cell>
        </row>
        <row r="269">
          <cell r="B269">
            <v>11</v>
          </cell>
          <cell r="D269">
            <v>0.52</v>
          </cell>
          <cell r="E269" t="str">
            <v>M³</v>
          </cell>
          <cell r="F269" t="str">
            <v>Pasir Pasang</v>
          </cell>
          <cell r="J269" t="str">
            <v>@</v>
          </cell>
          <cell r="K269">
            <v>150000</v>
          </cell>
          <cell r="L269">
            <v>0</v>
          </cell>
          <cell r="M269">
            <v>78000</v>
          </cell>
          <cell r="N269">
            <v>78000</v>
          </cell>
        </row>
        <row r="270">
          <cell r="B270">
            <v>10</v>
          </cell>
          <cell r="D270">
            <v>0.78</v>
          </cell>
          <cell r="E270" t="str">
            <v>M³</v>
          </cell>
          <cell r="F270" t="str">
            <v>Kerikil</v>
          </cell>
          <cell r="J270" t="str">
            <v>@</v>
          </cell>
          <cell r="K270">
            <v>150000</v>
          </cell>
          <cell r="L270">
            <v>0</v>
          </cell>
          <cell r="M270">
            <v>117000</v>
          </cell>
          <cell r="N270">
            <v>117000</v>
          </cell>
        </row>
        <row r="271">
          <cell r="B271">
            <v>21</v>
          </cell>
          <cell r="D271">
            <v>0.12</v>
          </cell>
          <cell r="E271" t="str">
            <v>M³</v>
          </cell>
          <cell r="F271" t="str">
            <v>Kayu Klas III</v>
          </cell>
          <cell r="J271" t="str">
            <v>@</v>
          </cell>
          <cell r="K271">
            <v>2175000</v>
          </cell>
          <cell r="L271">
            <v>0</v>
          </cell>
          <cell r="M271">
            <v>261000</v>
          </cell>
          <cell r="N271">
            <v>261000</v>
          </cell>
        </row>
        <row r="272">
          <cell r="B272">
            <v>27</v>
          </cell>
          <cell r="D272">
            <v>2.8</v>
          </cell>
          <cell r="E272" t="str">
            <v>Lbr</v>
          </cell>
          <cell r="F272" t="str">
            <v>Plywood</v>
          </cell>
          <cell r="J272" t="str">
            <v>@</v>
          </cell>
          <cell r="K272">
            <v>145900</v>
          </cell>
          <cell r="L272">
            <v>0</v>
          </cell>
          <cell r="M272">
            <v>408520</v>
          </cell>
          <cell r="N272">
            <v>408520</v>
          </cell>
        </row>
        <row r="273">
          <cell r="B273">
            <v>23</v>
          </cell>
          <cell r="D273">
            <v>32</v>
          </cell>
          <cell r="E273" t="str">
            <v>Btng</v>
          </cell>
          <cell r="F273" t="str">
            <v>Kayu Dolken</v>
          </cell>
          <cell r="J273" t="str">
            <v>@</v>
          </cell>
          <cell r="K273">
            <v>5000</v>
          </cell>
          <cell r="L273">
            <v>0</v>
          </cell>
          <cell r="M273">
            <v>160000</v>
          </cell>
          <cell r="N273">
            <v>160000</v>
          </cell>
        </row>
        <row r="274">
          <cell r="B274">
            <v>1</v>
          </cell>
          <cell r="D274">
            <v>5.8</v>
          </cell>
          <cell r="E274" t="str">
            <v>Oh</v>
          </cell>
          <cell r="F274" t="str">
            <v>Pekerja</v>
          </cell>
          <cell r="J274" t="str">
            <v>@</v>
          </cell>
          <cell r="K274">
            <v>65000</v>
          </cell>
          <cell r="L274">
            <v>377000</v>
          </cell>
          <cell r="M274">
            <v>0</v>
          </cell>
          <cell r="N274">
            <v>377000</v>
          </cell>
        </row>
        <row r="275">
          <cell r="B275">
            <v>2</v>
          </cell>
          <cell r="D275">
            <v>0.35</v>
          </cell>
          <cell r="E275" t="str">
            <v>Oh</v>
          </cell>
          <cell r="F275" t="str">
            <v>Tukang</v>
          </cell>
          <cell r="G275" t="str">
            <v>Batu</v>
          </cell>
          <cell r="J275" t="str">
            <v>@</v>
          </cell>
          <cell r="K275">
            <v>80000</v>
          </cell>
          <cell r="L275">
            <v>28000</v>
          </cell>
          <cell r="M275">
            <v>0</v>
          </cell>
          <cell r="N275">
            <v>28000</v>
          </cell>
        </row>
        <row r="276">
          <cell r="B276">
            <v>2</v>
          </cell>
          <cell r="D276">
            <v>2.8</v>
          </cell>
          <cell r="E276" t="str">
            <v>Oh</v>
          </cell>
          <cell r="F276" t="str">
            <v>Tukang</v>
          </cell>
          <cell r="G276" t="str">
            <v>kayu</v>
          </cell>
          <cell r="J276" t="str">
            <v>@</v>
          </cell>
          <cell r="K276">
            <v>80000</v>
          </cell>
          <cell r="L276">
            <v>224000</v>
          </cell>
          <cell r="M276">
            <v>0</v>
          </cell>
          <cell r="N276">
            <v>224000</v>
          </cell>
        </row>
        <row r="277">
          <cell r="B277">
            <v>2</v>
          </cell>
          <cell r="D277">
            <v>1.05</v>
          </cell>
          <cell r="E277" t="str">
            <v>Oh</v>
          </cell>
          <cell r="F277" t="str">
            <v>Tukang</v>
          </cell>
          <cell r="G277" t="str">
            <v>besi</v>
          </cell>
          <cell r="J277" t="str">
            <v>@</v>
          </cell>
          <cell r="K277">
            <v>80000</v>
          </cell>
          <cell r="L277">
            <v>84000</v>
          </cell>
          <cell r="M277">
            <v>0</v>
          </cell>
          <cell r="N277">
            <v>84000</v>
          </cell>
        </row>
        <row r="278">
          <cell r="B278">
            <v>3</v>
          </cell>
          <cell r="D278">
            <v>0.42</v>
          </cell>
          <cell r="E278" t="str">
            <v>Oh</v>
          </cell>
          <cell r="F278" t="str">
            <v>Kepala Tukang</v>
          </cell>
          <cell r="J278" t="str">
            <v>@</v>
          </cell>
          <cell r="K278">
            <v>90000</v>
          </cell>
          <cell r="L278">
            <v>37800</v>
          </cell>
          <cell r="M278">
            <v>0</v>
          </cell>
          <cell r="N278">
            <v>37800</v>
          </cell>
        </row>
        <row r="279">
          <cell r="B279">
            <v>4</v>
          </cell>
          <cell r="D279">
            <v>0.185</v>
          </cell>
          <cell r="E279" t="str">
            <v>Oh</v>
          </cell>
          <cell r="F279" t="str">
            <v>Mandor</v>
          </cell>
          <cell r="J279" t="str">
            <v>@</v>
          </cell>
          <cell r="K279">
            <v>80000</v>
          </cell>
          <cell r="L279">
            <v>14800</v>
          </cell>
          <cell r="M279">
            <v>0</v>
          </cell>
          <cell r="N279">
            <v>14800</v>
          </cell>
        </row>
        <row r="280">
          <cell r="C280" t="str">
            <v>B</v>
          </cell>
          <cell r="D280" t="str">
            <v>Jumlah</v>
          </cell>
          <cell r="L280">
            <v>765600</v>
          </cell>
          <cell r="M280">
            <v>160000</v>
          </cell>
          <cell r="N280">
            <v>4185195</v>
          </cell>
        </row>
        <row r="281">
          <cell r="C281" t="str">
            <v>C</v>
          </cell>
          <cell r="D281" t="str">
            <v>Overhead</v>
          </cell>
          <cell r="L281" t="str">
            <v>15% X B</v>
          </cell>
          <cell r="N281">
            <v>627779.25</v>
          </cell>
        </row>
        <row r="282">
          <cell r="C282" t="str">
            <v>D</v>
          </cell>
          <cell r="D282" t="str">
            <v>Jumlah Total</v>
          </cell>
          <cell r="L282" t="str">
            <v>( B+C )</v>
          </cell>
          <cell r="N282">
            <v>4812974.25</v>
          </cell>
        </row>
        <row r="284">
          <cell r="D284" t="str">
            <v>D. PEKERJAAN PAS.KERAMIK LANTAI DAN DINDING</v>
          </cell>
        </row>
        <row r="285">
          <cell r="A285">
            <v>28</v>
          </cell>
          <cell r="C285">
            <v>28</v>
          </cell>
          <cell r="D285" t="str">
            <v>1M2</v>
          </cell>
          <cell r="E285" t="str">
            <v>Pas. Tegel Dinding Keramik 20 x 20 (SNI)</v>
          </cell>
          <cell r="P285" t="e">
            <v>#REF!</v>
          </cell>
        </row>
        <row r="286">
          <cell r="B286">
            <v>54</v>
          </cell>
          <cell r="D286">
            <v>25</v>
          </cell>
          <cell r="E286" t="str">
            <v>Bh</v>
          </cell>
          <cell r="F286" t="str">
            <v>Keramik Dinding 20 x 20</v>
          </cell>
          <cell r="J286" t="str">
            <v>@</v>
          </cell>
          <cell r="K286">
            <v>3588</v>
          </cell>
          <cell r="L286">
            <v>0</v>
          </cell>
          <cell r="M286">
            <v>89700</v>
          </cell>
          <cell r="N286">
            <v>89700</v>
          </cell>
        </row>
        <row r="287">
          <cell r="B287">
            <v>17</v>
          </cell>
          <cell r="D287">
            <v>9.3000000000000007</v>
          </cell>
          <cell r="E287" t="str">
            <v>Kg</v>
          </cell>
          <cell r="F287" t="str">
            <v>Semen Portland</v>
          </cell>
          <cell r="J287" t="str">
            <v>@</v>
          </cell>
          <cell r="K287">
            <v>1650</v>
          </cell>
          <cell r="L287">
            <v>0</v>
          </cell>
          <cell r="M287">
            <v>15345.000000000002</v>
          </cell>
          <cell r="N287">
            <v>15345.000000000002</v>
          </cell>
        </row>
        <row r="288">
          <cell r="B288">
            <v>11</v>
          </cell>
          <cell r="D288">
            <v>1.7999999999999999E-2</v>
          </cell>
          <cell r="E288" t="str">
            <v>M³</v>
          </cell>
          <cell r="F288" t="str">
            <v>Pasir Pasang</v>
          </cell>
          <cell r="J288" t="str">
            <v>@</v>
          </cell>
          <cell r="K288">
            <v>150000</v>
          </cell>
          <cell r="L288">
            <v>0</v>
          </cell>
          <cell r="M288">
            <v>2700</v>
          </cell>
          <cell r="N288">
            <v>2700</v>
          </cell>
        </row>
        <row r="289">
          <cell r="B289">
            <v>18</v>
          </cell>
          <cell r="D289">
            <v>1.5</v>
          </cell>
          <cell r="E289" t="str">
            <v>Kg</v>
          </cell>
          <cell r="F289" t="str">
            <v>Semen Warna</v>
          </cell>
          <cell r="J289" t="str">
            <v>@</v>
          </cell>
          <cell r="K289">
            <v>25248</v>
          </cell>
          <cell r="L289">
            <v>0</v>
          </cell>
          <cell r="M289">
            <v>37872</v>
          </cell>
          <cell r="N289">
            <v>37872</v>
          </cell>
        </row>
        <row r="290">
          <cell r="B290">
            <v>1</v>
          </cell>
          <cell r="D290">
            <v>0.6</v>
          </cell>
          <cell r="E290" t="str">
            <v>Oh</v>
          </cell>
          <cell r="F290" t="str">
            <v>Pekerja</v>
          </cell>
          <cell r="J290" t="str">
            <v>@</v>
          </cell>
          <cell r="K290">
            <v>65000</v>
          </cell>
          <cell r="L290">
            <v>39000</v>
          </cell>
          <cell r="M290">
            <v>0</v>
          </cell>
          <cell r="N290">
            <v>39000</v>
          </cell>
        </row>
        <row r="291">
          <cell r="B291">
            <v>2</v>
          </cell>
          <cell r="D291">
            <v>0.1</v>
          </cell>
          <cell r="E291" t="str">
            <v>Oh</v>
          </cell>
          <cell r="F291" t="str">
            <v>Tukang</v>
          </cell>
          <cell r="J291" t="str">
            <v>@</v>
          </cell>
          <cell r="K291">
            <v>80000</v>
          </cell>
          <cell r="L291">
            <v>8000</v>
          </cell>
          <cell r="M291">
            <v>0</v>
          </cell>
          <cell r="N291">
            <v>8000</v>
          </cell>
        </row>
        <row r="292">
          <cell r="B292">
            <v>3</v>
          </cell>
          <cell r="D292">
            <v>4.4999999999999998E-2</v>
          </cell>
          <cell r="E292" t="str">
            <v>Oh</v>
          </cell>
          <cell r="F292" t="str">
            <v>Kepala Tukang</v>
          </cell>
          <cell r="J292" t="str">
            <v>@</v>
          </cell>
          <cell r="K292">
            <v>90000</v>
          </cell>
          <cell r="L292">
            <v>4050</v>
          </cell>
          <cell r="M292">
            <v>0</v>
          </cell>
          <cell r="N292">
            <v>4050</v>
          </cell>
        </row>
        <row r="293">
          <cell r="B293">
            <v>4</v>
          </cell>
          <cell r="D293">
            <v>0.03</v>
          </cell>
          <cell r="E293" t="str">
            <v>Oh</v>
          </cell>
          <cell r="F293" t="str">
            <v>Mandor</v>
          </cell>
          <cell r="J293" t="str">
            <v>@</v>
          </cell>
          <cell r="K293">
            <v>80000</v>
          </cell>
          <cell r="L293">
            <v>2400</v>
          </cell>
          <cell r="M293">
            <v>0</v>
          </cell>
          <cell r="N293">
            <v>2400</v>
          </cell>
        </row>
        <row r="294">
          <cell r="D294" t="str">
            <v>Jumlah</v>
          </cell>
          <cell r="L294">
            <v>53450</v>
          </cell>
          <cell r="M294">
            <v>55917</v>
          </cell>
          <cell r="N294">
            <v>199067</v>
          </cell>
        </row>
        <row r="296">
          <cell r="A296">
            <v>29</v>
          </cell>
          <cell r="C296">
            <v>29</v>
          </cell>
          <cell r="D296" t="str">
            <v>1M2</v>
          </cell>
          <cell r="E296" t="str">
            <v>Pas. Tegel Lantai  Keramik 20 x 20 (SNI)</v>
          </cell>
          <cell r="P296" t="e">
            <v>#REF!</v>
          </cell>
        </row>
        <row r="297">
          <cell r="B297">
            <v>47</v>
          </cell>
          <cell r="D297">
            <v>25</v>
          </cell>
          <cell r="E297" t="str">
            <v>Bh</v>
          </cell>
          <cell r="F297" t="str">
            <v>Keramik Lantai 20 x20</v>
          </cell>
          <cell r="J297" t="str">
            <v>@</v>
          </cell>
          <cell r="K297">
            <v>3588</v>
          </cell>
          <cell r="L297">
            <v>0</v>
          </cell>
          <cell r="M297">
            <v>89700</v>
          </cell>
          <cell r="N297">
            <v>89700</v>
          </cell>
        </row>
        <row r="298">
          <cell r="B298">
            <v>17</v>
          </cell>
          <cell r="D298">
            <v>11.38</v>
          </cell>
          <cell r="E298" t="str">
            <v>Kg</v>
          </cell>
          <cell r="F298" t="str">
            <v>Semen Portland</v>
          </cell>
          <cell r="J298" t="str">
            <v>@</v>
          </cell>
          <cell r="K298">
            <v>1650</v>
          </cell>
          <cell r="L298">
            <v>0</v>
          </cell>
          <cell r="M298">
            <v>18777</v>
          </cell>
          <cell r="N298">
            <v>18777</v>
          </cell>
        </row>
        <row r="299">
          <cell r="B299">
            <v>11</v>
          </cell>
          <cell r="D299">
            <v>4.2000000000000003E-2</v>
          </cell>
          <cell r="E299" t="str">
            <v>M³</v>
          </cell>
          <cell r="F299" t="str">
            <v>Pasir Pasang</v>
          </cell>
          <cell r="J299" t="str">
            <v>@</v>
          </cell>
          <cell r="K299">
            <v>150000</v>
          </cell>
          <cell r="L299">
            <v>0</v>
          </cell>
          <cell r="M299">
            <v>6300</v>
          </cell>
          <cell r="N299">
            <v>6300</v>
          </cell>
        </row>
        <row r="300">
          <cell r="B300">
            <v>18</v>
          </cell>
          <cell r="D300">
            <v>1.5</v>
          </cell>
          <cell r="E300" t="str">
            <v>Kg</v>
          </cell>
          <cell r="F300" t="str">
            <v>Semen Warna</v>
          </cell>
          <cell r="J300" t="str">
            <v>@</v>
          </cell>
          <cell r="K300">
            <v>25248</v>
          </cell>
          <cell r="L300">
            <v>0</v>
          </cell>
          <cell r="M300">
            <v>37872</v>
          </cell>
          <cell r="N300">
            <v>37872</v>
          </cell>
        </row>
        <row r="301">
          <cell r="B301">
            <v>1</v>
          </cell>
          <cell r="D301">
            <v>0.35</v>
          </cell>
          <cell r="E301" t="str">
            <v>Oh</v>
          </cell>
          <cell r="F301" t="str">
            <v>Pekerja</v>
          </cell>
          <cell r="J301" t="str">
            <v>@</v>
          </cell>
          <cell r="K301">
            <v>65000</v>
          </cell>
          <cell r="L301">
            <v>22750</v>
          </cell>
          <cell r="M301">
            <v>0</v>
          </cell>
          <cell r="N301">
            <v>22750</v>
          </cell>
        </row>
        <row r="302">
          <cell r="B302">
            <v>2</v>
          </cell>
          <cell r="D302">
            <v>3.5000000000000003E-2</v>
          </cell>
          <cell r="E302" t="str">
            <v>Oh</v>
          </cell>
          <cell r="F302" t="str">
            <v>Tukang</v>
          </cell>
          <cell r="J302" t="str">
            <v>@</v>
          </cell>
          <cell r="K302">
            <v>80000</v>
          </cell>
          <cell r="L302">
            <v>2800.0000000000005</v>
          </cell>
          <cell r="M302">
            <v>0</v>
          </cell>
          <cell r="N302">
            <v>2800.0000000000005</v>
          </cell>
        </row>
        <row r="303">
          <cell r="B303">
            <v>3</v>
          </cell>
          <cell r="D303">
            <v>0.62</v>
          </cell>
          <cell r="E303" t="str">
            <v>Oh</v>
          </cell>
          <cell r="F303" t="str">
            <v>Kepala Tukang</v>
          </cell>
          <cell r="J303" t="str">
            <v>@</v>
          </cell>
          <cell r="K303">
            <v>90000</v>
          </cell>
          <cell r="L303">
            <v>55800</v>
          </cell>
          <cell r="M303">
            <v>0</v>
          </cell>
          <cell r="N303">
            <v>55800</v>
          </cell>
        </row>
        <row r="304">
          <cell r="B304">
            <v>4</v>
          </cell>
          <cell r="D304">
            <v>0.03</v>
          </cell>
          <cell r="E304" t="str">
            <v>Oh</v>
          </cell>
          <cell r="F304" t="str">
            <v>Mandor</v>
          </cell>
          <cell r="J304" t="str">
            <v>@</v>
          </cell>
          <cell r="K304">
            <v>80000</v>
          </cell>
          <cell r="L304">
            <v>2400</v>
          </cell>
          <cell r="M304">
            <v>0</v>
          </cell>
          <cell r="N304">
            <v>2400</v>
          </cell>
        </row>
        <row r="305">
          <cell r="D305" t="str">
            <v>Jumlah</v>
          </cell>
          <cell r="L305">
            <v>83750</v>
          </cell>
          <cell r="M305">
            <v>62949</v>
          </cell>
          <cell r="N305">
            <v>236399</v>
          </cell>
        </row>
        <row r="307">
          <cell r="A307">
            <v>30</v>
          </cell>
          <cell r="C307">
            <v>30</v>
          </cell>
          <cell r="D307" t="str">
            <v>1M2</v>
          </cell>
          <cell r="E307" t="str">
            <v>Pas. Tegel Lantai  Keramik 40 x 40 (SNI)</v>
          </cell>
          <cell r="P307" t="e">
            <v>#REF!</v>
          </cell>
        </row>
        <row r="308">
          <cell r="B308">
            <v>51</v>
          </cell>
          <cell r="D308">
            <v>6.25</v>
          </cell>
          <cell r="E308" t="str">
            <v>Bh</v>
          </cell>
          <cell r="F308" t="str">
            <v>Keramik Lantai 40 x 40</v>
          </cell>
          <cell r="J308" t="str">
            <v>@</v>
          </cell>
          <cell r="K308">
            <v>12000</v>
          </cell>
          <cell r="L308">
            <v>0</v>
          </cell>
          <cell r="M308">
            <v>75000</v>
          </cell>
          <cell r="N308">
            <v>75000</v>
          </cell>
        </row>
        <row r="309">
          <cell r="B309">
            <v>17</v>
          </cell>
          <cell r="D309">
            <v>11.38</v>
          </cell>
          <cell r="E309" t="str">
            <v>Kg</v>
          </cell>
          <cell r="F309" t="str">
            <v>Semen Portland</v>
          </cell>
          <cell r="J309" t="str">
            <v>@</v>
          </cell>
          <cell r="K309">
            <v>1650</v>
          </cell>
          <cell r="L309">
            <v>0</v>
          </cell>
          <cell r="M309">
            <v>18777</v>
          </cell>
          <cell r="N309">
            <v>18777</v>
          </cell>
        </row>
        <row r="310">
          <cell r="B310">
            <v>11</v>
          </cell>
          <cell r="D310">
            <v>4.2000000000000003E-2</v>
          </cell>
          <cell r="E310" t="str">
            <v>M³</v>
          </cell>
          <cell r="F310" t="str">
            <v>Pasir Pasang</v>
          </cell>
          <cell r="J310" t="str">
            <v>@</v>
          </cell>
          <cell r="K310">
            <v>150000</v>
          </cell>
          <cell r="L310">
            <v>0</v>
          </cell>
          <cell r="M310">
            <v>6300</v>
          </cell>
          <cell r="N310">
            <v>6300</v>
          </cell>
        </row>
        <row r="311">
          <cell r="B311">
            <v>18</v>
          </cell>
          <cell r="D311">
            <v>1.5</v>
          </cell>
          <cell r="E311" t="str">
            <v>Kg</v>
          </cell>
          <cell r="F311" t="str">
            <v>Semen Warna</v>
          </cell>
          <cell r="J311" t="str">
            <v>@</v>
          </cell>
          <cell r="K311">
            <v>25248</v>
          </cell>
          <cell r="L311">
            <v>0</v>
          </cell>
          <cell r="M311">
            <v>37872</v>
          </cell>
          <cell r="N311">
            <v>37872</v>
          </cell>
        </row>
        <row r="312">
          <cell r="B312">
            <v>1</v>
          </cell>
          <cell r="D312">
            <v>0.62</v>
          </cell>
          <cell r="E312" t="str">
            <v>Oh</v>
          </cell>
          <cell r="F312" t="str">
            <v>Pekerja</v>
          </cell>
          <cell r="J312" t="str">
            <v>@</v>
          </cell>
          <cell r="K312">
            <v>65000</v>
          </cell>
          <cell r="L312">
            <v>40300</v>
          </cell>
          <cell r="M312">
            <v>0</v>
          </cell>
          <cell r="N312">
            <v>40300</v>
          </cell>
        </row>
        <row r="313">
          <cell r="B313">
            <v>2</v>
          </cell>
          <cell r="D313">
            <v>0.35</v>
          </cell>
          <cell r="E313" t="str">
            <v>Oh</v>
          </cell>
          <cell r="F313" t="str">
            <v>Tukang</v>
          </cell>
          <cell r="J313" t="str">
            <v>@</v>
          </cell>
          <cell r="K313">
            <v>80000</v>
          </cell>
          <cell r="L313">
            <v>28000</v>
          </cell>
          <cell r="M313">
            <v>0</v>
          </cell>
          <cell r="N313">
            <v>28000</v>
          </cell>
        </row>
        <row r="314">
          <cell r="B314">
            <v>3</v>
          </cell>
          <cell r="D314">
            <v>3.5000000000000003E-2</v>
          </cell>
          <cell r="E314" t="str">
            <v>Oh</v>
          </cell>
          <cell r="F314" t="str">
            <v>Kepala Tukang</v>
          </cell>
          <cell r="J314" t="str">
            <v>@</v>
          </cell>
          <cell r="K314">
            <v>90000</v>
          </cell>
          <cell r="L314">
            <v>3150.0000000000005</v>
          </cell>
          <cell r="M314">
            <v>0</v>
          </cell>
          <cell r="N314">
            <v>3150.0000000000005</v>
          </cell>
        </row>
        <row r="315">
          <cell r="B315">
            <v>4</v>
          </cell>
          <cell r="D315">
            <v>0.03</v>
          </cell>
          <cell r="E315" t="str">
            <v>Oh</v>
          </cell>
          <cell r="F315" t="str">
            <v>Mandor</v>
          </cell>
          <cell r="J315" t="str">
            <v>@</v>
          </cell>
          <cell r="K315">
            <v>80000</v>
          </cell>
          <cell r="L315">
            <v>2400</v>
          </cell>
          <cell r="M315">
            <v>0</v>
          </cell>
          <cell r="N315">
            <v>2400</v>
          </cell>
        </row>
        <row r="316">
          <cell r="D316" t="str">
            <v>Jumlah</v>
          </cell>
          <cell r="L316">
            <v>73850</v>
          </cell>
          <cell r="M316">
            <v>62949</v>
          </cell>
          <cell r="N316">
            <v>211799</v>
          </cell>
        </row>
        <row r="318">
          <cell r="A318">
            <v>31</v>
          </cell>
          <cell r="C318">
            <v>31</v>
          </cell>
          <cell r="D318" t="str">
            <v>1M2</v>
          </cell>
          <cell r="E318" t="str">
            <v>Pas. Tegel Meja Beton  Keramik 20 x 20 (SNI)</v>
          </cell>
          <cell r="P318" t="e">
            <v>#REF!</v>
          </cell>
        </row>
        <row r="319">
          <cell r="B319">
            <v>47</v>
          </cell>
          <cell r="D319">
            <v>25</v>
          </cell>
          <cell r="E319" t="str">
            <v>Bh</v>
          </cell>
          <cell r="F319" t="str">
            <v>Keramik Lantai 20 x20</v>
          </cell>
          <cell r="J319" t="str">
            <v>@</v>
          </cell>
          <cell r="K319">
            <v>3588</v>
          </cell>
          <cell r="L319">
            <v>0</v>
          </cell>
          <cell r="M319">
            <v>89700</v>
          </cell>
          <cell r="N319">
            <v>89700</v>
          </cell>
        </row>
        <row r="320">
          <cell r="B320">
            <v>17</v>
          </cell>
          <cell r="D320">
            <v>11.38</v>
          </cell>
          <cell r="E320" t="str">
            <v>Kg</v>
          </cell>
          <cell r="F320" t="str">
            <v>Semen Portland</v>
          </cell>
          <cell r="J320" t="str">
            <v>@</v>
          </cell>
          <cell r="K320">
            <v>1650</v>
          </cell>
          <cell r="L320">
            <v>0</v>
          </cell>
          <cell r="M320">
            <v>18777</v>
          </cell>
          <cell r="N320">
            <v>18777</v>
          </cell>
        </row>
        <row r="321">
          <cell r="B321">
            <v>11</v>
          </cell>
          <cell r="D321">
            <v>4.2000000000000003E-2</v>
          </cell>
          <cell r="E321" t="str">
            <v>M³</v>
          </cell>
          <cell r="F321" t="str">
            <v>Pasir Pasang</v>
          </cell>
          <cell r="J321" t="str">
            <v>@</v>
          </cell>
          <cell r="K321">
            <v>150000</v>
          </cell>
          <cell r="L321">
            <v>0</v>
          </cell>
          <cell r="M321">
            <v>6300</v>
          </cell>
          <cell r="N321">
            <v>6300</v>
          </cell>
        </row>
        <row r="322">
          <cell r="B322">
            <v>18</v>
          </cell>
          <cell r="D322">
            <v>1.5</v>
          </cell>
          <cell r="E322" t="str">
            <v>Kg</v>
          </cell>
          <cell r="F322" t="str">
            <v>Semen Warna</v>
          </cell>
          <cell r="J322" t="str">
            <v>@</v>
          </cell>
          <cell r="K322">
            <v>25248</v>
          </cell>
          <cell r="L322">
            <v>0</v>
          </cell>
          <cell r="M322">
            <v>37872</v>
          </cell>
          <cell r="N322">
            <v>37872</v>
          </cell>
        </row>
        <row r="323">
          <cell r="B323">
            <v>1</v>
          </cell>
          <cell r="D323">
            <v>0.62</v>
          </cell>
          <cell r="E323" t="str">
            <v>Oh</v>
          </cell>
          <cell r="F323" t="str">
            <v>Pekerja</v>
          </cell>
          <cell r="J323" t="str">
            <v>@</v>
          </cell>
          <cell r="K323">
            <v>65000</v>
          </cell>
          <cell r="L323">
            <v>40300</v>
          </cell>
          <cell r="M323">
            <v>0</v>
          </cell>
          <cell r="N323">
            <v>40300</v>
          </cell>
        </row>
        <row r="324">
          <cell r="B324">
            <v>2</v>
          </cell>
          <cell r="D324">
            <v>0.35</v>
          </cell>
          <cell r="E324" t="str">
            <v>Oh</v>
          </cell>
          <cell r="F324" t="str">
            <v>Tukang</v>
          </cell>
          <cell r="J324" t="str">
            <v>@</v>
          </cell>
          <cell r="K324">
            <v>80000</v>
          </cell>
          <cell r="L324">
            <v>28000</v>
          </cell>
          <cell r="M324">
            <v>0</v>
          </cell>
          <cell r="N324">
            <v>28000</v>
          </cell>
        </row>
        <row r="325">
          <cell r="B325">
            <v>3</v>
          </cell>
          <cell r="D325">
            <v>3.5000000000000003E-2</v>
          </cell>
          <cell r="E325" t="str">
            <v>Oh</v>
          </cell>
          <cell r="F325" t="str">
            <v>Kepala Tukang</v>
          </cell>
          <cell r="J325" t="str">
            <v>@</v>
          </cell>
          <cell r="K325">
            <v>90000</v>
          </cell>
          <cell r="L325">
            <v>3150.0000000000005</v>
          </cell>
          <cell r="M325">
            <v>0</v>
          </cell>
          <cell r="N325">
            <v>3150.0000000000005</v>
          </cell>
        </row>
        <row r="326">
          <cell r="B326">
            <v>4</v>
          </cell>
          <cell r="D326">
            <v>0.03</v>
          </cell>
          <cell r="E326" t="str">
            <v>Oh</v>
          </cell>
          <cell r="F326" t="str">
            <v>Mandor</v>
          </cell>
          <cell r="J326" t="str">
            <v>@</v>
          </cell>
          <cell r="K326">
            <v>80000</v>
          </cell>
          <cell r="L326">
            <v>2400</v>
          </cell>
          <cell r="M326">
            <v>0</v>
          </cell>
          <cell r="N326">
            <v>2400</v>
          </cell>
        </row>
        <row r="327">
          <cell r="D327" t="str">
            <v>Jumlah</v>
          </cell>
          <cell r="L327">
            <v>73850</v>
          </cell>
          <cell r="M327">
            <v>62949</v>
          </cell>
          <cell r="N327">
            <v>226499</v>
          </cell>
        </row>
        <row r="329">
          <cell r="D329" t="str">
            <v>E. PEKERJAAN KAP, ATAP, DAN PLAFOND</v>
          </cell>
        </row>
        <row r="330">
          <cell r="A330">
            <v>32</v>
          </cell>
          <cell r="C330">
            <v>32</v>
          </cell>
          <cell r="D330" t="str">
            <v>1M3</v>
          </cell>
          <cell r="E330" t="str">
            <v>Membuat Kuda-Kuda Kayu klas II (SNI)</v>
          </cell>
          <cell r="P330" t="e">
            <v>#REF!</v>
          </cell>
        </row>
        <row r="331">
          <cell r="B331">
            <v>20</v>
          </cell>
          <cell r="D331">
            <v>1.1000000000000001</v>
          </cell>
          <cell r="E331" t="str">
            <v>M³</v>
          </cell>
          <cell r="F331" t="str">
            <v>Kayu Klas II</v>
          </cell>
          <cell r="J331" t="str">
            <v>@</v>
          </cell>
          <cell r="K331">
            <v>2175000</v>
          </cell>
          <cell r="L331">
            <v>0</v>
          </cell>
          <cell r="M331">
            <v>2392500</v>
          </cell>
          <cell r="N331">
            <v>2392500</v>
          </cell>
        </row>
        <row r="332">
          <cell r="B332">
            <v>45</v>
          </cell>
          <cell r="D332">
            <v>3</v>
          </cell>
          <cell r="E332" t="str">
            <v>Kg</v>
          </cell>
          <cell r="F332" t="str">
            <v>Besi Strip</v>
          </cell>
          <cell r="J332" t="str">
            <v>@</v>
          </cell>
          <cell r="K332">
            <v>15000</v>
          </cell>
          <cell r="L332">
            <v>0</v>
          </cell>
          <cell r="M332">
            <v>45000</v>
          </cell>
          <cell r="N332">
            <v>45000</v>
          </cell>
        </row>
        <row r="333">
          <cell r="B333">
            <v>29</v>
          </cell>
          <cell r="D333">
            <v>0.8</v>
          </cell>
          <cell r="E333" t="str">
            <v>Kg</v>
          </cell>
          <cell r="F333" t="str">
            <v>Paku Biasa</v>
          </cell>
          <cell r="J333" t="str">
            <v>@</v>
          </cell>
          <cell r="K333">
            <v>25500</v>
          </cell>
          <cell r="L333">
            <v>0</v>
          </cell>
          <cell r="M333">
            <v>20400</v>
          </cell>
          <cell r="N333">
            <v>20400</v>
          </cell>
        </row>
        <row r="334">
          <cell r="B334">
            <v>1</v>
          </cell>
          <cell r="D334">
            <v>4</v>
          </cell>
          <cell r="E334" t="str">
            <v>Oh</v>
          </cell>
          <cell r="F334" t="str">
            <v>Pekerja</v>
          </cell>
          <cell r="J334" t="str">
            <v>@</v>
          </cell>
          <cell r="K334">
            <v>65000</v>
          </cell>
          <cell r="L334">
            <v>260000</v>
          </cell>
          <cell r="M334">
            <v>0</v>
          </cell>
          <cell r="N334">
            <v>260000</v>
          </cell>
        </row>
        <row r="335">
          <cell r="B335">
            <v>2</v>
          </cell>
          <cell r="D335">
            <v>10</v>
          </cell>
          <cell r="E335" t="str">
            <v>Oh</v>
          </cell>
          <cell r="F335" t="str">
            <v>Tukang</v>
          </cell>
          <cell r="J335" t="str">
            <v>@</v>
          </cell>
          <cell r="K335">
            <v>80000</v>
          </cell>
          <cell r="L335">
            <v>800000</v>
          </cell>
          <cell r="M335">
            <v>0</v>
          </cell>
          <cell r="N335">
            <v>800000</v>
          </cell>
        </row>
        <row r="336">
          <cell r="B336">
            <v>3</v>
          </cell>
          <cell r="D336">
            <v>1.2</v>
          </cell>
          <cell r="E336" t="str">
            <v>Oh</v>
          </cell>
          <cell r="F336" t="str">
            <v>Kepala Tukang</v>
          </cell>
          <cell r="J336" t="str">
            <v>@</v>
          </cell>
          <cell r="K336">
            <v>90000</v>
          </cell>
          <cell r="L336">
            <v>108000</v>
          </cell>
          <cell r="M336">
            <v>0</v>
          </cell>
          <cell r="N336">
            <v>108000</v>
          </cell>
        </row>
        <row r="337">
          <cell r="B337">
            <v>4</v>
          </cell>
          <cell r="D337">
            <v>0.2</v>
          </cell>
          <cell r="E337" t="str">
            <v>Oh</v>
          </cell>
          <cell r="F337" t="str">
            <v>Mandor</v>
          </cell>
          <cell r="J337" t="str">
            <v>@</v>
          </cell>
          <cell r="K337">
            <v>80000</v>
          </cell>
          <cell r="L337">
            <v>16000</v>
          </cell>
          <cell r="M337">
            <v>0</v>
          </cell>
          <cell r="N337">
            <v>16000</v>
          </cell>
        </row>
        <row r="338">
          <cell r="D338" t="str">
            <v>Jumlah</v>
          </cell>
          <cell r="L338">
            <v>1184000</v>
          </cell>
          <cell r="M338">
            <v>2457900</v>
          </cell>
          <cell r="N338">
            <v>3641900</v>
          </cell>
        </row>
        <row r="340">
          <cell r="A340">
            <v>33</v>
          </cell>
          <cell r="C340">
            <v>33</v>
          </cell>
          <cell r="D340" t="str">
            <v>1M3</v>
          </cell>
          <cell r="E340" t="str">
            <v>Membuat Kusen Pintu, Jendela dan Ventilasi Kayu (SNI)</v>
          </cell>
          <cell r="P340" t="e">
            <v>#REF!</v>
          </cell>
        </row>
        <row r="341">
          <cell r="B341">
            <v>20</v>
          </cell>
          <cell r="D341">
            <v>1.1000000000000001</v>
          </cell>
          <cell r="E341" t="str">
            <v>M³</v>
          </cell>
          <cell r="F341" t="str">
            <v>Kayu Klas II</v>
          </cell>
          <cell r="J341" t="str">
            <v>@</v>
          </cell>
          <cell r="K341">
            <v>2175000</v>
          </cell>
          <cell r="L341">
            <v>0</v>
          </cell>
          <cell r="M341">
            <v>2392500</v>
          </cell>
          <cell r="N341">
            <v>2392500</v>
          </cell>
        </row>
        <row r="342">
          <cell r="B342">
            <v>1</v>
          </cell>
          <cell r="D342">
            <v>6</v>
          </cell>
          <cell r="E342" t="str">
            <v>Oh</v>
          </cell>
          <cell r="F342" t="str">
            <v>Pekerja</v>
          </cell>
          <cell r="J342" t="str">
            <v>@</v>
          </cell>
          <cell r="K342">
            <v>65000</v>
          </cell>
          <cell r="L342">
            <v>390000</v>
          </cell>
          <cell r="M342">
            <v>0</v>
          </cell>
          <cell r="N342">
            <v>390000</v>
          </cell>
        </row>
        <row r="343">
          <cell r="B343">
            <v>2</v>
          </cell>
          <cell r="D343">
            <v>15</v>
          </cell>
          <cell r="E343" t="str">
            <v>Oh</v>
          </cell>
          <cell r="F343" t="str">
            <v>Tukang</v>
          </cell>
          <cell r="G343" t="str">
            <v>kayu</v>
          </cell>
          <cell r="J343" t="str">
            <v>@</v>
          </cell>
          <cell r="K343">
            <v>80000</v>
          </cell>
          <cell r="L343">
            <v>1200000</v>
          </cell>
          <cell r="M343">
            <v>0</v>
          </cell>
          <cell r="N343">
            <v>1200000</v>
          </cell>
        </row>
        <row r="344">
          <cell r="B344">
            <v>3</v>
          </cell>
          <cell r="D344">
            <v>2</v>
          </cell>
          <cell r="E344" t="str">
            <v>Oh</v>
          </cell>
          <cell r="F344" t="str">
            <v>Kepala Tukang</v>
          </cell>
          <cell r="J344" t="str">
            <v>@</v>
          </cell>
          <cell r="K344">
            <v>90000</v>
          </cell>
          <cell r="L344">
            <v>180000</v>
          </cell>
          <cell r="M344">
            <v>0</v>
          </cell>
          <cell r="N344">
            <v>180000</v>
          </cell>
        </row>
        <row r="345">
          <cell r="B345">
            <v>4</v>
          </cell>
          <cell r="D345">
            <v>0.3</v>
          </cell>
          <cell r="E345" t="str">
            <v>Oh</v>
          </cell>
          <cell r="F345" t="str">
            <v>Mandor</v>
          </cell>
          <cell r="J345" t="str">
            <v>@</v>
          </cell>
          <cell r="K345">
            <v>80000</v>
          </cell>
          <cell r="L345">
            <v>24000</v>
          </cell>
          <cell r="M345">
            <v>0</v>
          </cell>
          <cell r="N345">
            <v>24000</v>
          </cell>
        </row>
        <row r="346">
          <cell r="C346" t="str">
            <v>B</v>
          </cell>
          <cell r="D346" t="str">
            <v>Jumlah</v>
          </cell>
          <cell r="L346">
            <v>1794000</v>
          </cell>
          <cell r="M346">
            <v>2392500</v>
          </cell>
          <cell r="N346">
            <v>4186500</v>
          </cell>
        </row>
        <row r="348">
          <cell r="A348">
            <v>34</v>
          </cell>
          <cell r="C348">
            <v>34</v>
          </cell>
          <cell r="D348" t="str">
            <v>1M3</v>
          </cell>
          <cell r="E348" t="str">
            <v>Pemasangan Gording Kayu Klas II (SNI)</v>
          </cell>
          <cell r="P348" t="e">
            <v>#REF!</v>
          </cell>
        </row>
        <row r="349">
          <cell r="B349">
            <v>20</v>
          </cell>
          <cell r="D349">
            <v>1.1000000000000001</v>
          </cell>
          <cell r="E349" t="str">
            <v>M³</v>
          </cell>
          <cell r="F349" t="str">
            <v>Kayu Klas II</v>
          </cell>
          <cell r="J349" t="str">
            <v>@</v>
          </cell>
          <cell r="K349">
            <v>2175000</v>
          </cell>
          <cell r="L349">
            <v>0</v>
          </cell>
          <cell r="M349">
            <v>2392500</v>
          </cell>
          <cell r="N349">
            <v>2392500</v>
          </cell>
        </row>
        <row r="350">
          <cell r="B350">
            <v>29</v>
          </cell>
          <cell r="D350">
            <v>0.8</v>
          </cell>
          <cell r="E350" t="str">
            <v>Kg</v>
          </cell>
          <cell r="F350" t="str">
            <v>Paku Biasa</v>
          </cell>
          <cell r="J350" t="str">
            <v>@</v>
          </cell>
          <cell r="K350">
            <v>25500</v>
          </cell>
          <cell r="L350">
            <v>0</v>
          </cell>
          <cell r="M350">
            <v>20400</v>
          </cell>
          <cell r="N350">
            <v>20400</v>
          </cell>
        </row>
        <row r="351">
          <cell r="B351">
            <v>1</v>
          </cell>
          <cell r="D351">
            <v>4</v>
          </cell>
          <cell r="E351" t="str">
            <v>Oh</v>
          </cell>
          <cell r="F351" t="str">
            <v>Pekerja</v>
          </cell>
          <cell r="J351" t="str">
            <v>@</v>
          </cell>
          <cell r="K351">
            <v>65000</v>
          </cell>
          <cell r="L351">
            <v>260000</v>
          </cell>
          <cell r="M351">
            <v>0</v>
          </cell>
          <cell r="N351">
            <v>260000</v>
          </cell>
        </row>
        <row r="352">
          <cell r="B352">
            <v>2</v>
          </cell>
          <cell r="D352">
            <v>10</v>
          </cell>
          <cell r="E352" t="str">
            <v>Oh</v>
          </cell>
          <cell r="F352" t="str">
            <v>Tukang</v>
          </cell>
          <cell r="G352" t="str">
            <v>kayu</v>
          </cell>
          <cell r="J352" t="str">
            <v>@</v>
          </cell>
          <cell r="K352">
            <v>80000</v>
          </cell>
          <cell r="L352">
            <v>800000</v>
          </cell>
          <cell r="M352">
            <v>0</v>
          </cell>
          <cell r="N352">
            <v>800000</v>
          </cell>
        </row>
        <row r="353">
          <cell r="B353">
            <v>3</v>
          </cell>
          <cell r="D353">
            <v>1.2</v>
          </cell>
          <cell r="E353" t="str">
            <v>Oh</v>
          </cell>
          <cell r="F353" t="str">
            <v>Kepala Tukang</v>
          </cell>
          <cell r="J353" t="str">
            <v>@</v>
          </cell>
          <cell r="K353">
            <v>90000</v>
          </cell>
          <cell r="L353">
            <v>108000</v>
          </cell>
          <cell r="M353">
            <v>0</v>
          </cell>
          <cell r="N353">
            <v>108000</v>
          </cell>
        </row>
        <row r="354">
          <cell r="B354">
            <v>4</v>
          </cell>
          <cell r="D354">
            <v>0.2</v>
          </cell>
          <cell r="E354" t="str">
            <v>Oh</v>
          </cell>
          <cell r="F354" t="str">
            <v>Mandor</v>
          </cell>
          <cell r="J354" t="str">
            <v>@</v>
          </cell>
          <cell r="K354">
            <v>80000</v>
          </cell>
          <cell r="L354">
            <v>16000</v>
          </cell>
          <cell r="M354">
            <v>0</v>
          </cell>
          <cell r="N354">
            <v>16000</v>
          </cell>
        </row>
        <row r="355">
          <cell r="C355" t="str">
            <v>B</v>
          </cell>
          <cell r="D355" t="str">
            <v>Jumlah</v>
          </cell>
          <cell r="L355">
            <v>1184000</v>
          </cell>
          <cell r="M355">
            <v>2412900</v>
          </cell>
          <cell r="N355">
            <v>3596900</v>
          </cell>
        </row>
        <row r="357">
          <cell r="A357">
            <v>35</v>
          </cell>
          <cell r="C357">
            <v>35</v>
          </cell>
          <cell r="D357" t="str">
            <v>1M'</v>
          </cell>
          <cell r="E357" t="str">
            <v>Pas.List Plank Papan Kayu Klas II  2/25  (SNI)</v>
          </cell>
          <cell r="P357" t="e">
            <v>#REF!</v>
          </cell>
        </row>
        <row r="358">
          <cell r="B358">
            <v>20</v>
          </cell>
          <cell r="D358">
            <v>8.6E-3</v>
          </cell>
          <cell r="E358" t="str">
            <v>M³</v>
          </cell>
          <cell r="F358" t="str">
            <v>Kayu Klas II</v>
          </cell>
          <cell r="J358" t="str">
            <v>@</v>
          </cell>
          <cell r="K358">
            <v>2175000</v>
          </cell>
          <cell r="L358">
            <v>0</v>
          </cell>
          <cell r="M358">
            <v>18705</v>
          </cell>
          <cell r="N358">
            <v>18705</v>
          </cell>
        </row>
        <row r="359">
          <cell r="B359">
            <v>29</v>
          </cell>
          <cell r="D359">
            <v>0.06</v>
          </cell>
          <cell r="E359" t="str">
            <v>Kg</v>
          </cell>
          <cell r="F359" t="str">
            <v>Paku Biasa</v>
          </cell>
          <cell r="J359" t="str">
            <v>@</v>
          </cell>
          <cell r="K359">
            <v>25500</v>
          </cell>
          <cell r="L359">
            <v>0</v>
          </cell>
          <cell r="M359">
            <v>1530</v>
          </cell>
          <cell r="N359">
            <v>1530</v>
          </cell>
        </row>
        <row r="360">
          <cell r="B360">
            <v>1</v>
          </cell>
          <cell r="D360">
            <v>0.1</v>
          </cell>
          <cell r="E360" t="str">
            <v>Oh</v>
          </cell>
          <cell r="F360" t="str">
            <v>Pekerja</v>
          </cell>
          <cell r="J360" t="str">
            <v>@</v>
          </cell>
          <cell r="K360">
            <v>65000</v>
          </cell>
          <cell r="L360">
            <v>6500</v>
          </cell>
          <cell r="M360">
            <v>0</v>
          </cell>
          <cell r="N360">
            <v>6500</v>
          </cell>
        </row>
        <row r="361">
          <cell r="B361">
            <v>2</v>
          </cell>
          <cell r="D361">
            <v>0.1</v>
          </cell>
          <cell r="E361" t="str">
            <v>Oh</v>
          </cell>
          <cell r="F361" t="str">
            <v>Tukang</v>
          </cell>
          <cell r="G361" t="str">
            <v>kayu</v>
          </cell>
          <cell r="J361" t="str">
            <v>@</v>
          </cell>
          <cell r="K361">
            <v>80000</v>
          </cell>
          <cell r="L361">
            <v>8000</v>
          </cell>
          <cell r="M361">
            <v>0</v>
          </cell>
          <cell r="N361">
            <v>8000</v>
          </cell>
        </row>
        <row r="362">
          <cell r="B362">
            <v>3</v>
          </cell>
          <cell r="D362">
            <v>0.01</v>
          </cell>
          <cell r="E362" t="str">
            <v>Oh</v>
          </cell>
          <cell r="F362" t="str">
            <v>Kepala Tukang</v>
          </cell>
          <cell r="J362" t="str">
            <v>@</v>
          </cell>
          <cell r="K362">
            <v>90000</v>
          </cell>
          <cell r="L362">
            <v>900</v>
          </cell>
          <cell r="M362">
            <v>0</v>
          </cell>
          <cell r="N362">
            <v>900</v>
          </cell>
        </row>
        <row r="363">
          <cell r="B363">
            <v>4</v>
          </cell>
          <cell r="D363">
            <v>0.05</v>
          </cell>
          <cell r="E363" t="str">
            <v>Oh</v>
          </cell>
          <cell r="F363" t="str">
            <v>Mandor</v>
          </cell>
          <cell r="J363" t="str">
            <v>@</v>
          </cell>
          <cell r="K363">
            <v>80000</v>
          </cell>
          <cell r="L363">
            <v>4000</v>
          </cell>
          <cell r="M363">
            <v>0</v>
          </cell>
          <cell r="N363">
            <v>4000</v>
          </cell>
        </row>
        <row r="364">
          <cell r="C364" t="str">
            <v>B</v>
          </cell>
          <cell r="D364" t="str">
            <v>Jumlah</v>
          </cell>
          <cell r="L364">
            <v>19400</v>
          </cell>
          <cell r="M364">
            <v>20235</v>
          </cell>
          <cell r="N364">
            <v>39635</v>
          </cell>
        </row>
        <row r="366">
          <cell r="A366">
            <v>36</v>
          </cell>
          <cell r="C366">
            <v>36</v>
          </cell>
          <cell r="D366" t="str">
            <v>1M2</v>
          </cell>
          <cell r="E366" t="str">
            <v>Pas.Rang Plafond Kayu Klas II (SNI)</v>
          </cell>
          <cell r="P366" t="e">
            <v>#REF!</v>
          </cell>
        </row>
        <row r="367">
          <cell r="B367">
            <v>20</v>
          </cell>
          <cell r="D367">
            <v>1.2E-2</v>
          </cell>
          <cell r="E367" t="str">
            <v>M³</v>
          </cell>
          <cell r="F367" t="str">
            <v>Kayu Klas II</v>
          </cell>
          <cell r="J367" t="str">
            <v>@</v>
          </cell>
          <cell r="K367">
            <v>2175000</v>
          </cell>
          <cell r="L367">
            <v>0</v>
          </cell>
          <cell r="M367">
            <v>26100</v>
          </cell>
          <cell r="N367">
            <v>26100</v>
          </cell>
        </row>
        <row r="368">
          <cell r="B368">
            <v>29</v>
          </cell>
          <cell r="D368">
            <v>0.1</v>
          </cell>
          <cell r="E368" t="str">
            <v>Kg</v>
          </cell>
          <cell r="F368" t="str">
            <v>Paku Biasa</v>
          </cell>
          <cell r="J368" t="str">
            <v>@</v>
          </cell>
          <cell r="K368">
            <v>25500</v>
          </cell>
          <cell r="L368">
            <v>0</v>
          </cell>
          <cell r="M368">
            <v>2550</v>
          </cell>
          <cell r="N368">
            <v>2550</v>
          </cell>
        </row>
        <row r="369">
          <cell r="B369">
            <v>1</v>
          </cell>
          <cell r="D369">
            <v>0.15</v>
          </cell>
          <cell r="E369" t="str">
            <v>Oh</v>
          </cell>
          <cell r="F369" t="str">
            <v>Pekerja</v>
          </cell>
          <cell r="J369" t="str">
            <v>@</v>
          </cell>
          <cell r="K369">
            <v>65000</v>
          </cell>
          <cell r="L369">
            <v>9750</v>
          </cell>
          <cell r="M369">
            <v>0</v>
          </cell>
          <cell r="N369">
            <v>9750</v>
          </cell>
        </row>
        <row r="370">
          <cell r="B370">
            <v>2</v>
          </cell>
          <cell r="D370">
            <v>0.25</v>
          </cell>
          <cell r="E370" t="str">
            <v>Oh</v>
          </cell>
          <cell r="F370" t="str">
            <v>Tukang</v>
          </cell>
          <cell r="G370" t="str">
            <v>kayu</v>
          </cell>
          <cell r="J370" t="str">
            <v>@</v>
          </cell>
          <cell r="K370">
            <v>80000</v>
          </cell>
          <cell r="L370">
            <v>20000</v>
          </cell>
          <cell r="M370">
            <v>0</v>
          </cell>
          <cell r="N370">
            <v>20000</v>
          </cell>
        </row>
        <row r="371">
          <cell r="B371">
            <v>3</v>
          </cell>
          <cell r="D371">
            <v>2.5000000000000001E-2</v>
          </cell>
          <cell r="E371" t="str">
            <v>Oh</v>
          </cell>
          <cell r="F371" t="str">
            <v>Kepala Tukang</v>
          </cell>
          <cell r="J371" t="str">
            <v>@</v>
          </cell>
          <cell r="K371">
            <v>90000</v>
          </cell>
          <cell r="L371">
            <v>2250</v>
          </cell>
          <cell r="M371">
            <v>0</v>
          </cell>
          <cell r="N371">
            <v>2250</v>
          </cell>
        </row>
        <row r="372">
          <cell r="B372">
            <v>4</v>
          </cell>
          <cell r="D372">
            <v>7.4999999999999997E-2</v>
          </cell>
          <cell r="E372" t="str">
            <v>Oh</v>
          </cell>
          <cell r="F372" t="str">
            <v>Mandor</v>
          </cell>
          <cell r="J372" t="str">
            <v>@</v>
          </cell>
          <cell r="K372">
            <v>80000</v>
          </cell>
          <cell r="L372">
            <v>6000</v>
          </cell>
          <cell r="M372">
            <v>0</v>
          </cell>
          <cell r="N372">
            <v>6000</v>
          </cell>
        </row>
        <row r="373">
          <cell r="C373" t="str">
            <v>B</v>
          </cell>
          <cell r="D373" t="str">
            <v>Jumlah</v>
          </cell>
          <cell r="L373">
            <v>38000</v>
          </cell>
          <cell r="M373">
            <v>28650</v>
          </cell>
          <cell r="N373">
            <v>66650</v>
          </cell>
        </row>
        <row r="375">
          <cell r="A375">
            <v>37</v>
          </cell>
          <cell r="C375">
            <v>37</v>
          </cell>
          <cell r="D375" t="str">
            <v>1M2</v>
          </cell>
          <cell r="E375" t="str">
            <v>Pas.Penutup Plafond Tripleks 3 mm (SNI)</v>
          </cell>
          <cell r="P375" t="e">
            <v>#REF!</v>
          </cell>
        </row>
        <row r="376">
          <cell r="B376">
            <v>24</v>
          </cell>
          <cell r="D376">
            <v>0.375</v>
          </cell>
          <cell r="E376" t="str">
            <v>Lbr</v>
          </cell>
          <cell r="F376" t="str">
            <v>Tripleks 3 mm</v>
          </cell>
          <cell r="J376" t="str">
            <v>@</v>
          </cell>
          <cell r="K376">
            <v>63000</v>
          </cell>
          <cell r="L376">
            <v>0</v>
          </cell>
          <cell r="M376">
            <v>23625</v>
          </cell>
          <cell r="N376">
            <v>23625</v>
          </cell>
        </row>
        <row r="377">
          <cell r="B377">
            <v>30</v>
          </cell>
          <cell r="D377">
            <v>0.03</v>
          </cell>
          <cell r="E377" t="str">
            <v>Kg</v>
          </cell>
          <cell r="F377" t="str">
            <v>Paku Tripleks</v>
          </cell>
          <cell r="J377" t="str">
            <v>@</v>
          </cell>
          <cell r="K377">
            <v>28680</v>
          </cell>
          <cell r="L377">
            <v>0</v>
          </cell>
          <cell r="M377">
            <v>860.4</v>
          </cell>
          <cell r="N377">
            <v>860.4</v>
          </cell>
        </row>
        <row r="378">
          <cell r="B378">
            <v>1</v>
          </cell>
          <cell r="D378">
            <v>7.0000000000000007E-2</v>
          </cell>
          <cell r="E378" t="str">
            <v>Oh</v>
          </cell>
          <cell r="F378" t="str">
            <v>Pekerja</v>
          </cell>
          <cell r="J378" t="str">
            <v>@</v>
          </cell>
          <cell r="K378">
            <v>65000</v>
          </cell>
          <cell r="L378">
            <v>4550</v>
          </cell>
          <cell r="M378">
            <v>0</v>
          </cell>
          <cell r="N378">
            <v>4550</v>
          </cell>
        </row>
        <row r="379">
          <cell r="B379">
            <v>2</v>
          </cell>
          <cell r="D379">
            <v>0.1</v>
          </cell>
          <cell r="E379" t="str">
            <v>Oh</v>
          </cell>
          <cell r="F379" t="str">
            <v>Tukang</v>
          </cell>
          <cell r="J379" t="str">
            <v>@</v>
          </cell>
          <cell r="K379">
            <v>80000</v>
          </cell>
          <cell r="L379">
            <v>8000</v>
          </cell>
          <cell r="M379">
            <v>0</v>
          </cell>
          <cell r="N379">
            <v>8000</v>
          </cell>
        </row>
        <row r="380">
          <cell r="B380">
            <v>3</v>
          </cell>
          <cell r="D380">
            <v>0.01</v>
          </cell>
          <cell r="E380" t="str">
            <v>Oh</v>
          </cell>
          <cell r="F380" t="str">
            <v>Kepala Tukang</v>
          </cell>
          <cell r="J380" t="str">
            <v>@</v>
          </cell>
          <cell r="K380">
            <v>90000</v>
          </cell>
          <cell r="L380">
            <v>900</v>
          </cell>
          <cell r="M380">
            <v>0</v>
          </cell>
          <cell r="N380">
            <v>900</v>
          </cell>
        </row>
        <row r="381">
          <cell r="B381">
            <v>4</v>
          </cell>
          <cell r="D381">
            <v>3.5000000000000001E-3</v>
          </cell>
          <cell r="E381" t="str">
            <v>Oh</v>
          </cell>
          <cell r="F381" t="str">
            <v>Mandor</v>
          </cell>
          <cell r="J381" t="str">
            <v>@</v>
          </cell>
          <cell r="K381">
            <v>80000</v>
          </cell>
          <cell r="L381">
            <v>280</v>
          </cell>
          <cell r="M381">
            <v>0</v>
          </cell>
          <cell r="N381">
            <v>280</v>
          </cell>
        </row>
        <row r="382">
          <cell r="C382" t="str">
            <v>B</v>
          </cell>
          <cell r="D382" t="str">
            <v>Jumlah</v>
          </cell>
          <cell r="L382">
            <v>13730</v>
          </cell>
          <cell r="M382">
            <v>24485.4</v>
          </cell>
          <cell r="N382">
            <v>38215.4</v>
          </cell>
        </row>
        <row r="384">
          <cell r="A384">
            <v>38</v>
          </cell>
          <cell r="C384">
            <v>38</v>
          </cell>
          <cell r="D384" t="str">
            <v>1M2</v>
          </cell>
          <cell r="E384" t="str">
            <v>Pas. Rangka + Penutup Plafond Tripleks 3 mm (SNI)</v>
          </cell>
          <cell r="P384" t="e">
            <v>#REF!</v>
          </cell>
        </row>
        <row r="385">
          <cell r="B385">
            <v>36</v>
          </cell>
          <cell r="E385" t="str">
            <v>Pas.Rang Plafond Kayu Klas II (SNI)</v>
          </cell>
          <cell r="N385" t="e">
            <v>#REF!</v>
          </cell>
        </row>
        <row r="386">
          <cell r="B386">
            <v>37</v>
          </cell>
          <cell r="E386" t="str">
            <v>Pas.Penutup Plafond Tripleks 3 mm (SNI)</v>
          </cell>
          <cell r="N386" t="e">
            <v>#REF!</v>
          </cell>
        </row>
        <row r="387">
          <cell r="E387" t="str">
            <v/>
          </cell>
          <cell r="F387" t="str">
            <v/>
          </cell>
          <cell r="N387" t="e">
            <v>#REF!</v>
          </cell>
        </row>
        <row r="389">
          <cell r="A389">
            <v>39</v>
          </cell>
          <cell r="C389">
            <v>39</v>
          </cell>
          <cell r="D389" t="str">
            <v>1M'</v>
          </cell>
          <cell r="E389" t="str">
            <v>Pas.List Langit-langit Kayu Profil</v>
          </cell>
          <cell r="P389" t="e">
            <v>#REF!</v>
          </cell>
        </row>
        <row r="390">
          <cell r="B390">
            <v>22</v>
          </cell>
          <cell r="D390">
            <v>1.05</v>
          </cell>
          <cell r="E390" t="str">
            <v>M'</v>
          </cell>
          <cell r="F390" t="str">
            <v>Kayu List Profil</v>
          </cell>
          <cell r="J390" t="str">
            <v>@</v>
          </cell>
          <cell r="K390">
            <v>6100</v>
          </cell>
          <cell r="L390">
            <v>0</v>
          </cell>
          <cell r="M390">
            <v>6405</v>
          </cell>
          <cell r="N390">
            <v>6405</v>
          </cell>
        </row>
        <row r="391">
          <cell r="B391">
            <v>29</v>
          </cell>
          <cell r="D391">
            <v>0.01</v>
          </cell>
          <cell r="E391" t="str">
            <v>Kg</v>
          </cell>
          <cell r="F391" t="str">
            <v>Paku Biasa</v>
          </cell>
          <cell r="J391" t="str">
            <v>@</v>
          </cell>
          <cell r="K391">
            <v>25500</v>
          </cell>
          <cell r="L391">
            <v>0</v>
          </cell>
          <cell r="M391">
            <v>255</v>
          </cell>
          <cell r="N391">
            <v>255</v>
          </cell>
        </row>
        <row r="392">
          <cell r="B392">
            <v>1</v>
          </cell>
          <cell r="D392">
            <v>2.1000000000000001E-2</v>
          </cell>
          <cell r="E392" t="str">
            <v>Oh</v>
          </cell>
          <cell r="F392" t="str">
            <v>Pekerja</v>
          </cell>
          <cell r="J392" t="str">
            <v>@</v>
          </cell>
          <cell r="K392">
            <v>65000</v>
          </cell>
          <cell r="L392">
            <v>1365</v>
          </cell>
          <cell r="M392">
            <v>0</v>
          </cell>
          <cell r="N392">
            <v>1365</v>
          </cell>
        </row>
        <row r="393">
          <cell r="B393">
            <v>2</v>
          </cell>
          <cell r="D393">
            <v>2.1000000000000001E-2</v>
          </cell>
          <cell r="E393" t="str">
            <v>Oh</v>
          </cell>
          <cell r="F393" t="str">
            <v>Tukang</v>
          </cell>
          <cell r="G393" t="str">
            <v>kayu</v>
          </cell>
          <cell r="J393" t="str">
            <v>@</v>
          </cell>
          <cell r="K393">
            <v>80000</v>
          </cell>
          <cell r="L393">
            <v>1680</v>
          </cell>
          <cell r="M393">
            <v>0</v>
          </cell>
          <cell r="N393">
            <v>1680</v>
          </cell>
        </row>
        <row r="394">
          <cell r="B394">
            <v>3</v>
          </cell>
          <cell r="D394">
            <v>2E-3</v>
          </cell>
          <cell r="E394" t="str">
            <v>Oh</v>
          </cell>
          <cell r="F394" t="str">
            <v>Kepala Tukang</v>
          </cell>
          <cell r="J394" t="str">
            <v>@</v>
          </cell>
          <cell r="K394">
            <v>90000</v>
          </cell>
          <cell r="L394">
            <v>180</v>
          </cell>
          <cell r="M394">
            <v>0</v>
          </cell>
          <cell r="N394">
            <v>180</v>
          </cell>
        </row>
        <row r="395">
          <cell r="B395">
            <v>4</v>
          </cell>
          <cell r="D395">
            <v>1E-3</v>
          </cell>
          <cell r="E395" t="str">
            <v>Oh</v>
          </cell>
          <cell r="F395" t="str">
            <v>Mandor</v>
          </cell>
          <cell r="J395" t="str">
            <v>@</v>
          </cell>
          <cell r="K395">
            <v>80000</v>
          </cell>
          <cell r="L395">
            <v>80</v>
          </cell>
          <cell r="M395">
            <v>0</v>
          </cell>
          <cell r="N395">
            <v>80</v>
          </cell>
        </row>
        <row r="396">
          <cell r="C396" t="str">
            <v>B</v>
          </cell>
          <cell r="D396" t="str">
            <v>Jumlah</v>
          </cell>
          <cell r="L396">
            <v>3305</v>
          </cell>
          <cell r="M396">
            <v>6660</v>
          </cell>
          <cell r="N396">
            <v>9965</v>
          </cell>
        </row>
        <row r="398">
          <cell r="A398">
            <v>40</v>
          </cell>
          <cell r="C398">
            <v>40</v>
          </cell>
          <cell r="D398" t="str">
            <v>1M'</v>
          </cell>
          <cell r="E398" t="str">
            <v>Pas.Talang Miring, Seng Bj Ls 0,2 (SNI)</v>
          </cell>
          <cell r="P398" t="e">
            <v>#REF!</v>
          </cell>
        </row>
        <row r="399">
          <cell r="B399">
            <v>58</v>
          </cell>
          <cell r="D399">
            <v>0.5</v>
          </cell>
          <cell r="E399" t="str">
            <v>Lbr</v>
          </cell>
          <cell r="F399" t="str">
            <v>Seng Plat</v>
          </cell>
          <cell r="J399" t="str">
            <v>@</v>
          </cell>
          <cell r="K399">
            <v>22950</v>
          </cell>
          <cell r="L399">
            <v>0</v>
          </cell>
          <cell r="M399">
            <v>11475</v>
          </cell>
          <cell r="N399">
            <v>11475</v>
          </cell>
        </row>
        <row r="400">
          <cell r="B400">
            <v>29</v>
          </cell>
          <cell r="D400">
            <v>1.4999999999999999E-2</v>
          </cell>
          <cell r="E400" t="str">
            <v>Kg</v>
          </cell>
          <cell r="F400" t="str">
            <v>Paku Biasa</v>
          </cell>
          <cell r="J400" t="str">
            <v>@</v>
          </cell>
          <cell r="K400">
            <v>25500</v>
          </cell>
          <cell r="L400">
            <v>0</v>
          </cell>
          <cell r="M400">
            <v>382.5</v>
          </cell>
          <cell r="N400">
            <v>382.5</v>
          </cell>
        </row>
        <row r="401">
          <cell r="B401">
            <v>20</v>
          </cell>
          <cell r="D401">
            <v>1.9E-2</v>
          </cell>
          <cell r="E401" t="str">
            <v>M³</v>
          </cell>
          <cell r="F401" t="str">
            <v>Kayu Klas II</v>
          </cell>
          <cell r="J401" t="str">
            <v>@</v>
          </cell>
          <cell r="K401">
            <v>2175000</v>
          </cell>
          <cell r="L401">
            <v>0</v>
          </cell>
          <cell r="M401">
            <v>41325</v>
          </cell>
          <cell r="N401">
            <v>41325</v>
          </cell>
        </row>
        <row r="402">
          <cell r="B402">
            <v>41</v>
          </cell>
          <cell r="D402">
            <v>0.3</v>
          </cell>
          <cell r="E402" t="str">
            <v>Kg</v>
          </cell>
          <cell r="F402" t="str">
            <v>Cat Meni</v>
          </cell>
          <cell r="J402" t="str">
            <v>@</v>
          </cell>
          <cell r="K402">
            <v>37250</v>
          </cell>
          <cell r="L402">
            <v>0</v>
          </cell>
          <cell r="M402">
            <v>11175</v>
          </cell>
          <cell r="N402">
            <v>11175</v>
          </cell>
        </row>
        <row r="403">
          <cell r="B403">
            <v>1</v>
          </cell>
          <cell r="D403">
            <v>0.04</v>
          </cell>
          <cell r="E403" t="str">
            <v>Oh</v>
          </cell>
          <cell r="F403" t="str">
            <v>Pekerja</v>
          </cell>
          <cell r="J403" t="str">
            <v>@</v>
          </cell>
          <cell r="K403">
            <v>65000</v>
          </cell>
          <cell r="L403">
            <v>2600</v>
          </cell>
          <cell r="M403">
            <v>0</v>
          </cell>
          <cell r="N403">
            <v>2600</v>
          </cell>
        </row>
        <row r="404">
          <cell r="B404">
            <v>2</v>
          </cell>
          <cell r="D404">
            <v>0.4</v>
          </cell>
          <cell r="E404" t="str">
            <v>Oh</v>
          </cell>
          <cell r="F404" t="str">
            <v>Tukang</v>
          </cell>
          <cell r="J404" t="str">
            <v>@</v>
          </cell>
          <cell r="K404">
            <v>80000</v>
          </cell>
          <cell r="L404">
            <v>32000</v>
          </cell>
          <cell r="M404">
            <v>0</v>
          </cell>
          <cell r="N404">
            <v>32000</v>
          </cell>
        </row>
        <row r="405">
          <cell r="B405">
            <v>3</v>
          </cell>
          <cell r="D405">
            <v>2.5000000000000001E-2</v>
          </cell>
          <cell r="E405" t="str">
            <v>Oh</v>
          </cell>
          <cell r="F405" t="str">
            <v>Kepala Tukang</v>
          </cell>
          <cell r="J405" t="str">
            <v>@</v>
          </cell>
          <cell r="K405">
            <v>90000</v>
          </cell>
          <cell r="L405">
            <v>2250</v>
          </cell>
          <cell r="M405">
            <v>0</v>
          </cell>
          <cell r="N405">
            <v>2250</v>
          </cell>
        </row>
        <row r="406">
          <cell r="B406">
            <v>4</v>
          </cell>
          <cell r="D406">
            <v>1.25E-3</v>
          </cell>
          <cell r="E406" t="str">
            <v>Oh</v>
          </cell>
          <cell r="F406" t="str">
            <v>Mandor</v>
          </cell>
          <cell r="J406" t="str">
            <v>@</v>
          </cell>
          <cell r="K406">
            <v>80000</v>
          </cell>
          <cell r="L406">
            <v>100</v>
          </cell>
          <cell r="M406">
            <v>0</v>
          </cell>
          <cell r="N406">
            <v>100</v>
          </cell>
        </row>
        <row r="407">
          <cell r="C407" t="str">
            <v>B</v>
          </cell>
          <cell r="D407" t="str">
            <v>Jumlah</v>
          </cell>
          <cell r="L407">
            <v>36950</v>
          </cell>
          <cell r="M407">
            <v>52882.5</v>
          </cell>
          <cell r="N407">
            <v>101307.5</v>
          </cell>
        </row>
        <row r="409">
          <cell r="A409">
            <v>41</v>
          </cell>
          <cell r="C409">
            <v>41</v>
          </cell>
          <cell r="D409" t="str">
            <v>1M2</v>
          </cell>
          <cell r="E409" t="str">
            <v>Pas. Atap Genteng Metal</v>
          </cell>
          <cell r="P409" t="e">
            <v>#REF!</v>
          </cell>
        </row>
        <row r="410">
          <cell r="B410">
            <v>57</v>
          </cell>
          <cell r="D410">
            <v>0.98</v>
          </cell>
          <cell r="E410" t="str">
            <v>Lbr</v>
          </cell>
          <cell r="F410" t="str">
            <v>Genteng Metal</v>
          </cell>
          <cell r="J410" t="str">
            <v>@</v>
          </cell>
          <cell r="K410">
            <v>55912</v>
          </cell>
          <cell r="L410">
            <v>0</v>
          </cell>
          <cell r="M410">
            <v>54793.760000000002</v>
          </cell>
          <cell r="N410">
            <v>54793.760000000002</v>
          </cell>
        </row>
        <row r="411">
          <cell r="B411">
            <v>31</v>
          </cell>
          <cell r="D411">
            <v>0.02</v>
          </cell>
          <cell r="E411" t="str">
            <v>Kg</v>
          </cell>
          <cell r="F411" t="str">
            <v>Paku Seng</v>
          </cell>
          <cell r="J411" t="str">
            <v>@</v>
          </cell>
          <cell r="K411">
            <v>34425</v>
          </cell>
          <cell r="L411">
            <v>0</v>
          </cell>
          <cell r="M411">
            <v>688.5</v>
          </cell>
          <cell r="N411">
            <v>688.5</v>
          </cell>
        </row>
        <row r="412">
          <cell r="B412">
            <v>1</v>
          </cell>
          <cell r="D412">
            <v>0.12</v>
          </cell>
          <cell r="E412" t="str">
            <v>Oh</v>
          </cell>
          <cell r="F412" t="str">
            <v>Pekerja</v>
          </cell>
          <cell r="J412" t="str">
            <v>@</v>
          </cell>
          <cell r="K412">
            <v>65000</v>
          </cell>
          <cell r="L412">
            <v>7800</v>
          </cell>
          <cell r="M412">
            <v>0</v>
          </cell>
          <cell r="N412">
            <v>7800</v>
          </cell>
        </row>
        <row r="413">
          <cell r="B413">
            <v>2</v>
          </cell>
          <cell r="D413">
            <v>0.06</v>
          </cell>
          <cell r="E413" t="str">
            <v>Oh</v>
          </cell>
          <cell r="F413" t="str">
            <v>Tukang</v>
          </cell>
          <cell r="J413" t="str">
            <v>@</v>
          </cell>
          <cell r="K413">
            <v>80000</v>
          </cell>
          <cell r="L413">
            <v>4800</v>
          </cell>
          <cell r="M413">
            <v>0</v>
          </cell>
          <cell r="N413">
            <v>4800</v>
          </cell>
        </row>
        <row r="414">
          <cell r="B414">
            <v>3</v>
          </cell>
          <cell r="D414">
            <v>6.0000000000000001E-3</v>
          </cell>
          <cell r="E414" t="str">
            <v>Oh</v>
          </cell>
          <cell r="F414" t="str">
            <v>Kepala Tukang</v>
          </cell>
          <cell r="J414" t="str">
            <v>@</v>
          </cell>
          <cell r="K414">
            <v>90000</v>
          </cell>
          <cell r="L414">
            <v>540</v>
          </cell>
          <cell r="M414">
            <v>0</v>
          </cell>
          <cell r="N414">
            <v>540</v>
          </cell>
        </row>
        <row r="415">
          <cell r="B415">
            <v>4</v>
          </cell>
          <cell r="D415">
            <v>6.0000000000000001E-3</v>
          </cell>
          <cell r="E415" t="str">
            <v>Oh</v>
          </cell>
          <cell r="F415" t="str">
            <v>Mandor</v>
          </cell>
          <cell r="J415" t="str">
            <v>@</v>
          </cell>
          <cell r="K415">
            <v>80000</v>
          </cell>
          <cell r="L415">
            <v>480</v>
          </cell>
          <cell r="M415">
            <v>0</v>
          </cell>
          <cell r="N415">
            <v>480</v>
          </cell>
        </row>
        <row r="416">
          <cell r="C416" t="str">
            <v>B</v>
          </cell>
          <cell r="D416" t="str">
            <v>Jumlah</v>
          </cell>
          <cell r="L416">
            <v>13620</v>
          </cell>
          <cell r="M416">
            <v>55482.26</v>
          </cell>
          <cell r="N416">
            <v>69102.260000000009</v>
          </cell>
        </row>
        <row r="418">
          <cell r="A418">
            <v>42</v>
          </cell>
          <cell r="C418">
            <v>42</v>
          </cell>
          <cell r="D418" t="str">
            <v>1M'</v>
          </cell>
          <cell r="E418" t="str">
            <v>Pas.Penutup Bubungan (SNI)</v>
          </cell>
          <cell r="P418" t="e">
            <v>#REF!</v>
          </cell>
        </row>
        <row r="419">
          <cell r="B419">
            <v>58</v>
          </cell>
          <cell r="D419">
            <v>0.3</v>
          </cell>
          <cell r="E419" t="str">
            <v>Lbr</v>
          </cell>
          <cell r="F419" t="str">
            <v>Seng Plat</v>
          </cell>
          <cell r="J419" t="str">
            <v>@</v>
          </cell>
          <cell r="K419">
            <v>22950</v>
          </cell>
          <cell r="L419">
            <v>0</v>
          </cell>
          <cell r="M419">
            <v>6885</v>
          </cell>
          <cell r="N419">
            <v>6885</v>
          </cell>
        </row>
        <row r="420">
          <cell r="B420">
            <v>31</v>
          </cell>
          <cell r="D420">
            <v>0.04</v>
          </cell>
          <cell r="E420" t="str">
            <v>Kg</v>
          </cell>
          <cell r="F420" t="str">
            <v>Paku Seng</v>
          </cell>
          <cell r="J420" t="str">
            <v>@</v>
          </cell>
          <cell r="K420">
            <v>34425</v>
          </cell>
          <cell r="L420">
            <v>0</v>
          </cell>
          <cell r="M420">
            <v>1377</v>
          </cell>
          <cell r="N420">
            <v>1377</v>
          </cell>
        </row>
        <row r="421">
          <cell r="B421">
            <v>1</v>
          </cell>
          <cell r="D421">
            <v>0.15</v>
          </cell>
          <cell r="E421" t="str">
            <v>Oh</v>
          </cell>
          <cell r="F421" t="str">
            <v>Pekerja</v>
          </cell>
          <cell r="J421" t="str">
            <v>@</v>
          </cell>
          <cell r="K421">
            <v>65000</v>
          </cell>
          <cell r="L421">
            <v>9750</v>
          </cell>
          <cell r="M421">
            <v>0</v>
          </cell>
          <cell r="N421">
            <v>9750</v>
          </cell>
        </row>
        <row r="422">
          <cell r="B422">
            <v>2</v>
          </cell>
          <cell r="D422">
            <v>7.0000000000000007E-2</v>
          </cell>
          <cell r="E422" t="str">
            <v>Oh</v>
          </cell>
          <cell r="F422" t="str">
            <v>Tukang</v>
          </cell>
          <cell r="J422" t="str">
            <v>@</v>
          </cell>
          <cell r="K422">
            <v>80000</v>
          </cell>
          <cell r="L422">
            <v>5600.0000000000009</v>
          </cell>
          <cell r="M422">
            <v>0</v>
          </cell>
          <cell r="N422">
            <v>5600.0000000000009</v>
          </cell>
        </row>
        <row r="423">
          <cell r="B423">
            <v>3</v>
          </cell>
          <cell r="D423">
            <v>8.0000000000000002E-3</v>
          </cell>
          <cell r="E423" t="str">
            <v>Oh</v>
          </cell>
          <cell r="F423" t="str">
            <v>Kepala Tukang</v>
          </cell>
          <cell r="J423" t="str">
            <v>@</v>
          </cell>
          <cell r="K423">
            <v>90000</v>
          </cell>
          <cell r="L423">
            <v>720</v>
          </cell>
          <cell r="M423">
            <v>0</v>
          </cell>
          <cell r="N423">
            <v>720</v>
          </cell>
        </row>
        <row r="424">
          <cell r="B424">
            <v>4</v>
          </cell>
          <cell r="D424">
            <v>6.0000000000000001E-3</v>
          </cell>
          <cell r="E424" t="str">
            <v>Oh</v>
          </cell>
          <cell r="F424" t="str">
            <v>Mandor</v>
          </cell>
          <cell r="J424" t="str">
            <v>@</v>
          </cell>
          <cell r="K424">
            <v>80000</v>
          </cell>
          <cell r="L424">
            <v>480</v>
          </cell>
          <cell r="M424">
            <v>0</v>
          </cell>
          <cell r="N424">
            <v>480</v>
          </cell>
        </row>
        <row r="425">
          <cell r="C425" t="str">
            <v>B</v>
          </cell>
          <cell r="D425" t="str">
            <v>Jumlah</v>
          </cell>
          <cell r="L425">
            <v>16550</v>
          </cell>
          <cell r="M425">
            <v>8262</v>
          </cell>
          <cell r="N425">
            <v>24812</v>
          </cell>
        </row>
        <row r="427">
          <cell r="D427" t="str">
            <v>F. PEKERJAAN DAUN PINTU, JENDELA DAN JALUSI</v>
          </cell>
        </row>
        <row r="428">
          <cell r="A428">
            <v>43</v>
          </cell>
          <cell r="C428">
            <v>43</v>
          </cell>
          <cell r="D428" t="str">
            <v>1M2</v>
          </cell>
          <cell r="E428" t="str">
            <v>Bingkai Pintu Kaca dan Jendela Kaca Kayu Klas II (SNI)</v>
          </cell>
          <cell r="P428" t="e">
            <v>#REF!</v>
          </cell>
        </row>
        <row r="429">
          <cell r="B429">
            <v>20</v>
          </cell>
          <cell r="D429">
            <v>3.5000000000000003E-2</v>
          </cell>
          <cell r="E429" t="str">
            <v>M³</v>
          </cell>
          <cell r="F429" t="str">
            <v>Kayu Klas II</v>
          </cell>
          <cell r="J429" t="str">
            <v>@</v>
          </cell>
          <cell r="K429">
            <v>2175000</v>
          </cell>
          <cell r="L429">
            <v>0</v>
          </cell>
          <cell r="M429">
            <v>76125</v>
          </cell>
          <cell r="N429">
            <v>76125</v>
          </cell>
        </row>
        <row r="430">
          <cell r="B430">
            <v>1</v>
          </cell>
          <cell r="D430">
            <v>0.8</v>
          </cell>
          <cell r="E430" t="str">
            <v>Oh</v>
          </cell>
          <cell r="F430" t="str">
            <v>Pekerja</v>
          </cell>
          <cell r="J430" t="str">
            <v>@</v>
          </cell>
          <cell r="K430">
            <v>65000</v>
          </cell>
          <cell r="L430">
            <v>52000</v>
          </cell>
          <cell r="M430">
            <v>0</v>
          </cell>
          <cell r="N430">
            <v>52000</v>
          </cell>
        </row>
        <row r="431">
          <cell r="B431">
            <v>2</v>
          </cell>
          <cell r="D431">
            <v>2</v>
          </cell>
          <cell r="E431" t="str">
            <v>Oh</v>
          </cell>
          <cell r="F431" t="str">
            <v>Tukang</v>
          </cell>
          <cell r="J431" t="str">
            <v>@</v>
          </cell>
          <cell r="K431">
            <v>80000</v>
          </cell>
          <cell r="L431">
            <v>160000</v>
          </cell>
          <cell r="M431">
            <v>0</v>
          </cell>
          <cell r="N431">
            <v>160000</v>
          </cell>
        </row>
        <row r="432">
          <cell r="B432">
            <v>3</v>
          </cell>
          <cell r="D432">
            <v>0.2</v>
          </cell>
          <cell r="E432" t="str">
            <v>Oh</v>
          </cell>
          <cell r="F432" t="str">
            <v>Kepala Tukang</v>
          </cell>
          <cell r="J432" t="str">
            <v>@</v>
          </cell>
          <cell r="K432">
            <v>90000</v>
          </cell>
          <cell r="L432">
            <v>18000</v>
          </cell>
          <cell r="M432">
            <v>0</v>
          </cell>
          <cell r="N432">
            <v>18000</v>
          </cell>
        </row>
        <row r="433">
          <cell r="B433">
            <v>4</v>
          </cell>
          <cell r="D433">
            <v>0.04</v>
          </cell>
          <cell r="E433" t="str">
            <v>Oh</v>
          </cell>
          <cell r="F433" t="str">
            <v>Mandor</v>
          </cell>
          <cell r="J433" t="str">
            <v>@</v>
          </cell>
          <cell r="K433">
            <v>80000</v>
          </cell>
          <cell r="L433">
            <v>3200</v>
          </cell>
          <cell r="M433">
            <v>0</v>
          </cell>
          <cell r="N433">
            <v>3200</v>
          </cell>
        </row>
        <row r="434">
          <cell r="C434" t="str">
            <v>B</v>
          </cell>
          <cell r="D434" t="str">
            <v>Jumlah</v>
          </cell>
          <cell r="L434">
            <v>233200</v>
          </cell>
          <cell r="M434">
            <v>76125</v>
          </cell>
          <cell r="N434">
            <v>309325</v>
          </cell>
        </row>
        <row r="436">
          <cell r="A436">
            <v>44</v>
          </cell>
          <cell r="C436">
            <v>44</v>
          </cell>
          <cell r="D436" t="str">
            <v>1M2</v>
          </cell>
          <cell r="E436" t="str">
            <v>Mengerjakan Pintu Panil Kayu Klas II</v>
          </cell>
          <cell r="P436" t="e">
            <v>#REF!</v>
          </cell>
        </row>
        <row r="437">
          <cell r="B437">
            <v>20</v>
          </cell>
          <cell r="D437">
            <v>0.04</v>
          </cell>
          <cell r="E437" t="str">
            <v>M³</v>
          </cell>
          <cell r="F437" t="str">
            <v>Kayu Klas II</v>
          </cell>
          <cell r="J437" t="str">
            <v>@</v>
          </cell>
          <cell r="K437">
            <v>2175000</v>
          </cell>
          <cell r="L437">
            <v>0</v>
          </cell>
          <cell r="M437">
            <v>87000</v>
          </cell>
          <cell r="N437">
            <v>87000</v>
          </cell>
        </row>
        <row r="438">
          <cell r="B438">
            <v>1</v>
          </cell>
          <cell r="D438">
            <v>1</v>
          </cell>
          <cell r="E438" t="str">
            <v>Oh</v>
          </cell>
          <cell r="F438" t="str">
            <v>Pekerja</v>
          </cell>
          <cell r="J438" t="str">
            <v>@</v>
          </cell>
          <cell r="K438">
            <v>65000</v>
          </cell>
          <cell r="L438">
            <v>65000</v>
          </cell>
          <cell r="M438">
            <v>0</v>
          </cell>
          <cell r="N438">
            <v>65000</v>
          </cell>
        </row>
        <row r="439">
          <cell r="B439">
            <v>2</v>
          </cell>
          <cell r="D439">
            <v>2.5</v>
          </cell>
          <cell r="E439" t="str">
            <v>Oh</v>
          </cell>
          <cell r="F439" t="str">
            <v>Tukang</v>
          </cell>
          <cell r="J439" t="str">
            <v>@</v>
          </cell>
          <cell r="K439">
            <v>80000</v>
          </cell>
          <cell r="L439">
            <v>200000</v>
          </cell>
          <cell r="M439">
            <v>0</v>
          </cell>
          <cell r="N439">
            <v>200000</v>
          </cell>
        </row>
        <row r="440">
          <cell r="B440">
            <v>3</v>
          </cell>
          <cell r="D440">
            <v>0.25</v>
          </cell>
          <cell r="E440" t="str">
            <v>Oh</v>
          </cell>
          <cell r="F440" t="str">
            <v>Kepala Tukang</v>
          </cell>
          <cell r="J440" t="str">
            <v>@</v>
          </cell>
          <cell r="K440">
            <v>90000</v>
          </cell>
          <cell r="L440">
            <v>22500</v>
          </cell>
          <cell r="M440">
            <v>0</v>
          </cell>
          <cell r="N440">
            <v>22500</v>
          </cell>
        </row>
        <row r="441">
          <cell r="B441">
            <v>4</v>
          </cell>
          <cell r="D441">
            <v>0.05</v>
          </cell>
          <cell r="E441" t="str">
            <v>Oh</v>
          </cell>
          <cell r="F441" t="str">
            <v>Mandor</v>
          </cell>
          <cell r="J441" t="str">
            <v>@</v>
          </cell>
          <cell r="K441">
            <v>80000</v>
          </cell>
          <cell r="L441">
            <v>4000</v>
          </cell>
          <cell r="M441">
            <v>0</v>
          </cell>
          <cell r="N441">
            <v>4000</v>
          </cell>
        </row>
        <row r="442">
          <cell r="C442" t="str">
            <v>B</v>
          </cell>
          <cell r="D442" t="str">
            <v>Jumlah</v>
          </cell>
          <cell r="L442">
            <v>291500</v>
          </cell>
          <cell r="M442">
            <v>87000</v>
          </cell>
          <cell r="N442">
            <v>378500</v>
          </cell>
        </row>
        <row r="444">
          <cell r="A444">
            <v>45</v>
          </cell>
          <cell r="C444">
            <v>45</v>
          </cell>
          <cell r="D444" t="str">
            <v>1M2</v>
          </cell>
          <cell r="E444" t="str">
            <v>Mengerjakan Pintu Teak Wood Lapis Aluminium Kulit Jeruk</v>
          </cell>
          <cell r="P444" t="e">
            <v>#REF!</v>
          </cell>
        </row>
        <row r="445">
          <cell r="B445">
            <v>20</v>
          </cell>
          <cell r="D445">
            <v>1.9599999999999999E-2</v>
          </cell>
          <cell r="E445" t="str">
            <v>M³</v>
          </cell>
          <cell r="F445" t="str">
            <v>Kayu Klas II</v>
          </cell>
          <cell r="J445" t="str">
            <v>@</v>
          </cell>
          <cell r="K445">
            <v>2175000</v>
          </cell>
          <cell r="L445">
            <v>0</v>
          </cell>
          <cell r="M445">
            <v>42630</v>
          </cell>
          <cell r="N445">
            <v>42630</v>
          </cell>
        </row>
        <row r="446">
          <cell r="B446">
            <v>29</v>
          </cell>
          <cell r="D446">
            <v>0.3</v>
          </cell>
          <cell r="E446" t="str">
            <v>Kg</v>
          </cell>
          <cell r="F446" t="str">
            <v>Paku Biasa</v>
          </cell>
          <cell r="J446" t="str">
            <v>@</v>
          </cell>
          <cell r="K446">
            <v>25500</v>
          </cell>
          <cell r="L446">
            <v>0</v>
          </cell>
          <cell r="M446">
            <v>7650</v>
          </cell>
          <cell r="N446">
            <v>7650</v>
          </cell>
        </row>
        <row r="447">
          <cell r="B447">
            <v>76</v>
          </cell>
          <cell r="D447">
            <v>0.3</v>
          </cell>
          <cell r="E447" t="str">
            <v>Ltr</v>
          </cell>
          <cell r="F447" t="str">
            <v>Lem Kayu</v>
          </cell>
          <cell r="J447" t="str">
            <v>@</v>
          </cell>
          <cell r="K447">
            <v>68500</v>
          </cell>
          <cell r="L447">
            <v>0</v>
          </cell>
          <cell r="M447">
            <v>20550</v>
          </cell>
          <cell r="N447">
            <v>20550</v>
          </cell>
        </row>
        <row r="448">
          <cell r="B448">
            <v>28</v>
          </cell>
          <cell r="D448">
            <v>0.69399999999999995</v>
          </cell>
          <cell r="E448" t="str">
            <v>Lbr</v>
          </cell>
          <cell r="F448" t="str">
            <v>Teak Wood</v>
          </cell>
          <cell r="J448" t="str">
            <v>@</v>
          </cell>
          <cell r="K448">
            <v>145900</v>
          </cell>
          <cell r="L448">
            <v>0</v>
          </cell>
          <cell r="M448">
            <v>101254.59999999999</v>
          </cell>
          <cell r="N448">
            <v>101254.59999999999</v>
          </cell>
        </row>
        <row r="449">
          <cell r="B449">
            <v>26</v>
          </cell>
          <cell r="D449">
            <v>0.34699999999999998</v>
          </cell>
          <cell r="E449" t="str">
            <v>Lbr</v>
          </cell>
          <cell r="F449" t="str">
            <v>Tripleks Aluminium Kulit Jeruk</v>
          </cell>
          <cell r="J449" t="str">
            <v>@</v>
          </cell>
          <cell r="K449">
            <v>149173</v>
          </cell>
          <cell r="L449">
            <v>0</v>
          </cell>
          <cell r="M449">
            <v>51763.030999999995</v>
          </cell>
          <cell r="N449">
            <v>51763.030999999995</v>
          </cell>
        </row>
        <row r="450">
          <cell r="B450">
            <v>1</v>
          </cell>
          <cell r="D450">
            <v>0.6</v>
          </cell>
          <cell r="E450" t="str">
            <v>Oh</v>
          </cell>
          <cell r="F450" t="str">
            <v>Pekerja</v>
          </cell>
          <cell r="J450" t="str">
            <v>@</v>
          </cell>
          <cell r="K450">
            <v>65000</v>
          </cell>
          <cell r="L450">
            <v>39000</v>
          </cell>
          <cell r="M450">
            <v>0</v>
          </cell>
          <cell r="N450">
            <v>39000</v>
          </cell>
        </row>
        <row r="451">
          <cell r="B451">
            <v>2</v>
          </cell>
          <cell r="D451">
            <v>1</v>
          </cell>
          <cell r="E451" t="str">
            <v>Oh</v>
          </cell>
          <cell r="F451" t="str">
            <v>Tukang</v>
          </cell>
          <cell r="J451" t="str">
            <v>@</v>
          </cell>
          <cell r="K451">
            <v>80000</v>
          </cell>
          <cell r="L451">
            <v>80000</v>
          </cell>
          <cell r="M451">
            <v>0</v>
          </cell>
          <cell r="N451">
            <v>80000</v>
          </cell>
        </row>
        <row r="452">
          <cell r="B452">
            <v>3</v>
          </cell>
          <cell r="D452">
            <v>0.25</v>
          </cell>
          <cell r="E452" t="str">
            <v>Oh</v>
          </cell>
          <cell r="F452" t="str">
            <v>Kepala Tukang</v>
          </cell>
          <cell r="J452" t="str">
            <v>@</v>
          </cell>
          <cell r="K452">
            <v>90000</v>
          </cell>
          <cell r="L452">
            <v>22500</v>
          </cell>
          <cell r="M452">
            <v>0</v>
          </cell>
          <cell r="N452">
            <v>22500</v>
          </cell>
        </row>
        <row r="453">
          <cell r="B453">
            <v>4</v>
          </cell>
          <cell r="D453">
            <v>2.5000000000000001E-2</v>
          </cell>
          <cell r="E453" t="str">
            <v>Oh</v>
          </cell>
          <cell r="F453" t="str">
            <v>Mandor</v>
          </cell>
          <cell r="J453" t="str">
            <v>@</v>
          </cell>
          <cell r="K453">
            <v>80000</v>
          </cell>
          <cell r="L453">
            <v>2000</v>
          </cell>
          <cell r="M453">
            <v>0</v>
          </cell>
          <cell r="N453">
            <v>2000</v>
          </cell>
        </row>
        <row r="454">
          <cell r="C454" t="str">
            <v>B</v>
          </cell>
          <cell r="D454" t="str">
            <v>Jumlah</v>
          </cell>
          <cell r="L454">
            <v>143500</v>
          </cell>
          <cell r="M454">
            <v>173567.63099999999</v>
          </cell>
          <cell r="N454">
            <v>367347.63099999994</v>
          </cell>
        </row>
        <row r="456">
          <cell r="A456">
            <v>46</v>
          </cell>
          <cell r="C456">
            <v>46</v>
          </cell>
          <cell r="D456" t="str">
            <v>1M2</v>
          </cell>
          <cell r="E456" t="str">
            <v>Mengerjakan Pintu Teak Wood Rangkap Kayu Klas II</v>
          </cell>
          <cell r="P456" t="e">
            <v>#REF!</v>
          </cell>
        </row>
        <row r="457">
          <cell r="B457">
            <v>20</v>
          </cell>
          <cell r="D457">
            <v>1.9599999999999999E-2</v>
          </cell>
          <cell r="E457" t="str">
            <v>M³</v>
          </cell>
          <cell r="F457" t="str">
            <v>Kayu Klas II</v>
          </cell>
          <cell r="J457" t="str">
            <v>@</v>
          </cell>
          <cell r="K457">
            <v>2175000</v>
          </cell>
          <cell r="L457">
            <v>0</v>
          </cell>
          <cell r="M457">
            <v>42630</v>
          </cell>
          <cell r="N457">
            <v>42630</v>
          </cell>
        </row>
        <row r="458">
          <cell r="B458">
            <v>29</v>
          </cell>
          <cell r="D458">
            <v>0.3</v>
          </cell>
          <cell r="E458" t="str">
            <v>Kg</v>
          </cell>
          <cell r="F458" t="str">
            <v>Paku Biasa</v>
          </cell>
          <cell r="J458" t="str">
            <v>@</v>
          </cell>
          <cell r="K458">
            <v>25500</v>
          </cell>
          <cell r="L458">
            <v>0</v>
          </cell>
          <cell r="M458">
            <v>7650</v>
          </cell>
          <cell r="N458">
            <v>7650</v>
          </cell>
        </row>
        <row r="459">
          <cell r="B459">
            <v>76</v>
          </cell>
          <cell r="D459">
            <v>0.3</v>
          </cell>
          <cell r="E459" t="str">
            <v>Ltr</v>
          </cell>
          <cell r="F459" t="str">
            <v>Lem Kayu</v>
          </cell>
          <cell r="J459" t="str">
            <v>@</v>
          </cell>
          <cell r="K459">
            <v>68500</v>
          </cell>
          <cell r="L459">
            <v>0</v>
          </cell>
          <cell r="M459">
            <v>20550</v>
          </cell>
          <cell r="N459">
            <v>20550</v>
          </cell>
        </row>
        <row r="460">
          <cell r="B460">
            <v>28</v>
          </cell>
          <cell r="D460">
            <v>1.4</v>
          </cell>
          <cell r="E460" t="str">
            <v>Lbr</v>
          </cell>
          <cell r="F460" t="str">
            <v>Teak Wood</v>
          </cell>
          <cell r="J460" t="str">
            <v>@</v>
          </cell>
          <cell r="K460">
            <v>145900</v>
          </cell>
          <cell r="L460">
            <v>0</v>
          </cell>
          <cell r="M460">
            <v>204260</v>
          </cell>
          <cell r="N460">
            <v>204260</v>
          </cell>
        </row>
        <row r="461">
          <cell r="B461">
            <v>1</v>
          </cell>
          <cell r="D461">
            <v>0.6</v>
          </cell>
          <cell r="E461" t="str">
            <v>Oh</v>
          </cell>
          <cell r="F461" t="str">
            <v>Pekerja</v>
          </cell>
          <cell r="J461" t="str">
            <v>@</v>
          </cell>
          <cell r="K461">
            <v>65000</v>
          </cell>
          <cell r="L461">
            <v>39000</v>
          </cell>
          <cell r="M461">
            <v>0</v>
          </cell>
          <cell r="N461">
            <v>39000</v>
          </cell>
        </row>
        <row r="462">
          <cell r="B462">
            <v>2</v>
          </cell>
          <cell r="D462">
            <v>1</v>
          </cell>
          <cell r="E462" t="str">
            <v>Oh</v>
          </cell>
          <cell r="F462" t="str">
            <v>Tukang</v>
          </cell>
          <cell r="J462" t="str">
            <v>@</v>
          </cell>
          <cell r="K462">
            <v>80000</v>
          </cell>
          <cell r="L462">
            <v>80000</v>
          </cell>
          <cell r="M462">
            <v>0</v>
          </cell>
          <cell r="N462">
            <v>80000</v>
          </cell>
        </row>
        <row r="463">
          <cell r="B463">
            <v>3</v>
          </cell>
          <cell r="D463">
            <v>0.25</v>
          </cell>
          <cell r="E463" t="str">
            <v>Oh</v>
          </cell>
          <cell r="F463" t="str">
            <v>Kepala Tukang</v>
          </cell>
          <cell r="J463" t="str">
            <v>@</v>
          </cell>
          <cell r="K463">
            <v>90000</v>
          </cell>
          <cell r="L463">
            <v>22500</v>
          </cell>
          <cell r="M463">
            <v>0</v>
          </cell>
          <cell r="N463">
            <v>22500</v>
          </cell>
        </row>
        <row r="464">
          <cell r="B464">
            <v>4</v>
          </cell>
          <cell r="D464">
            <v>2.5000000000000001E-2</v>
          </cell>
          <cell r="E464" t="str">
            <v>Oh</v>
          </cell>
          <cell r="F464" t="str">
            <v>Mandor</v>
          </cell>
          <cell r="J464" t="str">
            <v>@</v>
          </cell>
          <cell r="K464">
            <v>80000</v>
          </cell>
          <cell r="L464">
            <v>2000</v>
          </cell>
          <cell r="M464">
            <v>0</v>
          </cell>
          <cell r="N464">
            <v>2000</v>
          </cell>
        </row>
        <row r="465">
          <cell r="C465" t="str">
            <v>B</v>
          </cell>
          <cell r="D465" t="str">
            <v>Jumlah</v>
          </cell>
          <cell r="L465">
            <v>143500</v>
          </cell>
          <cell r="M465">
            <v>232460</v>
          </cell>
          <cell r="N465">
            <v>418590</v>
          </cell>
        </row>
        <row r="468">
          <cell r="A468">
            <v>47</v>
          </cell>
          <cell r="C468">
            <v>47</v>
          </cell>
          <cell r="D468" t="str">
            <v>1M2</v>
          </cell>
          <cell r="E468" t="str">
            <v>Pasang Jalusi Mati Kusen Kayu Klas II</v>
          </cell>
          <cell r="P468" t="e">
            <v>#REF!</v>
          </cell>
        </row>
        <row r="469">
          <cell r="B469">
            <v>20</v>
          </cell>
          <cell r="D469">
            <v>0.06</v>
          </cell>
          <cell r="E469" t="str">
            <v>M³</v>
          </cell>
          <cell r="F469" t="str">
            <v>Kayu Klas II</v>
          </cell>
          <cell r="J469" t="str">
            <v>@</v>
          </cell>
          <cell r="K469">
            <v>2175000</v>
          </cell>
          <cell r="L469">
            <v>0</v>
          </cell>
          <cell r="M469">
            <v>130500</v>
          </cell>
          <cell r="N469">
            <v>130500</v>
          </cell>
        </row>
        <row r="470">
          <cell r="B470">
            <v>29</v>
          </cell>
          <cell r="D470">
            <v>0.15</v>
          </cell>
          <cell r="E470" t="str">
            <v>Kg</v>
          </cell>
          <cell r="F470" t="str">
            <v>Paku Biasa</v>
          </cell>
          <cell r="J470" t="str">
            <v>@</v>
          </cell>
          <cell r="K470">
            <v>25500</v>
          </cell>
          <cell r="L470">
            <v>0</v>
          </cell>
          <cell r="M470">
            <v>3825</v>
          </cell>
          <cell r="N470">
            <v>3825</v>
          </cell>
        </row>
        <row r="471">
          <cell r="B471">
            <v>1</v>
          </cell>
          <cell r="D471">
            <v>0.5</v>
          </cell>
          <cell r="E471" t="str">
            <v>Oh</v>
          </cell>
          <cell r="F471" t="str">
            <v>Pekerja</v>
          </cell>
          <cell r="J471" t="str">
            <v>@</v>
          </cell>
          <cell r="K471">
            <v>65000</v>
          </cell>
          <cell r="L471">
            <v>32500</v>
          </cell>
          <cell r="M471">
            <v>0</v>
          </cell>
          <cell r="N471">
            <v>32500</v>
          </cell>
        </row>
        <row r="472">
          <cell r="B472">
            <v>2</v>
          </cell>
          <cell r="D472">
            <v>2</v>
          </cell>
          <cell r="E472" t="str">
            <v>Oh</v>
          </cell>
          <cell r="F472" t="str">
            <v>Tukang</v>
          </cell>
          <cell r="J472" t="str">
            <v>@</v>
          </cell>
          <cell r="K472">
            <v>80000</v>
          </cell>
          <cell r="L472">
            <v>160000</v>
          </cell>
          <cell r="M472">
            <v>0</v>
          </cell>
          <cell r="N472">
            <v>160000</v>
          </cell>
        </row>
        <row r="473">
          <cell r="B473">
            <v>3</v>
          </cell>
          <cell r="D473">
            <v>0.2</v>
          </cell>
          <cell r="E473" t="str">
            <v>Oh</v>
          </cell>
          <cell r="F473" t="str">
            <v>Kepala Tukang</v>
          </cell>
          <cell r="J473" t="str">
            <v>@</v>
          </cell>
          <cell r="K473">
            <v>90000</v>
          </cell>
          <cell r="L473">
            <v>18000</v>
          </cell>
          <cell r="M473">
            <v>0</v>
          </cell>
          <cell r="N473">
            <v>18000</v>
          </cell>
        </row>
        <row r="474">
          <cell r="B474">
            <v>4</v>
          </cell>
          <cell r="D474">
            <v>2.5000000000000001E-2</v>
          </cell>
          <cell r="E474" t="str">
            <v>Oh</v>
          </cell>
          <cell r="F474" t="str">
            <v>Mandor</v>
          </cell>
          <cell r="J474" t="str">
            <v>@</v>
          </cell>
          <cell r="K474">
            <v>80000</v>
          </cell>
          <cell r="L474">
            <v>2000</v>
          </cell>
          <cell r="M474">
            <v>0</v>
          </cell>
          <cell r="N474">
            <v>2000</v>
          </cell>
        </row>
        <row r="475">
          <cell r="C475" t="str">
            <v>B</v>
          </cell>
          <cell r="D475" t="str">
            <v>Jumlah</v>
          </cell>
          <cell r="L475">
            <v>212500</v>
          </cell>
          <cell r="M475">
            <v>134325</v>
          </cell>
          <cell r="N475">
            <v>346825</v>
          </cell>
        </row>
        <row r="477">
          <cell r="A477">
            <v>48</v>
          </cell>
          <cell r="C477">
            <v>48</v>
          </cell>
          <cell r="D477" t="str">
            <v>1M2</v>
          </cell>
          <cell r="E477" t="str">
            <v>Pas.Rangka + Dinding Papan Kayu Kelas II</v>
          </cell>
          <cell r="P477" t="e">
            <v>#REF!</v>
          </cell>
        </row>
        <row r="478">
          <cell r="B478">
            <v>20</v>
          </cell>
          <cell r="D478">
            <v>8.3000000000000001E-3</v>
          </cell>
          <cell r="E478" t="str">
            <v>M³</v>
          </cell>
          <cell r="F478" t="str">
            <v>Kayu Klas II</v>
          </cell>
          <cell r="H478" t="str">
            <v>Balok</v>
          </cell>
          <cell r="J478" t="str">
            <v>@</v>
          </cell>
          <cell r="K478">
            <v>2175000</v>
          </cell>
          <cell r="L478">
            <v>0</v>
          </cell>
          <cell r="M478">
            <v>18052.5</v>
          </cell>
          <cell r="N478">
            <v>18052.5</v>
          </cell>
        </row>
        <row r="479">
          <cell r="B479">
            <v>20</v>
          </cell>
          <cell r="D479">
            <v>0.02</v>
          </cell>
          <cell r="E479" t="str">
            <v>M³</v>
          </cell>
          <cell r="F479" t="str">
            <v>Kayu Klas II</v>
          </cell>
          <cell r="H479" t="str">
            <v>Papan</v>
          </cell>
          <cell r="J479" t="str">
            <v>@</v>
          </cell>
          <cell r="K479">
            <v>2175000</v>
          </cell>
          <cell r="L479">
            <v>0</v>
          </cell>
          <cell r="M479">
            <v>43500</v>
          </cell>
          <cell r="N479">
            <v>43500</v>
          </cell>
        </row>
        <row r="480">
          <cell r="B480">
            <v>29</v>
          </cell>
          <cell r="D480">
            <v>0.1</v>
          </cell>
          <cell r="E480" t="str">
            <v>Kg</v>
          </cell>
          <cell r="F480" t="str">
            <v>Paku Biasa</v>
          </cell>
          <cell r="J480" t="str">
            <v>@</v>
          </cell>
          <cell r="K480">
            <v>25500</v>
          </cell>
          <cell r="L480">
            <v>0</v>
          </cell>
          <cell r="M480">
            <v>2550</v>
          </cell>
          <cell r="N480">
            <v>2550</v>
          </cell>
        </row>
        <row r="481">
          <cell r="B481">
            <v>1</v>
          </cell>
          <cell r="D481">
            <v>0.15</v>
          </cell>
          <cell r="E481" t="str">
            <v>Oh</v>
          </cell>
          <cell r="F481" t="str">
            <v>Pekerja</v>
          </cell>
          <cell r="J481" t="str">
            <v>@</v>
          </cell>
          <cell r="K481">
            <v>65000</v>
          </cell>
          <cell r="L481">
            <v>9750</v>
          </cell>
          <cell r="M481">
            <v>0</v>
          </cell>
          <cell r="N481">
            <v>9750</v>
          </cell>
        </row>
        <row r="482">
          <cell r="B482">
            <v>2</v>
          </cell>
          <cell r="D482">
            <v>0.45</v>
          </cell>
          <cell r="E482" t="str">
            <v>Oh</v>
          </cell>
          <cell r="F482" t="str">
            <v>Tukang</v>
          </cell>
          <cell r="J482" t="str">
            <v>@</v>
          </cell>
          <cell r="K482">
            <v>80000</v>
          </cell>
          <cell r="L482">
            <v>36000</v>
          </cell>
          <cell r="M482">
            <v>0</v>
          </cell>
          <cell r="N482">
            <v>36000</v>
          </cell>
        </row>
        <row r="483">
          <cell r="B483">
            <v>3</v>
          </cell>
          <cell r="D483">
            <v>4.4999999999999998E-2</v>
          </cell>
          <cell r="E483" t="str">
            <v>Oh</v>
          </cell>
          <cell r="F483" t="str">
            <v>Kepala Tukang</v>
          </cell>
          <cell r="J483" t="str">
            <v>@</v>
          </cell>
          <cell r="K483">
            <v>90000</v>
          </cell>
          <cell r="L483">
            <v>4050</v>
          </cell>
          <cell r="M483">
            <v>0</v>
          </cell>
          <cell r="N483">
            <v>4050</v>
          </cell>
        </row>
        <row r="484">
          <cell r="B484">
            <v>4</v>
          </cell>
          <cell r="D484">
            <v>7.4999999999999997E-2</v>
          </cell>
          <cell r="E484" t="str">
            <v>Oh</v>
          </cell>
          <cell r="F484" t="str">
            <v>Mandor</v>
          </cell>
          <cell r="J484" t="str">
            <v>@</v>
          </cell>
          <cell r="K484">
            <v>80000</v>
          </cell>
          <cell r="L484">
            <v>6000</v>
          </cell>
          <cell r="M484">
            <v>0</v>
          </cell>
          <cell r="N484">
            <v>6000</v>
          </cell>
        </row>
        <row r="485">
          <cell r="C485" t="str">
            <v>B</v>
          </cell>
          <cell r="D485" t="str">
            <v>Jumlah</v>
          </cell>
          <cell r="L485">
            <v>55800</v>
          </cell>
          <cell r="M485">
            <v>64102.5</v>
          </cell>
          <cell r="N485">
            <v>119902.5</v>
          </cell>
        </row>
        <row r="487">
          <cell r="A487">
            <v>49</v>
          </cell>
          <cell r="C487">
            <v>49</v>
          </cell>
          <cell r="D487" t="str">
            <v>1M2</v>
          </cell>
          <cell r="E487" t="str">
            <v>Pas.Rangka Teak Wood Rangkap Untuk Dinding</v>
          </cell>
          <cell r="P487" t="e">
            <v>#REF!</v>
          </cell>
        </row>
        <row r="488">
          <cell r="B488">
            <v>28</v>
          </cell>
          <cell r="D488">
            <v>0.4</v>
          </cell>
          <cell r="E488" t="str">
            <v>Lbr</v>
          </cell>
          <cell r="F488" t="str">
            <v>Teak Wood</v>
          </cell>
          <cell r="J488" t="str">
            <v>@</v>
          </cell>
          <cell r="K488">
            <v>145900</v>
          </cell>
          <cell r="L488">
            <v>0</v>
          </cell>
          <cell r="M488">
            <v>58360</v>
          </cell>
          <cell r="N488">
            <v>58360</v>
          </cell>
        </row>
        <row r="489">
          <cell r="B489">
            <v>30</v>
          </cell>
          <cell r="D489">
            <v>0.05</v>
          </cell>
          <cell r="E489" t="str">
            <v>Kg</v>
          </cell>
          <cell r="F489" t="str">
            <v>Paku Tripleks</v>
          </cell>
          <cell r="J489" t="str">
            <v>@</v>
          </cell>
          <cell r="K489">
            <v>28680</v>
          </cell>
          <cell r="L489">
            <v>0</v>
          </cell>
          <cell r="M489">
            <v>1434</v>
          </cell>
          <cell r="N489">
            <v>1434</v>
          </cell>
        </row>
        <row r="490">
          <cell r="B490">
            <v>1</v>
          </cell>
          <cell r="D490">
            <v>2.5000000000000001E-2</v>
          </cell>
          <cell r="E490" t="str">
            <v>Oh</v>
          </cell>
          <cell r="F490" t="str">
            <v>Pekerja</v>
          </cell>
          <cell r="J490" t="str">
            <v>@</v>
          </cell>
          <cell r="K490">
            <v>65000</v>
          </cell>
          <cell r="L490">
            <v>1625</v>
          </cell>
          <cell r="M490">
            <v>0</v>
          </cell>
          <cell r="N490">
            <v>1625</v>
          </cell>
        </row>
        <row r="491">
          <cell r="B491">
            <v>2</v>
          </cell>
          <cell r="D491">
            <v>7.4999999999999997E-2</v>
          </cell>
          <cell r="E491" t="str">
            <v>Oh</v>
          </cell>
          <cell r="F491" t="str">
            <v>Tukang</v>
          </cell>
          <cell r="J491" t="str">
            <v>@</v>
          </cell>
          <cell r="K491">
            <v>80000</v>
          </cell>
          <cell r="L491">
            <v>6000</v>
          </cell>
          <cell r="M491">
            <v>0</v>
          </cell>
          <cell r="N491">
            <v>6000</v>
          </cell>
        </row>
        <row r="492">
          <cell r="B492">
            <v>3</v>
          </cell>
          <cell r="D492">
            <v>7.4999999999999997E-3</v>
          </cell>
          <cell r="E492" t="str">
            <v>Oh</v>
          </cell>
          <cell r="F492" t="str">
            <v>Kepala Tukang</v>
          </cell>
          <cell r="J492" t="str">
            <v>@</v>
          </cell>
          <cell r="K492">
            <v>90000</v>
          </cell>
          <cell r="L492">
            <v>675</v>
          </cell>
          <cell r="M492">
            <v>0</v>
          </cell>
          <cell r="N492">
            <v>675</v>
          </cell>
        </row>
        <row r="493">
          <cell r="B493">
            <v>4</v>
          </cell>
          <cell r="D493">
            <v>1.2999999999999999E-3</v>
          </cell>
          <cell r="E493" t="str">
            <v>Oh</v>
          </cell>
          <cell r="F493" t="str">
            <v>Mandor</v>
          </cell>
          <cell r="J493" t="str">
            <v>@</v>
          </cell>
          <cell r="K493">
            <v>80000</v>
          </cell>
          <cell r="L493">
            <v>104</v>
          </cell>
          <cell r="M493">
            <v>0</v>
          </cell>
          <cell r="N493">
            <v>104</v>
          </cell>
        </row>
        <row r="494">
          <cell r="C494" t="str">
            <v>B</v>
          </cell>
          <cell r="D494" t="str">
            <v>Jumlah</v>
          </cell>
          <cell r="L494">
            <v>8404</v>
          </cell>
          <cell r="M494">
            <v>59794</v>
          </cell>
          <cell r="N494">
            <v>68198</v>
          </cell>
        </row>
        <row r="496">
          <cell r="A496">
            <v>50</v>
          </cell>
          <cell r="C496">
            <v>50</v>
          </cell>
          <cell r="D496" t="str">
            <v>1M2</v>
          </cell>
          <cell r="E496" t="str">
            <v>Pas.  Pintu dan Jendela Kaca</v>
          </cell>
          <cell r="P496" t="e">
            <v>#REF!</v>
          </cell>
        </row>
        <row r="497">
          <cell r="B497">
            <v>1</v>
          </cell>
          <cell r="D497">
            <v>1.4999999999999999E-2</v>
          </cell>
          <cell r="E497" t="str">
            <v>Oh</v>
          </cell>
          <cell r="F497" t="str">
            <v>Pekerja</v>
          </cell>
          <cell r="J497" t="str">
            <v>@</v>
          </cell>
          <cell r="K497">
            <v>65000</v>
          </cell>
          <cell r="L497">
            <v>975</v>
          </cell>
          <cell r="M497">
            <v>0</v>
          </cell>
          <cell r="N497">
            <v>975</v>
          </cell>
        </row>
        <row r="498">
          <cell r="B498">
            <v>2</v>
          </cell>
          <cell r="D498">
            <v>1.4999999999999999E-2</v>
          </cell>
          <cell r="E498" t="str">
            <v>Oh</v>
          </cell>
          <cell r="F498" t="str">
            <v>Tukang</v>
          </cell>
          <cell r="J498" t="str">
            <v>@</v>
          </cell>
          <cell r="K498">
            <v>80000</v>
          </cell>
          <cell r="L498">
            <v>1200</v>
          </cell>
          <cell r="M498">
            <v>0</v>
          </cell>
          <cell r="N498">
            <v>1200</v>
          </cell>
        </row>
        <row r="499">
          <cell r="B499">
            <v>3</v>
          </cell>
          <cell r="D499">
            <v>1.4999999999999999E-2</v>
          </cell>
          <cell r="E499" t="str">
            <v>Oh</v>
          </cell>
          <cell r="F499" t="str">
            <v>Kepala Tukang</v>
          </cell>
          <cell r="J499" t="str">
            <v>@</v>
          </cell>
          <cell r="K499">
            <v>90000</v>
          </cell>
          <cell r="L499">
            <v>1350</v>
          </cell>
          <cell r="M499">
            <v>0</v>
          </cell>
          <cell r="N499">
            <v>1350</v>
          </cell>
        </row>
        <row r="500">
          <cell r="B500">
            <v>4</v>
          </cell>
          <cell r="D500">
            <v>7.5000000000000002E-4</v>
          </cell>
          <cell r="E500" t="str">
            <v>Oh</v>
          </cell>
          <cell r="F500" t="str">
            <v>Mandor</v>
          </cell>
          <cell r="J500" t="str">
            <v>@</v>
          </cell>
          <cell r="K500">
            <v>80000</v>
          </cell>
          <cell r="L500">
            <v>60</v>
          </cell>
          <cell r="M500">
            <v>0</v>
          </cell>
          <cell r="N500">
            <v>60</v>
          </cell>
        </row>
        <row r="501">
          <cell r="B501">
            <v>20</v>
          </cell>
          <cell r="D501">
            <v>0.1</v>
          </cell>
          <cell r="E501" t="str">
            <v>M³</v>
          </cell>
          <cell r="F501" t="str">
            <v>Kayu Klas II</v>
          </cell>
          <cell r="J501" t="str">
            <v>@</v>
          </cell>
          <cell r="K501">
            <v>2175000</v>
          </cell>
          <cell r="L501">
            <v>0</v>
          </cell>
          <cell r="M501">
            <v>217500</v>
          </cell>
          <cell r="N501">
            <v>217500</v>
          </cell>
        </row>
        <row r="502">
          <cell r="B502">
            <v>62</v>
          </cell>
          <cell r="D502">
            <v>1.1000000000000001</v>
          </cell>
          <cell r="E502" t="str">
            <v>M²</v>
          </cell>
          <cell r="F502" t="str">
            <v>Kaca Ryben 3 mm</v>
          </cell>
          <cell r="J502" t="str">
            <v>@</v>
          </cell>
          <cell r="K502">
            <v>119173</v>
          </cell>
          <cell r="L502">
            <v>0</v>
          </cell>
          <cell r="M502">
            <v>131090.30000000002</v>
          </cell>
          <cell r="N502">
            <v>131090.30000000002</v>
          </cell>
        </row>
        <row r="503">
          <cell r="C503" t="str">
            <v>B</v>
          </cell>
          <cell r="D503" t="str">
            <v>Jumlah</v>
          </cell>
          <cell r="L503">
            <v>3585</v>
          </cell>
          <cell r="M503">
            <v>348590.30000000005</v>
          </cell>
          <cell r="N503">
            <v>352175.30000000005</v>
          </cell>
        </row>
        <row r="505">
          <cell r="A505">
            <v>51</v>
          </cell>
          <cell r="C505">
            <v>51</v>
          </cell>
          <cell r="D505" t="str">
            <v>1M2</v>
          </cell>
          <cell r="E505" t="str">
            <v>Pas.  Kaca Bening 3 mm (SNI)</v>
          </cell>
          <cell r="P505" t="e">
            <v>#REF!</v>
          </cell>
        </row>
        <row r="506">
          <cell r="B506">
            <v>1</v>
          </cell>
          <cell r="D506">
            <v>1.4999999999999999E-2</v>
          </cell>
          <cell r="E506" t="str">
            <v>Oh</v>
          </cell>
          <cell r="F506" t="str">
            <v>Pekerja</v>
          </cell>
          <cell r="J506" t="str">
            <v>@</v>
          </cell>
          <cell r="K506">
            <v>65000</v>
          </cell>
          <cell r="L506">
            <v>975</v>
          </cell>
          <cell r="M506">
            <v>0</v>
          </cell>
          <cell r="N506">
            <v>975</v>
          </cell>
        </row>
        <row r="507">
          <cell r="B507">
            <v>2</v>
          </cell>
          <cell r="D507">
            <v>1.4999999999999999E-2</v>
          </cell>
          <cell r="E507" t="str">
            <v>Oh</v>
          </cell>
          <cell r="F507" t="str">
            <v>Tukang</v>
          </cell>
          <cell r="J507" t="str">
            <v>@</v>
          </cell>
          <cell r="K507">
            <v>80000</v>
          </cell>
          <cell r="L507">
            <v>1200</v>
          </cell>
          <cell r="M507">
            <v>0</v>
          </cell>
          <cell r="N507">
            <v>1200</v>
          </cell>
        </row>
        <row r="508">
          <cell r="B508">
            <v>3</v>
          </cell>
          <cell r="D508">
            <v>1.4999999999999999E-2</v>
          </cell>
          <cell r="E508" t="str">
            <v>Oh</v>
          </cell>
          <cell r="F508" t="str">
            <v>Kepala Tukang</v>
          </cell>
          <cell r="J508" t="str">
            <v>@</v>
          </cell>
          <cell r="K508">
            <v>90000</v>
          </cell>
          <cell r="L508">
            <v>1350</v>
          </cell>
          <cell r="M508">
            <v>0</v>
          </cell>
          <cell r="N508">
            <v>1350</v>
          </cell>
        </row>
        <row r="509">
          <cell r="B509">
            <v>4</v>
          </cell>
          <cell r="D509">
            <v>7.5000000000000002E-4</v>
          </cell>
          <cell r="E509" t="str">
            <v>Oh</v>
          </cell>
          <cell r="F509" t="str">
            <v>Mandor</v>
          </cell>
          <cell r="J509" t="str">
            <v>@</v>
          </cell>
          <cell r="K509">
            <v>80000</v>
          </cell>
          <cell r="L509">
            <v>60</v>
          </cell>
          <cell r="M509">
            <v>0</v>
          </cell>
          <cell r="N509">
            <v>60</v>
          </cell>
        </row>
        <row r="510">
          <cell r="B510">
            <v>60</v>
          </cell>
          <cell r="D510">
            <v>1.1000000000000001</v>
          </cell>
          <cell r="E510" t="str">
            <v>M²</v>
          </cell>
          <cell r="F510" t="str">
            <v>Kaca Bening 3 mm</v>
          </cell>
          <cell r="J510" t="str">
            <v>@</v>
          </cell>
          <cell r="K510">
            <v>119173</v>
          </cell>
          <cell r="L510">
            <v>0</v>
          </cell>
          <cell r="M510">
            <v>131090.30000000002</v>
          </cell>
          <cell r="N510">
            <v>131090.30000000002</v>
          </cell>
        </row>
        <row r="511">
          <cell r="C511" t="str">
            <v>B</v>
          </cell>
          <cell r="D511" t="str">
            <v>Jumlah</v>
          </cell>
          <cell r="L511">
            <v>3585</v>
          </cell>
          <cell r="M511">
            <v>131090.30000000002</v>
          </cell>
          <cell r="N511">
            <v>134675.30000000002</v>
          </cell>
        </row>
        <row r="513">
          <cell r="D513" t="str">
            <v>G. PEKERJAAN SANITASI</v>
          </cell>
        </row>
        <row r="514">
          <cell r="A514">
            <v>52</v>
          </cell>
          <cell r="C514">
            <v>52</v>
          </cell>
          <cell r="D514" t="str">
            <v>1 Bh</v>
          </cell>
          <cell r="E514" t="str">
            <v>Septitank Ukuran 100 x 150 x100 cm</v>
          </cell>
          <cell r="P514">
            <v>1807281.25</v>
          </cell>
        </row>
        <row r="515">
          <cell r="B515">
            <v>2</v>
          </cell>
          <cell r="D515">
            <v>1.62</v>
          </cell>
          <cell r="E515" t="str">
            <v>M3</v>
          </cell>
          <cell r="F515" t="str">
            <v>Anl.</v>
          </cell>
          <cell r="G515" t="str">
            <v>Galian Tanah Biasa (SNI)</v>
          </cell>
          <cell r="M515">
            <v>29200</v>
          </cell>
          <cell r="N515">
            <v>47304</v>
          </cell>
          <cell r="P515" t="str">
            <v>Galian Tanah Biasa (SNI)</v>
          </cell>
        </row>
        <row r="516">
          <cell r="B516">
            <v>9</v>
          </cell>
          <cell r="D516">
            <v>7</v>
          </cell>
          <cell r="E516" t="str">
            <v>M2</v>
          </cell>
          <cell r="F516" t="str">
            <v>Anl.</v>
          </cell>
          <cell r="G516" t="str">
            <v>Pasangan Dinding Bata Camp. 1 : 4 (SNI)</v>
          </cell>
          <cell r="M516">
            <v>102837.5</v>
          </cell>
          <cell r="N516">
            <v>719862.5</v>
          </cell>
          <cell r="P516" t="str">
            <v>Pasangan Dinding Bata Camp. 1 : 4 (SNI)</v>
          </cell>
        </row>
        <row r="517">
          <cell r="B517">
            <v>16</v>
          </cell>
          <cell r="D517">
            <v>0.18</v>
          </cell>
          <cell r="E517" t="str">
            <v>M3</v>
          </cell>
          <cell r="F517" t="str">
            <v>Anl.</v>
          </cell>
          <cell r="G517" t="str">
            <v>Struktur Beton Bertulang Camp. 1 : 2 : 3 (SNI)</v>
          </cell>
          <cell r="M517">
            <v>713700</v>
          </cell>
          <cell r="N517">
            <v>128466</v>
          </cell>
          <cell r="P517" t="str">
            <v>Struktur Beton Bertulang Camp. 1 : 2 : 3 (SNI)</v>
          </cell>
        </row>
        <row r="518">
          <cell r="B518">
            <v>20</v>
          </cell>
          <cell r="D518">
            <v>22.5</v>
          </cell>
          <cell r="E518" t="str">
            <v>Kg</v>
          </cell>
          <cell r="F518" t="str">
            <v>Anl.</v>
          </cell>
          <cell r="G518" t="str">
            <v>Pembesian Dengan Besi Polos</v>
          </cell>
          <cell r="M518">
            <v>9866.5</v>
          </cell>
          <cell r="N518">
            <v>221996.25</v>
          </cell>
          <cell r="P518" t="str">
            <v>Pembesian Dengan Besi Polos</v>
          </cell>
        </row>
        <row r="519">
          <cell r="B519">
            <v>11</v>
          </cell>
          <cell r="D519">
            <v>7</v>
          </cell>
          <cell r="E519" t="str">
            <v>M2</v>
          </cell>
          <cell r="F519" t="str">
            <v>Anl.</v>
          </cell>
          <cell r="G519" t="str">
            <v>Plesteran  Camp. 1 : 2 (SNI)</v>
          </cell>
          <cell r="M519">
            <v>62807.5</v>
          </cell>
          <cell r="N519">
            <v>439652.5</v>
          </cell>
          <cell r="P519" t="str">
            <v>Plesteran  Camp. 1 : 2 (SNI)</v>
          </cell>
        </row>
        <row r="520">
          <cell r="D520">
            <v>1</v>
          </cell>
          <cell r="E520" t="str">
            <v>Ls</v>
          </cell>
          <cell r="G520" t="str">
            <v>Lain-lain</v>
          </cell>
          <cell r="M520">
            <v>250000</v>
          </cell>
          <cell r="N520">
            <v>250000</v>
          </cell>
          <cell r="P520" t="str">
            <v/>
          </cell>
        </row>
        <row r="521">
          <cell r="C521" t="str">
            <v>A</v>
          </cell>
          <cell r="D521" t="str">
            <v>Jumlah</v>
          </cell>
          <cell r="L521">
            <v>0</v>
          </cell>
          <cell r="M521">
            <v>1168411.5</v>
          </cell>
          <cell r="N521">
            <v>1807281.25</v>
          </cell>
        </row>
        <row r="523">
          <cell r="A523">
            <v>53</v>
          </cell>
          <cell r="C523">
            <v>53</v>
          </cell>
          <cell r="D523" t="str">
            <v>1Bh</v>
          </cell>
          <cell r="E523" t="str">
            <v>Bak Mandi Ukuran 0,3 M³</v>
          </cell>
          <cell r="P523">
            <v>939879.75</v>
          </cell>
        </row>
        <row r="524">
          <cell r="B524">
            <v>9</v>
          </cell>
          <cell r="D524">
            <v>1.5</v>
          </cell>
          <cell r="E524" t="str">
            <v>M2</v>
          </cell>
          <cell r="F524" t="str">
            <v>Anl.</v>
          </cell>
          <cell r="G524" t="str">
            <v>Pasangan Dinding Bata Camp. 1 : 4 (SNI)</v>
          </cell>
          <cell r="M524">
            <v>102837.5</v>
          </cell>
          <cell r="N524">
            <v>154256.25</v>
          </cell>
          <cell r="P524" t="str">
            <v>Pasangan Dinding Bata Camp. 1 : 4 (SNI)</v>
          </cell>
        </row>
        <row r="525">
          <cell r="B525">
            <v>11</v>
          </cell>
          <cell r="D525">
            <v>3</v>
          </cell>
          <cell r="E525" t="str">
            <v>M2</v>
          </cell>
          <cell r="F525" t="str">
            <v>Anl.</v>
          </cell>
          <cell r="G525" t="str">
            <v>Plesteran  Camp. 1 : 2 (SNI)</v>
          </cell>
          <cell r="M525">
            <v>62807.5</v>
          </cell>
          <cell r="N525">
            <v>188422.5</v>
          </cell>
          <cell r="P525" t="str">
            <v>Plesteran  Camp. 1 : 2 (SNI)</v>
          </cell>
        </row>
        <row r="526">
          <cell r="B526">
            <v>28</v>
          </cell>
          <cell r="D526">
            <v>3</v>
          </cell>
          <cell r="E526" t="str">
            <v>M2</v>
          </cell>
          <cell r="F526" t="str">
            <v>Anl.</v>
          </cell>
          <cell r="G526" t="str">
            <v>Pas. Tegel Dinding Keramik 20 x 20 (SNI)</v>
          </cell>
          <cell r="M526">
            <v>199067</v>
          </cell>
          <cell r="N526">
            <v>597201</v>
          </cell>
          <cell r="P526" t="str">
            <v>Pas. Tegel Dinding Keramik 20 x 20 (SNI)</v>
          </cell>
        </row>
        <row r="527">
          <cell r="E527" t="str">
            <v/>
          </cell>
          <cell r="F527" t="str">
            <v/>
          </cell>
          <cell r="M527">
            <v>0</v>
          </cell>
          <cell r="N527">
            <v>0</v>
          </cell>
          <cell r="P527" t="str">
            <v/>
          </cell>
        </row>
        <row r="528">
          <cell r="E528" t="str">
            <v/>
          </cell>
          <cell r="F528" t="str">
            <v/>
          </cell>
          <cell r="N528">
            <v>0</v>
          </cell>
          <cell r="P528" t="str">
            <v/>
          </cell>
        </row>
        <row r="529">
          <cell r="E529" t="str">
            <v/>
          </cell>
          <cell r="F529" t="str">
            <v/>
          </cell>
          <cell r="K529" t="str">
            <v>Jumlah</v>
          </cell>
          <cell r="N529">
            <v>939879.75</v>
          </cell>
        </row>
        <row r="531">
          <cell r="A531">
            <v>54</v>
          </cell>
          <cell r="C531">
            <v>54</v>
          </cell>
          <cell r="D531" t="str">
            <v>1Bh</v>
          </cell>
          <cell r="E531" t="str">
            <v>Klosed Jongkok</v>
          </cell>
          <cell r="P531" t="e">
            <v>#REF!</v>
          </cell>
        </row>
        <row r="532">
          <cell r="B532">
            <v>1</v>
          </cell>
          <cell r="D532">
            <v>1</v>
          </cell>
          <cell r="E532" t="str">
            <v>Oh</v>
          </cell>
          <cell r="F532" t="str">
            <v>Pekerja</v>
          </cell>
          <cell r="J532" t="str">
            <v>@</v>
          </cell>
          <cell r="K532">
            <v>65000</v>
          </cell>
          <cell r="L532">
            <v>65000</v>
          </cell>
          <cell r="M532">
            <v>0</v>
          </cell>
          <cell r="N532">
            <v>65000</v>
          </cell>
        </row>
        <row r="533">
          <cell r="B533">
            <v>2</v>
          </cell>
          <cell r="D533">
            <v>1.5</v>
          </cell>
          <cell r="E533" t="str">
            <v>Oh</v>
          </cell>
          <cell r="F533" t="str">
            <v>Tukang</v>
          </cell>
          <cell r="J533" t="str">
            <v>@</v>
          </cell>
          <cell r="K533">
            <v>80000</v>
          </cell>
          <cell r="L533">
            <v>120000</v>
          </cell>
          <cell r="M533">
            <v>0</v>
          </cell>
          <cell r="N533">
            <v>120000</v>
          </cell>
        </row>
        <row r="534">
          <cell r="B534">
            <v>3</v>
          </cell>
          <cell r="D534">
            <v>1.5</v>
          </cell>
          <cell r="E534" t="str">
            <v>Oh</v>
          </cell>
          <cell r="F534" t="str">
            <v>Kepala Tukang</v>
          </cell>
          <cell r="J534" t="str">
            <v>@</v>
          </cell>
          <cell r="K534">
            <v>90000</v>
          </cell>
          <cell r="L534">
            <v>135000</v>
          </cell>
          <cell r="M534">
            <v>0</v>
          </cell>
          <cell r="N534">
            <v>135000</v>
          </cell>
        </row>
        <row r="535">
          <cell r="B535">
            <v>4</v>
          </cell>
          <cell r="D535">
            <v>0.16</v>
          </cell>
          <cell r="E535" t="str">
            <v>Oh</v>
          </cell>
          <cell r="F535" t="str">
            <v>Mandor</v>
          </cell>
          <cell r="J535" t="str">
            <v>@</v>
          </cell>
          <cell r="K535">
            <v>80000</v>
          </cell>
          <cell r="L535">
            <v>12800</v>
          </cell>
          <cell r="M535">
            <v>0</v>
          </cell>
          <cell r="N535">
            <v>12800</v>
          </cell>
        </row>
        <row r="536">
          <cell r="B536">
            <v>78</v>
          </cell>
          <cell r="D536">
            <v>1</v>
          </cell>
          <cell r="E536" t="str">
            <v>Bh</v>
          </cell>
          <cell r="F536" t="str">
            <v>Kloset Jongkok</v>
          </cell>
          <cell r="J536" t="str">
            <v>@</v>
          </cell>
          <cell r="K536">
            <v>150000</v>
          </cell>
          <cell r="L536">
            <v>0</v>
          </cell>
          <cell r="M536">
            <v>150000</v>
          </cell>
          <cell r="N536">
            <v>150000</v>
          </cell>
        </row>
        <row r="537">
          <cell r="B537">
            <v>17</v>
          </cell>
          <cell r="D537">
            <v>6</v>
          </cell>
          <cell r="E537" t="str">
            <v>Kg</v>
          </cell>
          <cell r="F537" t="str">
            <v>Semen Portland</v>
          </cell>
          <cell r="J537" t="str">
            <v>@</v>
          </cell>
          <cell r="K537">
            <v>1650</v>
          </cell>
          <cell r="L537">
            <v>0</v>
          </cell>
          <cell r="M537">
            <v>9900</v>
          </cell>
          <cell r="N537">
            <v>9900</v>
          </cell>
        </row>
        <row r="538">
          <cell r="B538">
            <v>11</v>
          </cell>
          <cell r="D538">
            <v>0.01</v>
          </cell>
          <cell r="E538" t="str">
            <v>M³</v>
          </cell>
          <cell r="F538" t="str">
            <v>Pasir Pasang</v>
          </cell>
          <cell r="J538" t="str">
            <v>@</v>
          </cell>
          <cell r="K538">
            <v>135000</v>
          </cell>
          <cell r="L538">
            <v>0</v>
          </cell>
          <cell r="M538">
            <v>1350</v>
          </cell>
          <cell r="N538">
            <v>1350</v>
          </cell>
        </row>
        <row r="539">
          <cell r="C539" t="str">
            <v>B</v>
          </cell>
          <cell r="D539" t="str">
            <v>Jumlah</v>
          </cell>
          <cell r="L539">
            <v>332800</v>
          </cell>
          <cell r="M539">
            <v>161250</v>
          </cell>
          <cell r="N539">
            <v>494050</v>
          </cell>
        </row>
        <row r="541">
          <cell r="D541" t="str">
            <v>H. PEKERJAAN PENGECETAN</v>
          </cell>
        </row>
        <row r="542">
          <cell r="A542">
            <v>55</v>
          </cell>
          <cell r="C542">
            <v>55</v>
          </cell>
          <cell r="D542" t="str">
            <v>1M2</v>
          </cell>
          <cell r="E542" t="str">
            <v>Mengecet Dinding Tembok Baru 1X Dasar 2X Penutup</v>
          </cell>
          <cell r="P542" t="e">
            <v>#REF!</v>
          </cell>
        </row>
        <row r="543">
          <cell r="B543">
            <v>39</v>
          </cell>
          <cell r="D543">
            <v>0.1</v>
          </cell>
          <cell r="E543" t="str">
            <v>Kg</v>
          </cell>
          <cell r="F543" t="str">
            <v>Cat Tembok Klas II</v>
          </cell>
          <cell r="I543" t="str">
            <v>(Dasar)</v>
          </cell>
          <cell r="J543" t="str">
            <v>@</v>
          </cell>
          <cell r="K543">
            <v>40160</v>
          </cell>
          <cell r="L543">
            <v>0</v>
          </cell>
          <cell r="M543">
            <v>4016</v>
          </cell>
          <cell r="N543">
            <v>4016</v>
          </cell>
        </row>
        <row r="544">
          <cell r="B544">
            <v>39</v>
          </cell>
          <cell r="D544">
            <v>0.26</v>
          </cell>
          <cell r="E544" t="str">
            <v>Kg</v>
          </cell>
          <cell r="F544" t="str">
            <v>Cat Tembok Klas II</v>
          </cell>
          <cell r="I544" t="str">
            <v>(Penutup)</v>
          </cell>
          <cell r="J544" t="str">
            <v>@</v>
          </cell>
          <cell r="K544">
            <v>40160</v>
          </cell>
          <cell r="L544">
            <v>0</v>
          </cell>
          <cell r="M544">
            <v>10441.6</v>
          </cell>
          <cell r="N544">
            <v>10441.6</v>
          </cell>
        </row>
        <row r="545">
          <cell r="B545">
            <v>35</v>
          </cell>
          <cell r="D545">
            <v>0.1</v>
          </cell>
          <cell r="E545" t="str">
            <v>Kg</v>
          </cell>
          <cell r="F545" t="str">
            <v>Plamir/Dempul</v>
          </cell>
          <cell r="J545" t="str">
            <v>@</v>
          </cell>
          <cell r="K545">
            <v>25800</v>
          </cell>
          <cell r="L545">
            <v>0</v>
          </cell>
          <cell r="M545">
            <v>2580</v>
          </cell>
          <cell r="N545">
            <v>2580</v>
          </cell>
        </row>
        <row r="546">
          <cell r="B546">
            <v>1</v>
          </cell>
          <cell r="D546">
            <v>0.02</v>
          </cell>
          <cell r="E546" t="str">
            <v>Oh</v>
          </cell>
          <cell r="F546" t="str">
            <v>Pekerja</v>
          </cell>
          <cell r="J546" t="str">
            <v>@</v>
          </cell>
          <cell r="K546">
            <v>65000</v>
          </cell>
          <cell r="L546">
            <v>1300</v>
          </cell>
          <cell r="M546">
            <v>0</v>
          </cell>
          <cell r="N546">
            <v>1300</v>
          </cell>
        </row>
        <row r="547">
          <cell r="B547">
            <v>2</v>
          </cell>
          <cell r="D547">
            <v>6.3E-2</v>
          </cell>
          <cell r="E547" t="str">
            <v>Oh</v>
          </cell>
          <cell r="F547" t="str">
            <v>Tukang</v>
          </cell>
          <cell r="J547" t="str">
            <v>@</v>
          </cell>
          <cell r="K547">
            <v>80000</v>
          </cell>
          <cell r="L547">
            <v>5040</v>
          </cell>
          <cell r="M547">
            <v>0</v>
          </cell>
          <cell r="N547">
            <v>5040</v>
          </cell>
        </row>
        <row r="548">
          <cell r="B548">
            <v>3</v>
          </cell>
          <cell r="D548">
            <v>6.3E-3</v>
          </cell>
          <cell r="E548" t="str">
            <v>Oh</v>
          </cell>
          <cell r="F548" t="str">
            <v>Kepala Tukang</v>
          </cell>
          <cell r="J548" t="str">
            <v>@</v>
          </cell>
          <cell r="K548">
            <v>90000</v>
          </cell>
          <cell r="L548">
            <v>567</v>
          </cell>
          <cell r="M548">
            <v>0</v>
          </cell>
          <cell r="N548">
            <v>567</v>
          </cell>
        </row>
        <row r="549">
          <cell r="B549">
            <v>4</v>
          </cell>
          <cell r="D549">
            <v>2.5000000000000001E-3</v>
          </cell>
          <cell r="E549" t="str">
            <v>Oh</v>
          </cell>
          <cell r="F549" t="str">
            <v>Mandor</v>
          </cell>
          <cell r="J549" t="str">
            <v>@</v>
          </cell>
          <cell r="K549">
            <v>80000</v>
          </cell>
          <cell r="L549">
            <v>200</v>
          </cell>
          <cell r="M549">
            <v>0</v>
          </cell>
          <cell r="N549">
            <v>200</v>
          </cell>
        </row>
        <row r="550">
          <cell r="C550" t="str">
            <v>B</v>
          </cell>
          <cell r="D550" t="str">
            <v>Jumlah</v>
          </cell>
          <cell r="L550">
            <v>7107</v>
          </cell>
          <cell r="M550">
            <v>17037.599999999999</v>
          </cell>
          <cell r="N550">
            <v>24144.6</v>
          </cell>
        </row>
        <row r="552">
          <cell r="A552">
            <v>56</v>
          </cell>
          <cell r="C552">
            <v>56</v>
          </cell>
          <cell r="D552" t="str">
            <v>1M2</v>
          </cell>
          <cell r="E552" t="str">
            <v>Mengecet Bidang Kayu Baru  1xPlamir, 1x Cat Dasar, 2x Cat Penutup</v>
          </cell>
          <cell r="P552" t="e">
            <v>#REF!</v>
          </cell>
        </row>
        <row r="553">
          <cell r="B553">
            <v>41</v>
          </cell>
          <cell r="D553">
            <v>0.2</v>
          </cell>
          <cell r="E553" t="str">
            <v>Kg</v>
          </cell>
          <cell r="F553" t="str">
            <v>Cat Meni</v>
          </cell>
          <cell r="J553" t="str">
            <v>@</v>
          </cell>
          <cell r="K553">
            <v>37250</v>
          </cell>
          <cell r="L553">
            <v>0</v>
          </cell>
          <cell r="M553">
            <v>7450</v>
          </cell>
          <cell r="N553">
            <v>7450</v>
          </cell>
        </row>
        <row r="554">
          <cell r="B554">
            <v>36</v>
          </cell>
          <cell r="D554">
            <v>0.17</v>
          </cell>
          <cell r="E554" t="str">
            <v>Kg</v>
          </cell>
          <cell r="F554" t="str">
            <v>Cat Kayu</v>
          </cell>
          <cell r="J554" t="str">
            <v>@</v>
          </cell>
          <cell r="K554">
            <v>68850</v>
          </cell>
          <cell r="L554">
            <v>0</v>
          </cell>
          <cell r="M554">
            <v>11704.5</v>
          </cell>
          <cell r="N554">
            <v>11704.5</v>
          </cell>
        </row>
        <row r="555">
          <cell r="B555">
            <v>36</v>
          </cell>
          <cell r="D555">
            <v>0.26</v>
          </cell>
          <cell r="E555" t="str">
            <v>Kg</v>
          </cell>
          <cell r="F555" t="str">
            <v>Cat Kayu</v>
          </cell>
          <cell r="J555" t="str">
            <v>@</v>
          </cell>
          <cell r="K555">
            <v>68850</v>
          </cell>
          <cell r="L555">
            <v>0</v>
          </cell>
          <cell r="M555">
            <v>17901</v>
          </cell>
          <cell r="N555">
            <v>17901</v>
          </cell>
        </row>
        <row r="556">
          <cell r="B556">
            <v>35</v>
          </cell>
          <cell r="D556">
            <v>0.15</v>
          </cell>
          <cell r="E556" t="str">
            <v>Kg</v>
          </cell>
          <cell r="F556" t="str">
            <v>Plamir/Dempul</v>
          </cell>
          <cell r="J556" t="str">
            <v>@</v>
          </cell>
          <cell r="K556">
            <v>25800</v>
          </cell>
          <cell r="L556">
            <v>0</v>
          </cell>
          <cell r="M556">
            <v>3870</v>
          </cell>
          <cell r="N556">
            <v>3870</v>
          </cell>
        </row>
        <row r="557">
          <cell r="B557">
            <v>1</v>
          </cell>
          <cell r="D557">
            <v>7.0000000000000007E-2</v>
          </cell>
          <cell r="E557" t="str">
            <v>Oh</v>
          </cell>
          <cell r="F557" t="str">
            <v>Pekerja</v>
          </cell>
          <cell r="J557" t="str">
            <v>@</v>
          </cell>
          <cell r="K557">
            <v>65000</v>
          </cell>
          <cell r="L557">
            <v>4550</v>
          </cell>
          <cell r="M557">
            <v>0</v>
          </cell>
          <cell r="N557">
            <v>4550</v>
          </cell>
        </row>
        <row r="558">
          <cell r="B558">
            <v>2</v>
          </cell>
          <cell r="D558">
            <v>8.9999999999999993E-3</v>
          </cell>
          <cell r="E558" t="str">
            <v>Oh</v>
          </cell>
          <cell r="F558" t="str">
            <v>Tukang</v>
          </cell>
          <cell r="J558" t="str">
            <v>@</v>
          </cell>
          <cell r="K558">
            <v>80000</v>
          </cell>
          <cell r="L558">
            <v>720</v>
          </cell>
          <cell r="M558">
            <v>0</v>
          </cell>
          <cell r="N558">
            <v>720</v>
          </cell>
        </row>
        <row r="559">
          <cell r="B559">
            <v>3</v>
          </cell>
          <cell r="D559">
            <v>6.0000000000000001E-3</v>
          </cell>
          <cell r="E559" t="str">
            <v>Oh</v>
          </cell>
          <cell r="F559" t="str">
            <v>Kepala Tukang</v>
          </cell>
          <cell r="J559" t="str">
            <v>@</v>
          </cell>
          <cell r="K559">
            <v>90000</v>
          </cell>
          <cell r="L559">
            <v>540</v>
          </cell>
          <cell r="M559">
            <v>0</v>
          </cell>
          <cell r="N559">
            <v>540</v>
          </cell>
        </row>
        <row r="560">
          <cell r="B560">
            <v>4</v>
          </cell>
          <cell r="D560">
            <v>2.5000000000000001E-3</v>
          </cell>
          <cell r="E560" t="str">
            <v>Oh</v>
          </cell>
          <cell r="F560" t="str">
            <v>Mandor</v>
          </cell>
          <cell r="J560" t="str">
            <v>@</v>
          </cell>
          <cell r="K560">
            <v>80000</v>
          </cell>
          <cell r="L560">
            <v>200</v>
          </cell>
          <cell r="M560">
            <v>0</v>
          </cell>
          <cell r="N560">
            <v>200</v>
          </cell>
        </row>
        <row r="561">
          <cell r="C561" t="str">
            <v>B</v>
          </cell>
          <cell r="D561" t="str">
            <v>Jumlah</v>
          </cell>
          <cell r="L561">
            <v>6010</v>
          </cell>
          <cell r="M561">
            <v>33475.5</v>
          </cell>
          <cell r="N561">
            <v>46935.5</v>
          </cell>
        </row>
        <row r="563">
          <cell r="A563">
            <v>57</v>
          </cell>
          <cell r="C563">
            <v>57</v>
          </cell>
          <cell r="D563" t="str">
            <v>1M2</v>
          </cell>
          <cell r="E563" t="str">
            <v>Mengecet Dinding Tembok Lama 1X Dasar 2X Penutup</v>
          </cell>
          <cell r="P563" t="e">
            <v>#REF!</v>
          </cell>
        </row>
        <row r="564">
          <cell r="B564">
            <v>39</v>
          </cell>
          <cell r="D564">
            <v>0.12</v>
          </cell>
          <cell r="E564" t="str">
            <v>Kg</v>
          </cell>
          <cell r="F564" t="str">
            <v>Cat Tembok Klas II</v>
          </cell>
          <cell r="I564" t="str">
            <v>(Dasar)</v>
          </cell>
          <cell r="J564" t="str">
            <v>@</v>
          </cell>
          <cell r="K564">
            <v>40160</v>
          </cell>
          <cell r="L564">
            <v>0</v>
          </cell>
          <cell r="M564">
            <v>4819.2</v>
          </cell>
          <cell r="N564">
            <v>4819.2</v>
          </cell>
        </row>
        <row r="565">
          <cell r="B565">
            <v>39</v>
          </cell>
          <cell r="D565">
            <v>0.18</v>
          </cell>
          <cell r="E565" t="str">
            <v>Kg</v>
          </cell>
          <cell r="F565" t="str">
            <v>Cat Tembok Klas II</v>
          </cell>
          <cell r="I565" t="str">
            <v>(Penutup)</v>
          </cell>
          <cell r="J565" t="str">
            <v>@</v>
          </cell>
          <cell r="K565">
            <v>40160</v>
          </cell>
          <cell r="L565">
            <v>0</v>
          </cell>
          <cell r="M565">
            <v>7228.8</v>
          </cell>
          <cell r="N565">
            <v>7228.8</v>
          </cell>
        </row>
        <row r="566">
          <cell r="B566">
            <v>1</v>
          </cell>
          <cell r="D566">
            <v>2.8000000000000001E-2</v>
          </cell>
          <cell r="E566" t="str">
            <v>Oh</v>
          </cell>
          <cell r="F566" t="str">
            <v>Pekerja</v>
          </cell>
          <cell r="J566" t="str">
            <v>@</v>
          </cell>
          <cell r="K566">
            <v>65000</v>
          </cell>
          <cell r="L566">
            <v>1820</v>
          </cell>
          <cell r="M566">
            <v>0</v>
          </cell>
          <cell r="N566">
            <v>1820</v>
          </cell>
        </row>
        <row r="567">
          <cell r="B567">
            <v>2</v>
          </cell>
          <cell r="D567">
            <v>4.2000000000000003E-2</v>
          </cell>
          <cell r="E567" t="str">
            <v>Oh</v>
          </cell>
          <cell r="F567" t="str">
            <v>Tukang</v>
          </cell>
          <cell r="J567" t="str">
            <v>@</v>
          </cell>
          <cell r="K567">
            <v>80000</v>
          </cell>
          <cell r="L567">
            <v>3360</v>
          </cell>
          <cell r="M567">
            <v>0</v>
          </cell>
          <cell r="N567">
            <v>3360</v>
          </cell>
        </row>
        <row r="568">
          <cell r="B568">
            <v>3</v>
          </cell>
          <cell r="D568">
            <v>4.1999999999999997E-3</v>
          </cell>
          <cell r="E568" t="str">
            <v>Oh</v>
          </cell>
          <cell r="F568" t="str">
            <v>Kepala Tukang</v>
          </cell>
          <cell r="J568" t="str">
            <v>@</v>
          </cell>
          <cell r="K568">
            <v>90000</v>
          </cell>
          <cell r="L568">
            <v>378</v>
          </cell>
          <cell r="M568">
            <v>0</v>
          </cell>
          <cell r="N568">
            <v>378</v>
          </cell>
        </row>
        <row r="569">
          <cell r="B569">
            <v>4</v>
          </cell>
          <cell r="D569">
            <v>2.5000000000000001E-3</v>
          </cell>
          <cell r="E569" t="str">
            <v>Oh</v>
          </cell>
          <cell r="F569" t="str">
            <v>Mandor</v>
          </cell>
          <cell r="J569" t="str">
            <v>@</v>
          </cell>
          <cell r="K569">
            <v>80000</v>
          </cell>
          <cell r="L569">
            <v>200</v>
          </cell>
          <cell r="M569">
            <v>0</v>
          </cell>
          <cell r="N569">
            <v>200</v>
          </cell>
        </row>
        <row r="570">
          <cell r="C570" t="str">
            <v>B</v>
          </cell>
          <cell r="D570" t="str">
            <v>Jumlah</v>
          </cell>
          <cell r="L570">
            <v>5758</v>
          </cell>
          <cell r="M570">
            <v>12048</v>
          </cell>
          <cell r="N570">
            <v>17806</v>
          </cell>
        </row>
        <row r="572">
          <cell r="A572">
            <v>58</v>
          </cell>
          <cell r="C572">
            <v>58</v>
          </cell>
          <cell r="D572" t="str">
            <v>1M2</v>
          </cell>
          <cell r="E572" t="str">
            <v>Mengecet Bidang Kayu Lama  1xPlamir, 1x Cat Dasar, 2x Cat Penutup</v>
          </cell>
          <cell r="P572" t="e">
            <v>#REF!</v>
          </cell>
        </row>
        <row r="573">
          <cell r="B573">
            <v>36</v>
          </cell>
          <cell r="D573">
            <v>0.17</v>
          </cell>
          <cell r="E573" t="str">
            <v>Kg</v>
          </cell>
          <cell r="F573" t="str">
            <v>Cat Kayu</v>
          </cell>
          <cell r="I573" t="str">
            <v>(Dasar)</v>
          </cell>
          <cell r="J573" t="str">
            <v>@</v>
          </cell>
          <cell r="K573">
            <v>68850</v>
          </cell>
          <cell r="L573">
            <v>0</v>
          </cell>
          <cell r="M573">
            <v>11704.5</v>
          </cell>
          <cell r="N573">
            <v>11704.5</v>
          </cell>
        </row>
        <row r="574">
          <cell r="B574">
            <v>36</v>
          </cell>
          <cell r="D574">
            <v>0.17</v>
          </cell>
          <cell r="E574" t="str">
            <v>Kg</v>
          </cell>
          <cell r="F574" t="str">
            <v>Cat Kayu</v>
          </cell>
          <cell r="I574" t="str">
            <v>(Penutup)</v>
          </cell>
          <cell r="J574" t="str">
            <v>@</v>
          </cell>
          <cell r="K574">
            <v>68850</v>
          </cell>
          <cell r="L574">
            <v>0</v>
          </cell>
          <cell r="M574">
            <v>11704.5</v>
          </cell>
          <cell r="N574">
            <v>11704.5</v>
          </cell>
        </row>
        <row r="575">
          <cell r="B575">
            <v>35</v>
          </cell>
          <cell r="D575">
            <v>0.15</v>
          </cell>
          <cell r="E575" t="str">
            <v>Kg</v>
          </cell>
          <cell r="F575" t="str">
            <v>Plamir/Dempul</v>
          </cell>
          <cell r="J575" t="str">
            <v>@</v>
          </cell>
          <cell r="K575">
            <v>25800</v>
          </cell>
          <cell r="L575">
            <v>0</v>
          </cell>
          <cell r="M575">
            <v>3870</v>
          </cell>
          <cell r="N575">
            <v>3870</v>
          </cell>
        </row>
        <row r="576">
          <cell r="B576">
            <v>1</v>
          </cell>
          <cell r="D576">
            <v>7.0000000000000007E-2</v>
          </cell>
          <cell r="E576" t="str">
            <v>Oh</v>
          </cell>
          <cell r="F576" t="str">
            <v>Pekerja</v>
          </cell>
          <cell r="J576" t="str">
            <v>@</v>
          </cell>
          <cell r="K576">
            <v>65000</v>
          </cell>
          <cell r="L576">
            <v>4550</v>
          </cell>
          <cell r="M576">
            <v>0</v>
          </cell>
          <cell r="N576">
            <v>4550</v>
          </cell>
        </row>
        <row r="577">
          <cell r="B577">
            <v>2</v>
          </cell>
          <cell r="D577">
            <v>8.9999999999999993E-3</v>
          </cell>
          <cell r="E577" t="str">
            <v>Oh</v>
          </cell>
          <cell r="F577" t="str">
            <v>Tukang</v>
          </cell>
          <cell r="J577" t="str">
            <v>@</v>
          </cell>
          <cell r="K577">
            <v>80000</v>
          </cell>
          <cell r="L577">
            <v>720</v>
          </cell>
          <cell r="M577">
            <v>0</v>
          </cell>
          <cell r="N577">
            <v>720</v>
          </cell>
        </row>
        <row r="578">
          <cell r="B578">
            <v>3</v>
          </cell>
          <cell r="D578">
            <v>6.0000000000000001E-3</v>
          </cell>
          <cell r="E578" t="str">
            <v>Oh</v>
          </cell>
          <cell r="F578" t="str">
            <v>Kepala Tukang</v>
          </cell>
          <cell r="J578" t="str">
            <v>@</v>
          </cell>
          <cell r="K578">
            <v>90000</v>
          </cell>
          <cell r="L578">
            <v>540</v>
          </cell>
          <cell r="M578">
            <v>0</v>
          </cell>
          <cell r="N578">
            <v>540</v>
          </cell>
        </row>
        <row r="579">
          <cell r="B579">
            <v>4</v>
          </cell>
          <cell r="D579">
            <v>2.5000000000000001E-3</v>
          </cell>
          <cell r="E579" t="str">
            <v>Oh</v>
          </cell>
          <cell r="F579" t="str">
            <v>Mandor</v>
          </cell>
          <cell r="J579" t="str">
            <v>@</v>
          </cell>
          <cell r="K579">
            <v>80000</v>
          </cell>
          <cell r="L579">
            <v>200</v>
          </cell>
          <cell r="M579">
            <v>0</v>
          </cell>
          <cell r="N579">
            <v>200</v>
          </cell>
        </row>
        <row r="580">
          <cell r="C580" t="str">
            <v>B</v>
          </cell>
          <cell r="D580" t="str">
            <v>Jumlah</v>
          </cell>
          <cell r="L580">
            <v>6010</v>
          </cell>
          <cell r="M580">
            <v>27279</v>
          </cell>
          <cell r="N580">
            <v>33289</v>
          </cell>
        </row>
        <row r="582">
          <cell r="A582">
            <v>59</v>
          </cell>
          <cell r="C582">
            <v>59</v>
          </cell>
          <cell r="D582" t="str">
            <v>1M2</v>
          </cell>
          <cell r="E582" t="str">
            <v>Mengecat Atap Seng Gelombang Bj Ls 0,2</v>
          </cell>
          <cell r="P582" t="e">
            <v>#REF!</v>
          </cell>
        </row>
        <row r="583">
          <cell r="B583">
            <v>40</v>
          </cell>
          <cell r="D583">
            <v>0.11</v>
          </cell>
          <cell r="E583" t="str">
            <v>Kg</v>
          </cell>
          <cell r="F583" t="str">
            <v>Cat Atap</v>
          </cell>
          <cell r="J583" t="str">
            <v>@</v>
          </cell>
          <cell r="K583">
            <v>30122</v>
          </cell>
          <cell r="L583">
            <v>0</v>
          </cell>
          <cell r="M583">
            <v>3313.42</v>
          </cell>
          <cell r="N583">
            <v>3313.42</v>
          </cell>
        </row>
        <row r="584">
          <cell r="B584">
            <v>1</v>
          </cell>
          <cell r="D584">
            <v>0.16</v>
          </cell>
          <cell r="E584" t="str">
            <v>Oh</v>
          </cell>
          <cell r="F584" t="str">
            <v>Pekerja</v>
          </cell>
          <cell r="J584" t="str">
            <v>@</v>
          </cell>
          <cell r="K584">
            <v>65000</v>
          </cell>
          <cell r="L584">
            <v>10400</v>
          </cell>
          <cell r="M584">
            <v>0</v>
          </cell>
          <cell r="N584">
            <v>10400</v>
          </cell>
        </row>
        <row r="585">
          <cell r="B585">
            <v>2</v>
          </cell>
          <cell r="D585">
            <v>0.16</v>
          </cell>
          <cell r="E585" t="str">
            <v>Oh</v>
          </cell>
          <cell r="F585" t="str">
            <v>Tukang</v>
          </cell>
          <cell r="J585" t="str">
            <v>@</v>
          </cell>
          <cell r="K585">
            <v>80000</v>
          </cell>
          <cell r="L585">
            <v>12800</v>
          </cell>
          <cell r="M585">
            <v>0</v>
          </cell>
          <cell r="N585">
            <v>12800</v>
          </cell>
        </row>
        <row r="586">
          <cell r="B586">
            <v>3</v>
          </cell>
          <cell r="D586">
            <v>0.1</v>
          </cell>
          <cell r="E586" t="str">
            <v>Oh</v>
          </cell>
          <cell r="F586" t="str">
            <v>Kepala Tukang</v>
          </cell>
          <cell r="J586" t="str">
            <v>@</v>
          </cell>
          <cell r="K586">
            <v>90000</v>
          </cell>
          <cell r="L586">
            <v>9000</v>
          </cell>
          <cell r="M586">
            <v>0</v>
          </cell>
          <cell r="N586">
            <v>9000</v>
          </cell>
        </row>
        <row r="587">
          <cell r="B587">
            <v>4</v>
          </cell>
          <cell r="D587">
            <v>6.0000000000000001E-3</v>
          </cell>
          <cell r="E587" t="str">
            <v>Oh</v>
          </cell>
          <cell r="F587" t="str">
            <v>Mandor</v>
          </cell>
          <cell r="J587" t="str">
            <v>@</v>
          </cell>
          <cell r="K587">
            <v>80000</v>
          </cell>
          <cell r="L587">
            <v>480</v>
          </cell>
          <cell r="M587">
            <v>0</v>
          </cell>
          <cell r="N587">
            <v>480</v>
          </cell>
        </row>
        <row r="588">
          <cell r="C588" t="str">
            <v>B</v>
          </cell>
          <cell r="D588" t="str">
            <v>Jumlah</v>
          </cell>
          <cell r="L588">
            <v>32680</v>
          </cell>
          <cell r="M588">
            <v>3313.42</v>
          </cell>
          <cell r="N588">
            <v>35993.42</v>
          </cell>
        </row>
        <row r="590">
          <cell r="A590">
            <v>60</v>
          </cell>
          <cell r="C590">
            <v>60</v>
          </cell>
          <cell r="D590" t="str">
            <v>1M2</v>
          </cell>
          <cell r="E590" t="str">
            <v>Mengecat dengan Residu</v>
          </cell>
          <cell r="P590" t="e">
            <v>#REF!</v>
          </cell>
        </row>
        <row r="591">
          <cell r="B591">
            <v>37</v>
          </cell>
          <cell r="D591">
            <v>0.11</v>
          </cell>
          <cell r="E591" t="str">
            <v>Kg</v>
          </cell>
          <cell r="F591" t="str">
            <v>Residu</v>
          </cell>
          <cell r="J591" t="str">
            <v>@</v>
          </cell>
          <cell r="K591">
            <v>31500</v>
          </cell>
          <cell r="L591">
            <v>0</v>
          </cell>
          <cell r="M591">
            <v>3465</v>
          </cell>
          <cell r="N591">
            <v>3465</v>
          </cell>
        </row>
        <row r="592">
          <cell r="B592">
            <v>1</v>
          </cell>
          <cell r="D592">
            <v>8.0000000000000002E-3</v>
          </cell>
          <cell r="E592" t="str">
            <v>Oh</v>
          </cell>
          <cell r="F592" t="str">
            <v>Pekerja</v>
          </cell>
          <cell r="J592" t="str">
            <v>@</v>
          </cell>
          <cell r="K592">
            <v>65000</v>
          </cell>
          <cell r="L592">
            <v>520</v>
          </cell>
          <cell r="M592">
            <v>0</v>
          </cell>
          <cell r="N592">
            <v>520</v>
          </cell>
        </row>
        <row r="593">
          <cell r="B593">
            <v>2</v>
          </cell>
          <cell r="D593">
            <v>6.0000000000000001E-3</v>
          </cell>
          <cell r="E593" t="str">
            <v>Oh</v>
          </cell>
          <cell r="F593" t="str">
            <v>Tukang</v>
          </cell>
          <cell r="J593" t="str">
            <v>@</v>
          </cell>
          <cell r="K593">
            <v>80000</v>
          </cell>
          <cell r="L593">
            <v>480</v>
          </cell>
          <cell r="M593">
            <v>0</v>
          </cell>
          <cell r="N593">
            <v>480</v>
          </cell>
        </row>
        <row r="594">
          <cell r="B594">
            <v>3</v>
          </cell>
          <cell r="D594">
            <v>1.2E-2</v>
          </cell>
          <cell r="E594" t="str">
            <v>Oh</v>
          </cell>
          <cell r="F594" t="str">
            <v>Kepala Tukang</v>
          </cell>
          <cell r="J594" t="str">
            <v>@</v>
          </cell>
          <cell r="K594">
            <v>90000</v>
          </cell>
          <cell r="L594">
            <v>1080</v>
          </cell>
          <cell r="M594">
            <v>0</v>
          </cell>
          <cell r="N594">
            <v>1080</v>
          </cell>
        </row>
        <row r="595">
          <cell r="B595">
            <v>4</v>
          </cell>
          <cell r="D595">
            <v>6.0000000000000001E-3</v>
          </cell>
          <cell r="E595" t="str">
            <v>Oh</v>
          </cell>
          <cell r="F595" t="str">
            <v>Mandor</v>
          </cell>
          <cell r="J595" t="str">
            <v>@</v>
          </cell>
          <cell r="K595">
            <v>80000</v>
          </cell>
          <cell r="L595">
            <v>480</v>
          </cell>
          <cell r="M595">
            <v>0</v>
          </cell>
          <cell r="N595">
            <v>480</v>
          </cell>
        </row>
        <row r="596">
          <cell r="C596" t="str">
            <v>B</v>
          </cell>
          <cell r="D596" t="str">
            <v>Jumlah</v>
          </cell>
          <cell r="L596">
            <v>2560</v>
          </cell>
          <cell r="M596">
            <v>3465</v>
          </cell>
          <cell r="N596">
            <v>6025</v>
          </cell>
        </row>
        <row r="598">
          <cell r="A598">
            <v>61</v>
          </cell>
          <cell r="C598">
            <v>61</v>
          </cell>
          <cell r="D598" t="str">
            <v>1M2</v>
          </cell>
          <cell r="E598" t="str">
            <v>Mengecet Plafond 1X Dasar 2X Penutup</v>
          </cell>
          <cell r="P598" t="e">
            <v>#REF!</v>
          </cell>
        </row>
        <row r="599">
          <cell r="B599">
            <v>39</v>
          </cell>
          <cell r="D599">
            <v>0.12</v>
          </cell>
          <cell r="E599" t="str">
            <v>Kg</v>
          </cell>
          <cell r="F599" t="str">
            <v>Cat Tembok Klas II</v>
          </cell>
          <cell r="I599" t="str">
            <v>(Dasar)</v>
          </cell>
          <cell r="J599" t="str">
            <v>@</v>
          </cell>
          <cell r="K599">
            <v>40160</v>
          </cell>
          <cell r="L599">
            <v>0</v>
          </cell>
          <cell r="M599">
            <v>4819.2</v>
          </cell>
          <cell r="N599">
            <v>4819.2</v>
          </cell>
        </row>
        <row r="600">
          <cell r="B600">
            <v>39</v>
          </cell>
          <cell r="D600">
            <v>0.21</v>
          </cell>
          <cell r="E600" t="str">
            <v>Kg</v>
          </cell>
          <cell r="F600" t="str">
            <v>Cat Tembok Klas II</v>
          </cell>
          <cell r="I600" t="str">
            <v>(Penutup)</v>
          </cell>
          <cell r="J600" t="str">
            <v>@</v>
          </cell>
          <cell r="K600">
            <v>40160</v>
          </cell>
          <cell r="L600">
            <v>0</v>
          </cell>
          <cell r="M600">
            <v>8433.6</v>
          </cell>
          <cell r="N600">
            <v>8433.6</v>
          </cell>
        </row>
        <row r="601">
          <cell r="B601">
            <v>1</v>
          </cell>
          <cell r="D601">
            <v>2.8000000000000001E-2</v>
          </cell>
          <cell r="E601" t="str">
            <v>Oh</v>
          </cell>
          <cell r="F601" t="str">
            <v>Pekerja</v>
          </cell>
          <cell r="J601" t="str">
            <v>@</v>
          </cell>
          <cell r="K601">
            <v>65000</v>
          </cell>
          <cell r="L601">
            <v>1820</v>
          </cell>
          <cell r="M601">
            <v>0</v>
          </cell>
          <cell r="N601">
            <v>1820</v>
          </cell>
        </row>
        <row r="602">
          <cell r="B602">
            <v>2</v>
          </cell>
          <cell r="D602">
            <v>4.2000000000000003E-2</v>
          </cell>
          <cell r="E602" t="str">
            <v>Oh</v>
          </cell>
          <cell r="F602" t="str">
            <v>Tukang</v>
          </cell>
          <cell r="J602" t="str">
            <v>@</v>
          </cell>
          <cell r="K602">
            <v>80000</v>
          </cell>
          <cell r="L602">
            <v>3360</v>
          </cell>
          <cell r="M602">
            <v>0</v>
          </cell>
          <cell r="N602">
            <v>3360</v>
          </cell>
        </row>
        <row r="603">
          <cell r="B603">
            <v>3</v>
          </cell>
          <cell r="D603">
            <v>4.1999999999999997E-3</v>
          </cell>
          <cell r="E603" t="str">
            <v>Oh</v>
          </cell>
          <cell r="F603" t="str">
            <v>Kepala Tukang</v>
          </cell>
          <cell r="J603" t="str">
            <v>@</v>
          </cell>
          <cell r="K603">
            <v>90000</v>
          </cell>
          <cell r="L603">
            <v>378</v>
          </cell>
          <cell r="M603">
            <v>0</v>
          </cell>
          <cell r="N603">
            <v>378</v>
          </cell>
        </row>
        <row r="604">
          <cell r="B604">
            <v>4</v>
          </cell>
          <cell r="D604">
            <v>2.5000000000000001E-3</v>
          </cell>
          <cell r="E604" t="str">
            <v>Oh</v>
          </cell>
          <cell r="F604" t="str">
            <v>Mandor</v>
          </cell>
          <cell r="J604" t="str">
            <v>@</v>
          </cell>
          <cell r="K604">
            <v>80000</v>
          </cell>
          <cell r="L604">
            <v>200</v>
          </cell>
          <cell r="M604">
            <v>0</v>
          </cell>
          <cell r="N604">
            <v>200</v>
          </cell>
        </row>
        <row r="605">
          <cell r="C605" t="str">
            <v>B</v>
          </cell>
          <cell r="D605" t="str">
            <v>Jumlah</v>
          </cell>
          <cell r="L605">
            <v>5758</v>
          </cell>
          <cell r="M605">
            <v>13252.8</v>
          </cell>
          <cell r="N605">
            <v>19010.8</v>
          </cell>
        </row>
        <row r="607">
          <cell r="C607">
            <v>62</v>
          </cell>
          <cell r="D607" t="str">
            <v>1M2</v>
          </cell>
          <cell r="E607" t="str">
            <v>Mengecet dengan Cat Besi dicat 2xLapis</v>
          </cell>
          <cell r="P607" t="e">
            <v>#REF!</v>
          </cell>
        </row>
        <row r="608">
          <cell r="D608">
            <v>0.35</v>
          </cell>
          <cell r="E608" t="str">
            <v>Kg</v>
          </cell>
          <cell r="F608" t="str">
            <v>Cat Besi</v>
          </cell>
          <cell r="J608" t="str">
            <v>@</v>
          </cell>
          <cell r="K608">
            <v>68850</v>
          </cell>
          <cell r="L608">
            <v>24097.5</v>
          </cell>
          <cell r="M608">
            <v>0</v>
          </cell>
          <cell r="N608">
            <v>24097.5</v>
          </cell>
        </row>
        <row r="609">
          <cell r="D609">
            <v>0.44</v>
          </cell>
          <cell r="E609" t="str">
            <v>ltr</v>
          </cell>
          <cell r="F609" t="str">
            <v>Minyak Cat</v>
          </cell>
          <cell r="J609" t="str">
            <v>@</v>
          </cell>
          <cell r="K609">
            <v>37200</v>
          </cell>
          <cell r="L609">
            <v>16368</v>
          </cell>
          <cell r="M609">
            <v>0</v>
          </cell>
          <cell r="N609">
            <v>16368</v>
          </cell>
        </row>
        <row r="610">
          <cell r="D610">
            <v>0.1</v>
          </cell>
          <cell r="E610" t="str">
            <v>Lbr</v>
          </cell>
          <cell r="F610" t="str">
            <v>Amplas</v>
          </cell>
          <cell r="J610" t="str">
            <v>@</v>
          </cell>
          <cell r="K610">
            <v>6500</v>
          </cell>
          <cell r="L610">
            <v>650</v>
          </cell>
          <cell r="M610">
            <v>0</v>
          </cell>
          <cell r="N610">
            <v>650</v>
          </cell>
        </row>
        <row r="611">
          <cell r="B611">
            <v>1</v>
          </cell>
          <cell r="D611">
            <v>0.16</v>
          </cell>
          <cell r="E611" t="str">
            <v>Oh</v>
          </cell>
          <cell r="F611" t="str">
            <v>Pekerja</v>
          </cell>
          <cell r="J611" t="str">
            <v>@</v>
          </cell>
          <cell r="K611">
            <v>65000</v>
          </cell>
          <cell r="L611">
            <v>10400</v>
          </cell>
          <cell r="M611">
            <v>0</v>
          </cell>
          <cell r="N611">
            <v>10400</v>
          </cell>
        </row>
        <row r="612">
          <cell r="B612">
            <v>2</v>
          </cell>
          <cell r="D612">
            <v>1.6E-2</v>
          </cell>
          <cell r="E612" t="str">
            <v>Oh</v>
          </cell>
          <cell r="F612" t="str">
            <v>Tukang</v>
          </cell>
          <cell r="J612" t="str">
            <v>@</v>
          </cell>
          <cell r="K612">
            <v>80000</v>
          </cell>
          <cell r="L612">
            <v>1280</v>
          </cell>
          <cell r="M612">
            <v>0</v>
          </cell>
          <cell r="N612">
            <v>1280</v>
          </cell>
        </row>
        <row r="613">
          <cell r="B613">
            <v>3</v>
          </cell>
          <cell r="D613">
            <v>2E-3</v>
          </cell>
          <cell r="E613" t="str">
            <v>Oh</v>
          </cell>
          <cell r="F613" t="str">
            <v>Kepala Tukang</v>
          </cell>
          <cell r="J613" t="str">
            <v>@</v>
          </cell>
          <cell r="K613">
            <v>90000</v>
          </cell>
          <cell r="L613">
            <v>180</v>
          </cell>
          <cell r="M613">
            <v>0</v>
          </cell>
          <cell r="N613">
            <v>180</v>
          </cell>
        </row>
        <row r="614">
          <cell r="B614">
            <v>4</v>
          </cell>
          <cell r="D614">
            <v>2.5000000000000001E-3</v>
          </cell>
          <cell r="E614" t="str">
            <v>Oh</v>
          </cell>
          <cell r="F614" t="str">
            <v>Mandor</v>
          </cell>
          <cell r="J614" t="str">
            <v>@</v>
          </cell>
          <cell r="K614">
            <v>80000</v>
          </cell>
          <cell r="L614">
            <v>200</v>
          </cell>
          <cell r="M614">
            <v>0</v>
          </cell>
          <cell r="N614">
            <v>200</v>
          </cell>
        </row>
        <row r="615">
          <cell r="C615" t="str">
            <v>B</v>
          </cell>
          <cell r="D615" t="str">
            <v>Jumlah</v>
          </cell>
          <cell r="L615">
            <v>53175.5</v>
          </cell>
          <cell r="M615">
            <v>0</v>
          </cell>
          <cell r="N615">
            <v>53175.5</v>
          </cell>
        </row>
        <row r="617">
          <cell r="D617" t="str">
            <v>I. PEKERJAAN KUNCI DAN KACA</v>
          </cell>
        </row>
        <row r="618">
          <cell r="A618">
            <v>63</v>
          </cell>
          <cell r="C618">
            <v>63</v>
          </cell>
          <cell r="D618" t="str">
            <v>1 Bh</v>
          </cell>
          <cell r="E618" t="str">
            <v>Pasang Kunci Tanam 1 Slaag</v>
          </cell>
          <cell r="P618" t="e">
            <v>#REF!</v>
          </cell>
        </row>
        <row r="619">
          <cell r="B619">
            <v>1</v>
          </cell>
          <cell r="D619">
            <v>0.01</v>
          </cell>
          <cell r="E619" t="str">
            <v>Oh</v>
          </cell>
          <cell r="F619" t="str">
            <v>Pekerja</v>
          </cell>
          <cell r="J619" t="str">
            <v>@</v>
          </cell>
          <cell r="K619">
            <v>65000</v>
          </cell>
          <cell r="L619">
            <v>650</v>
          </cell>
          <cell r="M619">
            <v>0</v>
          </cell>
          <cell r="N619">
            <v>650</v>
          </cell>
        </row>
        <row r="620">
          <cell r="B620">
            <v>2</v>
          </cell>
          <cell r="D620">
            <v>0.5</v>
          </cell>
          <cell r="E620" t="str">
            <v>Oh</v>
          </cell>
          <cell r="F620" t="str">
            <v>Tukang</v>
          </cell>
          <cell r="J620" t="str">
            <v>@</v>
          </cell>
          <cell r="K620">
            <v>80000</v>
          </cell>
          <cell r="L620">
            <v>40000</v>
          </cell>
          <cell r="M620">
            <v>0</v>
          </cell>
          <cell r="N620">
            <v>40000</v>
          </cell>
        </row>
        <row r="621">
          <cell r="B621">
            <v>3</v>
          </cell>
          <cell r="D621">
            <v>0.01</v>
          </cell>
          <cell r="E621" t="str">
            <v>Oh</v>
          </cell>
          <cell r="F621" t="str">
            <v>Kepala Tukang</v>
          </cell>
          <cell r="J621" t="str">
            <v>@</v>
          </cell>
          <cell r="K621">
            <v>90000</v>
          </cell>
          <cell r="L621">
            <v>900</v>
          </cell>
          <cell r="M621">
            <v>0</v>
          </cell>
          <cell r="N621">
            <v>900</v>
          </cell>
        </row>
        <row r="622">
          <cell r="B622">
            <v>4</v>
          </cell>
          <cell r="D622">
            <v>5.0000000000000001E-3</v>
          </cell>
          <cell r="E622" t="str">
            <v>Oh</v>
          </cell>
          <cell r="F622" t="str">
            <v>Mandor</v>
          </cell>
          <cell r="J622" t="str">
            <v>@</v>
          </cell>
          <cell r="K622">
            <v>80000</v>
          </cell>
          <cell r="L622">
            <v>400</v>
          </cell>
          <cell r="M622">
            <v>0</v>
          </cell>
          <cell r="N622">
            <v>400</v>
          </cell>
        </row>
        <row r="623">
          <cell r="B623">
            <v>66</v>
          </cell>
          <cell r="D623">
            <v>1</v>
          </cell>
          <cell r="E623" t="str">
            <v>Bh</v>
          </cell>
          <cell r="F623" t="str">
            <v>Kunci Tanam 1 Slaag</v>
          </cell>
          <cell r="J623" t="str">
            <v>@</v>
          </cell>
          <cell r="K623">
            <v>150000</v>
          </cell>
          <cell r="L623">
            <v>0</v>
          </cell>
          <cell r="M623">
            <v>150000</v>
          </cell>
          <cell r="N623">
            <v>150000</v>
          </cell>
        </row>
        <row r="624">
          <cell r="C624" t="str">
            <v>B</v>
          </cell>
          <cell r="D624" t="str">
            <v>Jumlah</v>
          </cell>
          <cell r="L624">
            <v>41950</v>
          </cell>
          <cell r="M624">
            <v>150000</v>
          </cell>
          <cell r="N624">
            <v>191950</v>
          </cell>
        </row>
        <row r="626">
          <cell r="A626">
            <v>63</v>
          </cell>
          <cell r="C626">
            <v>64</v>
          </cell>
          <cell r="D626" t="str">
            <v>1 Bh</v>
          </cell>
          <cell r="E626" t="str">
            <v>Pasang Kunci Tanam 2 Slaag</v>
          </cell>
          <cell r="P626" t="e">
            <v>#REF!</v>
          </cell>
        </row>
        <row r="627">
          <cell r="B627">
            <v>1</v>
          </cell>
          <cell r="D627">
            <v>0.01</v>
          </cell>
          <cell r="E627" t="str">
            <v>Oh</v>
          </cell>
          <cell r="F627" t="str">
            <v>Pekerja</v>
          </cell>
          <cell r="J627" t="str">
            <v>@</v>
          </cell>
          <cell r="K627">
            <v>65000</v>
          </cell>
          <cell r="L627">
            <v>650</v>
          </cell>
          <cell r="M627">
            <v>0</v>
          </cell>
          <cell r="N627">
            <v>650</v>
          </cell>
        </row>
        <row r="628">
          <cell r="B628">
            <v>2</v>
          </cell>
          <cell r="D628">
            <v>0.5</v>
          </cell>
          <cell r="E628" t="str">
            <v>Oh</v>
          </cell>
          <cell r="F628" t="str">
            <v>Tukang</v>
          </cell>
          <cell r="J628" t="str">
            <v>@</v>
          </cell>
          <cell r="K628">
            <v>80000</v>
          </cell>
          <cell r="L628">
            <v>40000</v>
          </cell>
          <cell r="M628">
            <v>0</v>
          </cell>
          <cell r="N628">
            <v>40000</v>
          </cell>
        </row>
        <row r="629">
          <cell r="B629">
            <v>3</v>
          </cell>
          <cell r="D629">
            <v>0.01</v>
          </cell>
          <cell r="E629" t="str">
            <v>Oh</v>
          </cell>
          <cell r="F629" t="str">
            <v>Kepala Tukang</v>
          </cell>
          <cell r="J629" t="str">
            <v>@</v>
          </cell>
          <cell r="K629">
            <v>90000</v>
          </cell>
          <cell r="L629">
            <v>900</v>
          </cell>
          <cell r="M629">
            <v>0</v>
          </cell>
          <cell r="N629">
            <v>900</v>
          </cell>
        </row>
        <row r="630">
          <cell r="B630">
            <v>4</v>
          </cell>
          <cell r="D630">
            <v>5.0000000000000001E-3</v>
          </cell>
          <cell r="E630" t="str">
            <v>Oh</v>
          </cell>
          <cell r="F630" t="str">
            <v>Mandor</v>
          </cell>
          <cell r="J630" t="str">
            <v>@</v>
          </cell>
          <cell r="K630">
            <v>80000</v>
          </cell>
          <cell r="L630">
            <v>400</v>
          </cell>
          <cell r="M630">
            <v>0</v>
          </cell>
          <cell r="N630">
            <v>400</v>
          </cell>
        </row>
        <row r="631">
          <cell r="B631">
            <v>65</v>
          </cell>
          <cell r="D631">
            <v>1</v>
          </cell>
          <cell r="E631" t="str">
            <v>Bh</v>
          </cell>
          <cell r="F631" t="str">
            <v>Kunci Tanam 2 Slag</v>
          </cell>
          <cell r="J631" t="str">
            <v>@</v>
          </cell>
          <cell r="K631">
            <v>172525</v>
          </cell>
          <cell r="L631">
            <v>0</v>
          </cell>
          <cell r="M631">
            <v>172525</v>
          </cell>
          <cell r="N631">
            <v>172525</v>
          </cell>
        </row>
        <row r="632">
          <cell r="C632" t="str">
            <v>B</v>
          </cell>
          <cell r="D632" t="str">
            <v>Jumlah</v>
          </cell>
          <cell r="L632">
            <v>41950</v>
          </cell>
          <cell r="M632">
            <v>172525</v>
          </cell>
          <cell r="N632">
            <v>214475</v>
          </cell>
        </row>
        <row r="634">
          <cell r="A634">
            <v>64</v>
          </cell>
          <cell r="C634">
            <v>65</v>
          </cell>
          <cell r="D634" t="str">
            <v>1 Set</v>
          </cell>
          <cell r="E634" t="str">
            <v>Pasang Engsel Pintu</v>
          </cell>
          <cell r="P634" t="e">
            <v>#REF!</v>
          </cell>
        </row>
        <row r="635">
          <cell r="B635">
            <v>1</v>
          </cell>
          <cell r="D635">
            <v>1.4999999999999999E-2</v>
          </cell>
          <cell r="E635" t="str">
            <v>Oh</v>
          </cell>
          <cell r="F635" t="str">
            <v>Pekerja</v>
          </cell>
          <cell r="J635" t="str">
            <v>@</v>
          </cell>
          <cell r="K635">
            <v>65000</v>
          </cell>
          <cell r="L635">
            <v>975</v>
          </cell>
          <cell r="M635">
            <v>0</v>
          </cell>
          <cell r="N635">
            <v>975</v>
          </cell>
        </row>
        <row r="636">
          <cell r="B636">
            <v>2</v>
          </cell>
          <cell r="D636">
            <v>0.15</v>
          </cell>
          <cell r="E636" t="str">
            <v>Oh</v>
          </cell>
          <cell r="F636" t="str">
            <v>Tukang</v>
          </cell>
          <cell r="J636" t="str">
            <v>@</v>
          </cell>
          <cell r="K636">
            <v>80000</v>
          </cell>
          <cell r="L636">
            <v>12000</v>
          </cell>
          <cell r="M636">
            <v>0</v>
          </cell>
          <cell r="N636">
            <v>12000</v>
          </cell>
        </row>
        <row r="637">
          <cell r="B637">
            <v>3</v>
          </cell>
          <cell r="D637">
            <v>1.4999999999999999E-2</v>
          </cell>
          <cell r="E637" t="str">
            <v>Oh</v>
          </cell>
          <cell r="F637" t="str">
            <v>Kepala Tukang</v>
          </cell>
          <cell r="J637" t="str">
            <v>@</v>
          </cell>
          <cell r="K637">
            <v>90000</v>
          </cell>
          <cell r="L637">
            <v>1350</v>
          </cell>
          <cell r="M637">
            <v>0</v>
          </cell>
          <cell r="N637">
            <v>1350</v>
          </cell>
        </row>
        <row r="638">
          <cell r="B638">
            <v>4</v>
          </cell>
          <cell r="D638">
            <v>7.5000000000000002E-4</v>
          </cell>
          <cell r="E638" t="str">
            <v>Oh</v>
          </cell>
          <cell r="F638" t="str">
            <v>Mandor</v>
          </cell>
          <cell r="J638" t="str">
            <v>@</v>
          </cell>
          <cell r="K638">
            <v>80000</v>
          </cell>
          <cell r="L638">
            <v>60</v>
          </cell>
          <cell r="M638">
            <v>0</v>
          </cell>
          <cell r="N638">
            <v>60</v>
          </cell>
        </row>
        <row r="639">
          <cell r="B639">
            <v>69</v>
          </cell>
          <cell r="D639">
            <v>1</v>
          </cell>
          <cell r="E639" t="str">
            <v>Set</v>
          </cell>
          <cell r="F639" t="str">
            <v>Engsel Pintu</v>
          </cell>
          <cell r="J639" t="str">
            <v>@</v>
          </cell>
          <cell r="K639">
            <v>40163</v>
          </cell>
          <cell r="L639">
            <v>0</v>
          </cell>
          <cell r="M639">
            <v>40163</v>
          </cell>
          <cell r="N639">
            <v>40163</v>
          </cell>
        </row>
        <row r="640">
          <cell r="C640" t="str">
            <v>B</v>
          </cell>
          <cell r="D640" t="str">
            <v>Jumlah</v>
          </cell>
          <cell r="L640">
            <v>14385</v>
          </cell>
          <cell r="M640">
            <v>40163</v>
          </cell>
          <cell r="N640">
            <v>54548</v>
          </cell>
        </row>
        <row r="642">
          <cell r="A642">
            <v>65</v>
          </cell>
          <cell r="C642">
            <v>66</v>
          </cell>
          <cell r="D642" t="str">
            <v>1 Set</v>
          </cell>
          <cell r="E642" t="str">
            <v>Pasang Engsel Jendela</v>
          </cell>
          <cell r="P642" t="e">
            <v>#REF!</v>
          </cell>
        </row>
        <row r="643">
          <cell r="B643">
            <v>1</v>
          </cell>
          <cell r="D643">
            <v>0.01</v>
          </cell>
          <cell r="E643" t="str">
            <v>Oh</v>
          </cell>
          <cell r="F643" t="str">
            <v>Pekerja</v>
          </cell>
          <cell r="J643" t="str">
            <v>@</v>
          </cell>
          <cell r="K643">
            <v>65000</v>
          </cell>
          <cell r="L643">
            <v>650</v>
          </cell>
          <cell r="M643">
            <v>0</v>
          </cell>
          <cell r="N643">
            <v>650</v>
          </cell>
        </row>
        <row r="644">
          <cell r="B644">
            <v>2</v>
          </cell>
          <cell r="D644">
            <v>0.1</v>
          </cell>
          <cell r="E644" t="str">
            <v>Oh</v>
          </cell>
          <cell r="F644" t="str">
            <v>Tukang</v>
          </cell>
          <cell r="J644" t="str">
            <v>@</v>
          </cell>
          <cell r="K644">
            <v>80000</v>
          </cell>
          <cell r="L644">
            <v>8000</v>
          </cell>
          <cell r="M644">
            <v>0</v>
          </cell>
          <cell r="N644">
            <v>8000</v>
          </cell>
        </row>
        <row r="645">
          <cell r="B645">
            <v>3</v>
          </cell>
          <cell r="D645">
            <v>0.01</v>
          </cell>
          <cell r="E645" t="str">
            <v>Oh</v>
          </cell>
          <cell r="F645" t="str">
            <v>Kepala Tukang</v>
          </cell>
          <cell r="J645" t="str">
            <v>@</v>
          </cell>
          <cell r="K645">
            <v>90000</v>
          </cell>
          <cell r="L645">
            <v>900</v>
          </cell>
          <cell r="M645">
            <v>0</v>
          </cell>
          <cell r="N645">
            <v>900</v>
          </cell>
        </row>
        <row r="646">
          <cell r="B646">
            <v>4</v>
          </cell>
          <cell r="D646">
            <v>5.0000000000000001E-4</v>
          </cell>
          <cell r="E646" t="str">
            <v>Oh</v>
          </cell>
          <cell r="F646" t="str">
            <v>Mandor</v>
          </cell>
          <cell r="J646" t="str">
            <v>@</v>
          </cell>
          <cell r="K646">
            <v>80000</v>
          </cell>
          <cell r="L646">
            <v>40</v>
          </cell>
          <cell r="M646">
            <v>0</v>
          </cell>
          <cell r="N646">
            <v>40</v>
          </cell>
        </row>
        <row r="647">
          <cell r="B647">
            <v>70</v>
          </cell>
          <cell r="D647">
            <v>1</v>
          </cell>
          <cell r="E647" t="str">
            <v>Psng</v>
          </cell>
          <cell r="F647" t="str">
            <v>Engsel Jendela</v>
          </cell>
          <cell r="J647" t="str">
            <v>@</v>
          </cell>
          <cell r="K647">
            <v>30000</v>
          </cell>
          <cell r="L647">
            <v>0</v>
          </cell>
          <cell r="M647">
            <v>30000</v>
          </cell>
          <cell r="N647">
            <v>30000</v>
          </cell>
        </row>
        <row r="648">
          <cell r="C648" t="str">
            <v>B</v>
          </cell>
          <cell r="D648" t="str">
            <v>Jumlah</v>
          </cell>
          <cell r="L648">
            <v>9590</v>
          </cell>
          <cell r="M648">
            <v>30000</v>
          </cell>
          <cell r="N648">
            <v>39590</v>
          </cell>
        </row>
        <row r="650">
          <cell r="C650">
            <v>67</v>
          </cell>
          <cell r="D650" t="str">
            <v>1 Set</v>
          </cell>
          <cell r="E650" t="str">
            <v>Pasang Kait Angin</v>
          </cell>
        </row>
        <row r="651">
          <cell r="B651">
            <v>1</v>
          </cell>
          <cell r="D651">
            <v>1.4999999999999999E-2</v>
          </cell>
          <cell r="E651" t="str">
            <v>Oh</v>
          </cell>
          <cell r="F651" t="str">
            <v>Pekerja</v>
          </cell>
          <cell r="J651" t="str">
            <v>@</v>
          </cell>
          <cell r="K651">
            <v>65000</v>
          </cell>
          <cell r="L651">
            <v>975</v>
          </cell>
          <cell r="M651">
            <v>0</v>
          </cell>
          <cell r="N651">
            <v>975</v>
          </cell>
        </row>
        <row r="652">
          <cell r="B652">
            <v>2</v>
          </cell>
          <cell r="D652">
            <v>0.15</v>
          </cell>
          <cell r="E652" t="str">
            <v>Oh</v>
          </cell>
          <cell r="F652" t="str">
            <v>Tukang</v>
          </cell>
          <cell r="J652" t="str">
            <v>@</v>
          </cell>
          <cell r="K652">
            <v>80000</v>
          </cell>
          <cell r="L652">
            <v>12000</v>
          </cell>
          <cell r="M652">
            <v>0</v>
          </cell>
          <cell r="N652">
            <v>12000</v>
          </cell>
        </row>
        <row r="653">
          <cell r="B653">
            <v>3</v>
          </cell>
          <cell r="D653">
            <v>1.4999999999999999E-2</v>
          </cell>
          <cell r="E653" t="str">
            <v>Oh</v>
          </cell>
          <cell r="F653" t="str">
            <v>Kepala Tukang</v>
          </cell>
          <cell r="J653" t="str">
            <v>@</v>
          </cell>
          <cell r="K653">
            <v>90000</v>
          </cell>
          <cell r="L653">
            <v>1350</v>
          </cell>
          <cell r="M653">
            <v>0</v>
          </cell>
          <cell r="N653">
            <v>1350</v>
          </cell>
        </row>
        <row r="654">
          <cell r="B654">
            <v>4</v>
          </cell>
          <cell r="D654">
            <v>7.5000000000000002E-4</v>
          </cell>
          <cell r="E654" t="str">
            <v>Oh</v>
          </cell>
          <cell r="F654" t="str">
            <v>Mandor</v>
          </cell>
          <cell r="J654" t="str">
            <v>@</v>
          </cell>
          <cell r="K654">
            <v>80000</v>
          </cell>
          <cell r="L654">
            <v>60</v>
          </cell>
          <cell r="M654">
            <v>0</v>
          </cell>
          <cell r="N654">
            <v>60</v>
          </cell>
        </row>
        <row r="655">
          <cell r="B655">
            <v>71</v>
          </cell>
          <cell r="D655">
            <v>1</v>
          </cell>
          <cell r="E655" t="str">
            <v>Psng</v>
          </cell>
          <cell r="F655" t="str">
            <v>Hak Angin</v>
          </cell>
          <cell r="J655" t="str">
            <v>@</v>
          </cell>
          <cell r="K655">
            <v>40163</v>
          </cell>
          <cell r="L655">
            <v>0</v>
          </cell>
          <cell r="M655">
            <v>40163</v>
          </cell>
          <cell r="N655">
            <v>40163</v>
          </cell>
        </row>
        <row r="656">
          <cell r="C656" t="str">
            <v>B</v>
          </cell>
          <cell r="D656" t="str">
            <v>Jumlah</v>
          </cell>
          <cell r="L656">
            <v>14385</v>
          </cell>
          <cell r="M656">
            <v>40163</v>
          </cell>
          <cell r="N656">
            <v>54548</v>
          </cell>
        </row>
        <row r="658">
          <cell r="A658">
            <v>66</v>
          </cell>
          <cell r="C658">
            <v>68</v>
          </cell>
          <cell r="D658" t="str">
            <v>1 Set</v>
          </cell>
          <cell r="E658" t="str">
            <v>Pasang Handle Jendelah</v>
          </cell>
          <cell r="P658" t="e">
            <v>#REF!</v>
          </cell>
        </row>
        <row r="659">
          <cell r="B659">
            <v>1</v>
          </cell>
          <cell r="D659">
            <v>1.4999999999999999E-2</v>
          </cell>
          <cell r="E659" t="str">
            <v>Oh</v>
          </cell>
          <cell r="F659" t="str">
            <v>Pekerja</v>
          </cell>
          <cell r="J659" t="str">
            <v>@</v>
          </cell>
          <cell r="K659">
            <v>65000</v>
          </cell>
          <cell r="L659">
            <v>975</v>
          </cell>
          <cell r="M659">
            <v>0</v>
          </cell>
          <cell r="N659">
            <v>975</v>
          </cell>
        </row>
        <row r="660">
          <cell r="B660">
            <v>2</v>
          </cell>
          <cell r="D660">
            <v>0.15</v>
          </cell>
          <cell r="E660" t="str">
            <v>Oh</v>
          </cell>
          <cell r="F660" t="str">
            <v>Tukang</v>
          </cell>
          <cell r="J660" t="str">
            <v>@</v>
          </cell>
          <cell r="K660">
            <v>80000</v>
          </cell>
          <cell r="L660">
            <v>12000</v>
          </cell>
          <cell r="M660">
            <v>0</v>
          </cell>
          <cell r="N660">
            <v>12000</v>
          </cell>
        </row>
        <row r="661">
          <cell r="B661">
            <v>3</v>
          </cell>
          <cell r="D661">
            <v>1.4999999999999999E-2</v>
          </cell>
          <cell r="E661" t="str">
            <v>Oh</v>
          </cell>
          <cell r="F661" t="str">
            <v>Kepala Tukang</v>
          </cell>
          <cell r="J661" t="str">
            <v>@</v>
          </cell>
          <cell r="K661">
            <v>90000</v>
          </cell>
          <cell r="L661">
            <v>1350</v>
          </cell>
          <cell r="M661">
            <v>0</v>
          </cell>
          <cell r="N661">
            <v>1350</v>
          </cell>
        </row>
        <row r="662">
          <cell r="B662">
            <v>4</v>
          </cell>
          <cell r="D662">
            <v>7.5000000000000002E-4</v>
          </cell>
          <cell r="E662" t="str">
            <v>Oh</v>
          </cell>
          <cell r="F662" t="str">
            <v>Mandor</v>
          </cell>
          <cell r="J662" t="str">
            <v>@</v>
          </cell>
          <cell r="K662">
            <v>80000</v>
          </cell>
          <cell r="L662">
            <v>60</v>
          </cell>
          <cell r="M662">
            <v>0</v>
          </cell>
          <cell r="N662">
            <v>60</v>
          </cell>
        </row>
        <row r="663">
          <cell r="B663">
            <v>68</v>
          </cell>
          <cell r="D663">
            <v>1</v>
          </cell>
          <cell r="E663" t="str">
            <v>Bh</v>
          </cell>
          <cell r="F663" t="str">
            <v>Tarikan Jendela</v>
          </cell>
          <cell r="J663" t="str">
            <v>@</v>
          </cell>
          <cell r="K663">
            <v>28000</v>
          </cell>
          <cell r="L663">
            <v>0</v>
          </cell>
          <cell r="M663">
            <v>28000</v>
          </cell>
          <cell r="N663">
            <v>28000</v>
          </cell>
        </row>
        <row r="664">
          <cell r="C664" t="str">
            <v>B</v>
          </cell>
          <cell r="D664" t="str">
            <v>Jumlah</v>
          </cell>
          <cell r="L664">
            <v>14385</v>
          </cell>
          <cell r="M664">
            <v>28000</v>
          </cell>
          <cell r="N664">
            <v>42385</v>
          </cell>
        </row>
        <row r="666">
          <cell r="A666">
            <v>67</v>
          </cell>
          <cell r="C666">
            <v>69</v>
          </cell>
          <cell r="D666" t="str">
            <v>1 Bh</v>
          </cell>
          <cell r="E666" t="str">
            <v>Pasang Grendel Jendela</v>
          </cell>
          <cell r="P666" t="e">
            <v>#REF!</v>
          </cell>
        </row>
        <row r="667">
          <cell r="B667">
            <v>1</v>
          </cell>
          <cell r="D667">
            <v>1.4999999999999999E-2</v>
          </cell>
          <cell r="E667" t="str">
            <v>Oh</v>
          </cell>
          <cell r="F667" t="str">
            <v>Pekerja</v>
          </cell>
          <cell r="J667" t="str">
            <v>@</v>
          </cell>
          <cell r="K667">
            <v>65000</v>
          </cell>
          <cell r="L667">
            <v>975</v>
          </cell>
          <cell r="M667">
            <v>0</v>
          </cell>
          <cell r="N667">
            <v>975</v>
          </cell>
        </row>
        <row r="668">
          <cell r="B668">
            <v>2</v>
          </cell>
          <cell r="D668">
            <v>0.15</v>
          </cell>
          <cell r="E668" t="str">
            <v>Oh</v>
          </cell>
          <cell r="F668" t="str">
            <v>Tukang</v>
          </cell>
          <cell r="J668" t="str">
            <v>@</v>
          </cell>
          <cell r="K668">
            <v>80000</v>
          </cell>
          <cell r="L668">
            <v>12000</v>
          </cell>
          <cell r="M668">
            <v>0</v>
          </cell>
          <cell r="N668">
            <v>12000</v>
          </cell>
        </row>
        <row r="669">
          <cell r="B669">
            <v>3</v>
          </cell>
          <cell r="D669">
            <v>1.4999999999999999E-2</v>
          </cell>
          <cell r="E669" t="str">
            <v>Oh</v>
          </cell>
          <cell r="F669" t="str">
            <v>Kepala Tukang</v>
          </cell>
          <cell r="J669" t="str">
            <v>@</v>
          </cell>
          <cell r="K669">
            <v>90000</v>
          </cell>
          <cell r="L669">
            <v>1350</v>
          </cell>
          <cell r="M669">
            <v>0</v>
          </cell>
          <cell r="N669">
            <v>1350</v>
          </cell>
        </row>
        <row r="670">
          <cell r="B670">
            <v>4</v>
          </cell>
          <cell r="D670">
            <v>7.5000000000000002E-4</v>
          </cell>
          <cell r="E670" t="str">
            <v>Oh</v>
          </cell>
          <cell r="F670" t="str">
            <v>Mandor</v>
          </cell>
          <cell r="J670" t="str">
            <v>@</v>
          </cell>
          <cell r="K670">
            <v>80000</v>
          </cell>
          <cell r="L670">
            <v>60</v>
          </cell>
          <cell r="M670">
            <v>0</v>
          </cell>
          <cell r="N670">
            <v>60</v>
          </cell>
        </row>
        <row r="671">
          <cell r="B671">
            <v>72</v>
          </cell>
          <cell r="D671">
            <v>1</v>
          </cell>
          <cell r="E671" t="str">
            <v>Bh</v>
          </cell>
          <cell r="F671" t="str">
            <v>Grendel Jendela</v>
          </cell>
          <cell r="J671" t="str">
            <v>@</v>
          </cell>
          <cell r="K671">
            <v>14344</v>
          </cell>
          <cell r="L671">
            <v>0</v>
          </cell>
          <cell r="M671">
            <v>14344</v>
          </cell>
          <cell r="N671">
            <v>14344</v>
          </cell>
        </row>
        <row r="672">
          <cell r="C672" t="str">
            <v>B</v>
          </cell>
          <cell r="D672" t="str">
            <v>Jumlah</v>
          </cell>
          <cell r="L672">
            <v>14385</v>
          </cell>
          <cell r="M672">
            <v>14344</v>
          </cell>
          <cell r="N672">
            <v>28729</v>
          </cell>
        </row>
        <row r="674">
          <cell r="A674">
            <v>68</v>
          </cell>
          <cell r="C674">
            <v>70</v>
          </cell>
          <cell r="D674" t="str">
            <v>1 Bh</v>
          </cell>
          <cell r="E674" t="str">
            <v>Pasang Grendel Pintu Tanam</v>
          </cell>
          <cell r="P674" t="e">
            <v>#REF!</v>
          </cell>
        </row>
        <row r="675">
          <cell r="B675">
            <v>1</v>
          </cell>
          <cell r="D675">
            <v>1.4999999999999999E-2</v>
          </cell>
          <cell r="E675" t="str">
            <v>Oh</v>
          </cell>
          <cell r="F675" t="str">
            <v>Pekerja</v>
          </cell>
          <cell r="J675" t="str">
            <v>@</v>
          </cell>
          <cell r="K675">
            <v>65000</v>
          </cell>
          <cell r="L675">
            <v>975</v>
          </cell>
          <cell r="M675">
            <v>0</v>
          </cell>
          <cell r="N675">
            <v>975</v>
          </cell>
        </row>
        <row r="676">
          <cell r="B676">
            <v>2</v>
          </cell>
          <cell r="D676">
            <v>0.15</v>
          </cell>
          <cell r="E676" t="str">
            <v>Oh</v>
          </cell>
          <cell r="F676" t="str">
            <v>Tukang</v>
          </cell>
          <cell r="J676" t="str">
            <v>@</v>
          </cell>
          <cell r="K676">
            <v>80000</v>
          </cell>
          <cell r="L676">
            <v>12000</v>
          </cell>
          <cell r="M676">
            <v>0</v>
          </cell>
          <cell r="N676">
            <v>12000</v>
          </cell>
        </row>
        <row r="677">
          <cell r="B677">
            <v>3</v>
          </cell>
          <cell r="D677">
            <v>1.4999999999999999E-2</v>
          </cell>
          <cell r="E677" t="str">
            <v>Oh</v>
          </cell>
          <cell r="F677" t="str">
            <v>Kepala Tukang</v>
          </cell>
          <cell r="J677" t="str">
            <v>@</v>
          </cell>
          <cell r="K677">
            <v>90000</v>
          </cell>
          <cell r="L677">
            <v>1350</v>
          </cell>
          <cell r="M677">
            <v>0</v>
          </cell>
          <cell r="N677">
            <v>1350</v>
          </cell>
        </row>
        <row r="678">
          <cell r="B678">
            <v>4</v>
          </cell>
          <cell r="D678">
            <v>7.5000000000000002E-4</v>
          </cell>
          <cell r="E678" t="str">
            <v>Oh</v>
          </cell>
          <cell r="F678" t="str">
            <v>Mandor</v>
          </cell>
          <cell r="J678" t="str">
            <v>@</v>
          </cell>
          <cell r="K678">
            <v>80000</v>
          </cell>
          <cell r="L678">
            <v>60</v>
          </cell>
          <cell r="M678">
            <v>0</v>
          </cell>
          <cell r="N678">
            <v>60</v>
          </cell>
        </row>
        <row r="679">
          <cell r="B679">
            <v>73</v>
          </cell>
          <cell r="D679">
            <v>1</v>
          </cell>
          <cell r="E679" t="str">
            <v>Bh</v>
          </cell>
          <cell r="F679" t="str">
            <v>Grendel Pintu Tanam</v>
          </cell>
          <cell r="J679" t="str">
            <v>@</v>
          </cell>
          <cell r="K679">
            <v>28688</v>
          </cell>
          <cell r="L679">
            <v>0</v>
          </cell>
          <cell r="M679">
            <v>28688</v>
          </cell>
          <cell r="N679">
            <v>28688</v>
          </cell>
        </row>
        <row r="680">
          <cell r="C680" t="str">
            <v>B</v>
          </cell>
          <cell r="D680" t="str">
            <v>Jumlah</v>
          </cell>
          <cell r="L680">
            <v>14385</v>
          </cell>
          <cell r="M680">
            <v>28688</v>
          </cell>
          <cell r="N680">
            <v>43073</v>
          </cell>
        </row>
        <row r="682">
          <cell r="D682" t="str">
            <v>J. PEKERJAAN ELEKTRIKAL</v>
          </cell>
        </row>
        <row r="683">
          <cell r="A683">
            <v>69</v>
          </cell>
          <cell r="C683">
            <v>71</v>
          </cell>
          <cell r="D683" t="str">
            <v>1 titik</v>
          </cell>
          <cell r="E683" t="str">
            <v>Instalasi Listrik</v>
          </cell>
          <cell r="P683" t="e">
            <v>#REF!</v>
          </cell>
        </row>
        <row r="684">
          <cell r="B684">
            <v>101</v>
          </cell>
          <cell r="D684">
            <v>25</v>
          </cell>
          <cell r="E684" t="str">
            <v>M'</v>
          </cell>
          <cell r="F684" t="str">
            <v>Kabel Listrik Jenis NYY 2.5</v>
          </cell>
          <cell r="J684" t="str">
            <v>@</v>
          </cell>
          <cell r="K684">
            <v>8491</v>
          </cell>
          <cell r="L684">
            <v>0</v>
          </cell>
          <cell r="M684">
            <v>212275</v>
          </cell>
          <cell r="N684">
            <v>212275</v>
          </cell>
        </row>
        <row r="685">
          <cell r="B685">
            <v>104</v>
          </cell>
          <cell r="D685">
            <v>4</v>
          </cell>
          <cell r="E685" t="str">
            <v>Bh</v>
          </cell>
          <cell r="F685" t="str">
            <v>Klem Pipa</v>
          </cell>
          <cell r="J685" t="str">
            <v>@</v>
          </cell>
          <cell r="K685">
            <v>1500</v>
          </cell>
          <cell r="L685">
            <v>0</v>
          </cell>
          <cell r="M685">
            <v>6000</v>
          </cell>
          <cell r="N685">
            <v>6000</v>
          </cell>
        </row>
        <row r="686">
          <cell r="B686">
            <v>105</v>
          </cell>
          <cell r="D686">
            <v>16</v>
          </cell>
          <cell r="E686" t="str">
            <v>Bh</v>
          </cell>
          <cell r="F686" t="str">
            <v>Isolasi/Seal Tape</v>
          </cell>
          <cell r="J686" t="str">
            <v>@</v>
          </cell>
          <cell r="K686">
            <v>5000</v>
          </cell>
          <cell r="L686">
            <v>0</v>
          </cell>
          <cell r="M686">
            <v>80000</v>
          </cell>
          <cell r="N686">
            <v>80000</v>
          </cell>
        </row>
        <row r="687">
          <cell r="B687">
            <v>106</v>
          </cell>
          <cell r="D687">
            <v>1</v>
          </cell>
          <cell r="E687" t="str">
            <v>Kg</v>
          </cell>
          <cell r="F687" t="str">
            <v>Tee Doos</v>
          </cell>
          <cell r="J687" t="str">
            <v>@</v>
          </cell>
          <cell r="K687">
            <v>6500</v>
          </cell>
          <cell r="L687">
            <v>0</v>
          </cell>
          <cell r="M687">
            <v>6500</v>
          </cell>
          <cell r="N687">
            <v>6500</v>
          </cell>
        </row>
        <row r="688">
          <cell r="B688">
            <v>107</v>
          </cell>
          <cell r="D688">
            <v>0.1</v>
          </cell>
          <cell r="E688" t="str">
            <v>Bh</v>
          </cell>
          <cell r="F688" t="str">
            <v>Inbouw doos</v>
          </cell>
          <cell r="J688" t="str">
            <v>@</v>
          </cell>
          <cell r="K688">
            <v>6000</v>
          </cell>
          <cell r="L688">
            <v>0</v>
          </cell>
          <cell r="M688">
            <v>600</v>
          </cell>
          <cell r="N688">
            <v>600</v>
          </cell>
        </row>
        <row r="689">
          <cell r="B689">
            <v>108</v>
          </cell>
          <cell r="D689">
            <v>1</v>
          </cell>
          <cell r="E689" t="str">
            <v>Bh</v>
          </cell>
          <cell r="F689" t="str">
            <v>Panil Box</v>
          </cell>
          <cell r="J689" t="str">
            <v>@</v>
          </cell>
          <cell r="K689">
            <v>175000</v>
          </cell>
          <cell r="L689">
            <v>0</v>
          </cell>
          <cell r="M689">
            <v>175000</v>
          </cell>
          <cell r="N689">
            <v>175000</v>
          </cell>
        </row>
        <row r="690">
          <cell r="B690">
            <v>29</v>
          </cell>
          <cell r="D690">
            <v>1</v>
          </cell>
          <cell r="E690" t="str">
            <v>Kg</v>
          </cell>
          <cell r="F690" t="str">
            <v>Paku Biasa</v>
          </cell>
          <cell r="J690" t="str">
            <v>@</v>
          </cell>
          <cell r="K690">
            <v>25500</v>
          </cell>
          <cell r="L690">
            <v>0</v>
          </cell>
          <cell r="M690">
            <v>25500</v>
          </cell>
          <cell r="N690">
            <v>25500</v>
          </cell>
        </row>
        <row r="691">
          <cell r="D691">
            <v>1</v>
          </cell>
          <cell r="E691" t="str">
            <v>Ls</v>
          </cell>
          <cell r="F691" t="str">
            <v>Upah</v>
          </cell>
          <cell r="J691" t="str">
            <v>@</v>
          </cell>
          <cell r="K691">
            <v>50000</v>
          </cell>
          <cell r="L691">
            <v>50000</v>
          </cell>
          <cell r="M691">
            <v>0</v>
          </cell>
          <cell r="N691">
            <v>50000</v>
          </cell>
        </row>
        <row r="692">
          <cell r="C692" t="str">
            <v>B</v>
          </cell>
          <cell r="D692" t="str">
            <v>Jumlah</v>
          </cell>
          <cell r="L692">
            <v>50000</v>
          </cell>
          <cell r="M692">
            <v>293600</v>
          </cell>
          <cell r="N692">
            <v>555875</v>
          </cell>
        </row>
        <row r="694">
          <cell r="A694">
            <v>69</v>
          </cell>
          <cell r="C694">
            <v>72</v>
          </cell>
          <cell r="D694" t="str">
            <v>1 titik</v>
          </cell>
          <cell r="E694" t="str">
            <v>Instalasi Kabel Stop Kontak</v>
          </cell>
          <cell r="P694" t="e">
            <v>#REF!</v>
          </cell>
        </row>
        <row r="695">
          <cell r="B695">
            <v>101</v>
          </cell>
          <cell r="D695">
            <v>8</v>
          </cell>
          <cell r="E695" t="str">
            <v>M'</v>
          </cell>
          <cell r="F695" t="str">
            <v>Kabel Listrik Jenis NYY 2.5</v>
          </cell>
          <cell r="J695" t="str">
            <v>@</v>
          </cell>
          <cell r="K695">
            <v>8491</v>
          </cell>
          <cell r="L695">
            <v>0</v>
          </cell>
          <cell r="M695">
            <v>67928</v>
          </cell>
          <cell r="N695">
            <v>67928</v>
          </cell>
        </row>
        <row r="696">
          <cell r="B696">
            <v>105</v>
          </cell>
          <cell r="D696">
            <v>12</v>
          </cell>
          <cell r="E696" t="str">
            <v>Bh</v>
          </cell>
          <cell r="F696" t="str">
            <v>Isolasi/Seal Tape</v>
          </cell>
          <cell r="J696" t="str">
            <v>@</v>
          </cell>
          <cell r="K696">
            <v>5000</v>
          </cell>
          <cell r="L696">
            <v>0</v>
          </cell>
          <cell r="M696">
            <v>60000</v>
          </cell>
          <cell r="N696">
            <v>60000</v>
          </cell>
        </row>
        <row r="697">
          <cell r="B697">
            <v>106</v>
          </cell>
          <cell r="D697">
            <v>1</v>
          </cell>
          <cell r="E697" t="str">
            <v>Kg</v>
          </cell>
          <cell r="F697" t="str">
            <v>Tee Doos</v>
          </cell>
          <cell r="J697" t="str">
            <v>@</v>
          </cell>
          <cell r="K697">
            <v>6500</v>
          </cell>
          <cell r="L697">
            <v>0</v>
          </cell>
          <cell r="M697">
            <v>6500</v>
          </cell>
          <cell r="N697">
            <v>6500</v>
          </cell>
        </row>
        <row r="698">
          <cell r="B698">
            <v>107</v>
          </cell>
          <cell r="D698">
            <v>0.1</v>
          </cell>
          <cell r="E698" t="str">
            <v>Bh</v>
          </cell>
          <cell r="F698" t="str">
            <v>Inbouw doos</v>
          </cell>
          <cell r="J698" t="str">
            <v>@</v>
          </cell>
          <cell r="K698">
            <v>6000</v>
          </cell>
          <cell r="L698">
            <v>0</v>
          </cell>
          <cell r="M698">
            <v>600</v>
          </cell>
          <cell r="N698">
            <v>600</v>
          </cell>
        </row>
        <row r="699">
          <cell r="B699">
            <v>108</v>
          </cell>
          <cell r="D699">
            <v>1</v>
          </cell>
          <cell r="E699" t="str">
            <v>Bh</v>
          </cell>
          <cell r="F699" t="str">
            <v>Panil Box</v>
          </cell>
          <cell r="J699" t="str">
            <v>@</v>
          </cell>
          <cell r="K699">
            <v>175000</v>
          </cell>
          <cell r="L699">
            <v>0</v>
          </cell>
          <cell r="M699">
            <v>175000</v>
          </cell>
          <cell r="N699">
            <v>175000</v>
          </cell>
        </row>
        <row r="700">
          <cell r="B700">
            <v>29</v>
          </cell>
          <cell r="D700">
            <v>0.1</v>
          </cell>
          <cell r="E700" t="str">
            <v>Kg</v>
          </cell>
          <cell r="F700" t="str">
            <v>Paku Biasa</v>
          </cell>
          <cell r="J700" t="str">
            <v>@</v>
          </cell>
          <cell r="K700">
            <v>25500</v>
          </cell>
          <cell r="L700">
            <v>0</v>
          </cell>
          <cell r="M700">
            <v>2550</v>
          </cell>
          <cell r="N700">
            <v>2550</v>
          </cell>
        </row>
        <row r="701">
          <cell r="D701">
            <v>1</v>
          </cell>
          <cell r="E701" t="str">
            <v>Ls</v>
          </cell>
          <cell r="F701" t="str">
            <v>Upah</v>
          </cell>
          <cell r="J701" t="str">
            <v>@</v>
          </cell>
          <cell r="K701">
            <v>50000</v>
          </cell>
          <cell r="L701">
            <v>50000</v>
          </cell>
          <cell r="M701">
            <v>0</v>
          </cell>
          <cell r="N701">
            <v>50000</v>
          </cell>
        </row>
        <row r="702">
          <cell r="C702" t="str">
            <v>B</v>
          </cell>
          <cell r="D702" t="str">
            <v>Jumlah</v>
          </cell>
          <cell r="L702">
            <v>50000</v>
          </cell>
          <cell r="M702">
            <v>312578</v>
          </cell>
          <cell r="N702">
            <v>362578</v>
          </cell>
        </row>
        <row r="704">
          <cell r="A704">
            <v>70</v>
          </cell>
          <cell r="C704">
            <v>73</v>
          </cell>
          <cell r="D704" t="str">
            <v>1 titik</v>
          </cell>
          <cell r="E704" t="str">
            <v>Pas.Lampu XL 18 Watt</v>
          </cell>
          <cell r="P704" t="e">
            <v>#REF!</v>
          </cell>
        </row>
        <row r="705">
          <cell r="B705">
            <v>103</v>
          </cell>
          <cell r="D705">
            <v>1</v>
          </cell>
          <cell r="E705" t="str">
            <v>Bh</v>
          </cell>
          <cell r="F705" t="str">
            <v>Lampu SL 18 Watt Philips Torndo</v>
          </cell>
          <cell r="J705" t="str">
            <v>@</v>
          </cell>
          <cell r="K705">
            <v>43031</v>
          </cell>
          <cell r="L705">
            <v>0</v>
          </cell>
          <cell r="M705">
            <v>43031</v>
          </cell>
          <cell r="N705">
            <v>43031</v>
          </cell>
        </row>
        <row r="706">
          <cell r="B706">
            <v>106</v>
          </cell>
          <cell r="D706">
            <v>1</v>
          </cell>
          <cell r="E706" t="str">
            <v>Kg</v>
          </cell>
          <cell r="F706" t="str">
            <v>Tee Doos</v>
          </cell>
          <cell r="J706" t="str">
            <v>@</v>
          </cell>
          <cell r="K706">
            <v>6500</v>
          </cell>
          <cell r="L706">
            <v>0</v>
          </cell>
          <cell r="M706">
            <v>6500</v>
          </cell>
          <cell r="N706">
            <v>6500</v>
          </cell>
        </row>
        <row r="707">
          <cell r="B707">
            <v>29</v>
          </cell>
          <cell r="D707">
            <v>0.1</v>
          </cell>
          <cell r="E707" t="str">
            <v>Kg</v>
          </cell>
          <cell r="F707" t="str">
            <v>Paku Biasa</v>
          </cell>
          <cell r="J707" t="str">
            <v>@</v>
          </cell>
          <cell r="K707">
            <v>25500</v>
          </cell>
          <cell r="L707">
            <v>0</v>
          </cell>
          <cell r="M707">
            <v>2550</v>
          </cell>
          <cell r="N707">
            <v>2550</v>
          </cell>
        </row>
        <row r="708">
          <cell r="D708">
            <v>1</v>
          </cell>
          <cell r="E708" t="str">
            <v>Ls</v>
          </cell>
          <cell r="F708" t="str">
            <v>Upah</v>
          </cell>
          <cell r="J708" t="str">
            <v>@</v>
          </cell>
          <cell r="K708">
            <v>50000</v>
          </cell>
          <cell r="L708">
            <v>50000</v>
          </cell>
          <cell r="M708">
            <v>0</v>
          </cell>
          <cell r="N708">
            <v>50000</v>
          </cell>
        </row>
        <row r="709">
          <cell r="C709" t="str">
            <v>B</v>
          </cell>
          <cell r="D709" t="str">
            <v>Jumlah</v>
          </cell>
          <cell r="L709">
            <v>50000</v>
          </cell>
          <cell r="M709">
            <v>52081</v>
          </cell>
          <cell r="N709">
            <v>102081</v>
          </cell>
        </row>
        <row r="711">
          <cell r="C711">
            <v>74</v>
          </cell>
          <cell r="D711" t="str">
            <v>1 titik</v>
          </cell>
          <cell r="E711" t="str">
            <v>Pas.Lampu SL 8 Watt</v>
          </cell>
        </row>
        <row r="712">
          <cell r="D712">
            <v>1</v>
          </cell>
          <cell r="E712" t="str">
            <v>Bh</v>
          </cell>
          <cell r="F712" t="str">
            <v>Lampu Sl 8 Watt</v>
          </cell>
          <cell r="J712" t="str">
            <v>@</v>
          </cell>
          <cell r="K712" t="e">
            <v>#REF!</v>
          </cell>
          <cell r="L712" t="e">
            <v>#REF!</v>
          </cell>
          <cell r="M712">
            <v>0</v>
          </cell>
          <cell r="N712" t="e">
            <v>#REF!</v>
          </cell>
        </row>
        <row r="713">
          <cell r="D713">
            <v>1</v>
          </cell>
          <cell r="E713" t="str">
            <v>Kg</v>
          </cell>
          <cell r="F713" t="str">
            <v>Tee Doos</v>
          </cell>
          <cell r="J713" t="str">
            <v>@</v>
          </cell>
          <cell r="K713">
            <v>6500</v>
          </cell>
          <cell r="L713">
            <v>6500</v>
          </cell>
          <cell r="M713">
            <v>0</v>
          </cell>
          <cell r="N713">
            <v>6500</v>
          </cell>
        </row>
        <row r="714">
          <cell r="D714">
            <v>0.1</v>
          </cell>
          <cell r="E714" t="str">
            <v>Kg</v>
          </cell>
          <cell r="F714" t="str">
            <v>Paku Biasa</v>
          </cell>
          <cell r="J714" t="str">
            <v>@</v>
          </cell>
          <cell r="K714">
            <v>25500</v>
          </cell>
          <cell r="L714">
            <v>2550</v>
          </cell>
          <cell r="M714">
            <v>0</v>
          </cell>
          <cell r="N714">
            <v>2550</v>
          </cell>
        </row>
        <row r="715">
          <cell r="D715">
            <v>1</v>
          </cell>
          <cell r="E715" t="str">
            <v>Ls</v>
          </cell>
          <cell r="F715" t="str">
            <v>Upah</v>
          </cell>
          <cell r="J715" t="str">
            <v>@</v>
          </cell>
          <cell r="K715">
            <v>50000</v>
          </cell>
          <cell r="L715">
            <v>50000</v>
          </cell>
          <cell r="M715">
            <v>0</v>
          </cell>
          <cell r="N715">
            <v>50000</v>
          </cell>
        </row>
        <row r="716">
          <cell r="C716" t="str">
            <v>B</v>
          </cell>
          <cell r="D716" t="str">
            <v>Jumlah</v>
          </cell>
          <cell r="L716" t="e">
            <v>#REF!</v>
          </cell>
          <cell r="M716">
            <v>0</v>
          </cell>
          <cell r="N716" t="e">
            <v>#REF!</v>
          </cell>
        </row>
        <row r="718">
          <cell r="A718">
            <v>71</v>
          </cell>
          <cell r="C718">
            <v>75</v>
          </cell>
          <cell r="D718" t="str">
            <v>1 titik</v>
          </cell>
          <cell r="E718" t="str">
            <v xml:space="preserve">Pas.Lampu Pijar </v>
          </cell>
          <cell r="P718" t="e">
            <v>#REF!</v>
          </cell>
        </row>
        <row r="719">
          <cell r="B719">
            <v>103</v>
          </cell>
          <cell r="D719">
            <v>1</v>
          </cell>
          <cell r="E719" t="str">
            <v>Bh</v>
          </cell>
          <cell r="F719" t="str">
            <v>Lampu SL 18 Watt Philips Torndo</v>
          </cell>
          <cell r="J719" t="str">
            <v>@</v>
          </cell>
          <cell r="K719">
            <v>43031</v>
          </cell>
          <cell r="L719">
            <v>0</v>
          </cell>
          <cell r="M719">
            <v>43031</v>
          </cell>
          <cell r="N719">
            <v>43031</v>
          </cell>
        </row>
        <row r="720">
          <cell r="B720">
            <v>106</v>
          </cell>
          <cell r="D720">
            <v>0.12</v>
          </cell>
          <cell r="E720" t="str">
            <v>Kg</v>
          </cell>
          <cell r="F720" t="str">
            <v>Tee Doos</v>
          </cell>
          <cell r="J720" t="str">
            <v>@</v>
          </cell>
          <cell r="K720">
            <v>6500</v>
          </cell>
          <cell r="L720">
            <v>0</v>
          </cell>
          <cell r="M720">
            <v>780</v>
          </cell>
          <cell r="N720">
            <v>780</v>
          </cell>
        </row>
        <row r="721">
          <cell r="B721">
            <v>29</v>
          </cell>
          <cell r="D721">
            <v>0.1</v>
          </cell>
          <cell r="E721" t="str">
            <v>Kg</v>
          </cell>
          <cell r="F721" t="str">
            <v>Paku Biasa</v>
          </cell>
          <cell r="J721" t="str">
            <v>@</v>
          </cell>
          <cell r="K721">
            <v>25500</v>
          </cell>
          <cell r="L721">
            <v>0</v>
          </cell>
          <cell r="M721">
            <v>2550</v>
          </cell>
          <cell r="N721">
            <v>2550</v>
          </cell>
        </row>
        <row r="722">
          <cell r="D722">
            <v>1</v>
          </cell>
          <cell r="E722" t="str">
            <v>Ls</v>
          </cell>
          <cell r="F722" t="str">
            <v>Upah</v>
          </cell>
          <cell r="J722" t="str">
            <v>@</v>
          </cell>
          <cell r="K722">
            <v>50000</v>
          </cell>
          <cell r="L722">
            <v>50000</v>
          </cell>
          <cell r="M722">
            <v>0</v>
          </cell>
          <cell r="N722">
            <v>50000</v>
          </cell>
        </row>
        <row r="723">
          <cell r="C723" t="str">
            <v>B</v>
          </cell>
          <cell r="D723" t="str">
            <v>Jumlah</v>
          </cell>
          <cell r="L723">
            <v>50000</v>
          </cell>
          <cell r="M723">
            <v>46361</v>
          </cell>
          <cell r="N723">
            <v>96361</v>
          </cell>
        </row>
        <row r="725">
          <cell r="A725">
            <v>72</v>
          </cell>
          <cell r="C725">
            <v>76</v>
          </cell>
          <cell r="D725" t="str">
            <v>1 Bh</v>
          </cell>
          <cell r="E725" t="str">
            <v>Pas.Stop Kontak</v>
          </cell>
          <cell r="P725" t="e">
            <v>#REF!</v>
          </cell>
        </row>
        <row r="726">
          <cell r="B726">
            <v>97</v>
          </cell>
          <cell r="D726">
            <v>1</v>
          </cell>
          <cell r="E726" t="str">
            <v>Bh</v>
          </cell>
          <cell r="F726" t="str">
            <v>Stop Kontak</v>
          </cell>
          <cell r="J726" t="str">
            <v>@</v>
          </cell>
          <cell r="K726">
            <v>30000</v>
          </cell>
          <cell r="L726">
            <v>0</v>
          </cell>
          <cell r="M726">
            <v>30000</v>
          </cell>
          <cell r="N726">
            <v>30000</v>
          </cell>
        </row>
        <row r="727">
          <cell r="D727">
            <v>1</v>
          </cell>
          <cell r="E727" t="str">
            <v>Ls</v>
          </cell>
          <cell r="F727" t="str">
            <v>Upah</v>
          </cell>
          <cell r="J727" t="str">
            <v>@</v>
          </cell>
          <cell r="K727">
            <v>50000</v>
          </cell>
          <cell r="L727">
            <v>50000</v>
          </cell>
          <cell r="M727">
            <v>0</v>
          </cell>
          <cell r="N727">
            <v>50000</v>
          </cell>
        </row>
        <row r="728">
          <cell r="C728" t="str">
            <v>B</v>
          </cell>
          <cell r="D728" t="str">
            <v>Jumlah</v>
          </cell>
          <cell r="L728">
            <v>50000</v>
          </cell>
          <cell r="M728">
            <v>30000</v>
          </cell>
          <cell r="N728">
            <v>80000</v>
          </cell>
        </row>
        <row r="730">
          <cell r="A730">
            <v>73</v>
          </cell>
          <cell r="C730">
            <v>77</v>
          </cell>
          <cell r="D730" t="str">
            <v>1 Bh</v>
          </cell>
          <cell r="E730" t="str">
            <v>Pas.Saklar Ganda</v>
          </cell>
          <cell r="P730" t="e">
            <v>#REF!</v>
          </cell>
        </row>
        <row r="731">
          <cell r="B731">
            <v>99</v>
          </cell>
          <cell r="D731">
            <v>1</v>
          </cell>
          <cell r="E731" t="str">
            <v>Bh</v>
          </cell>
          <cell r="F731" t="str">
            <v>Saklar Ganda</v>
          </cell>
          <cell r="J731" t="str">
            <v>@</v>
          </cell>
          <cell r="K731">
            <v>30000</v>
          </cell>
          <cell r="L731">
            <v>0</v>
          </cell>
          <cell r="M731">
            <v>30000</v>
          </cell>
          <cell r="N731">
            <v>30000</v>
          </cell>
        </row>
        <row r="732">
          <cell r="D732">
            <v>1</v>
          </cell>
          <cell r="E732" t="str">
            <v>Ls</v>
          </cell>
          <cell r="F732" t="str">
            <v>Upah</v>
          </cell>
          <cell r="J732" t="str">
            <v>@</v>
          </cell>
          <cell r="K732">
            <v>50000</v>
          </cell>
          <cell r="L732">
            <v>50000</v>
          </cell>
          <cell r="M732">
            <v>0</v>
          </cell>
          <cell r="N732">
            <v>50000</v>
          </cell>
        </row>
        <row r="733">
          <cell r="C733" t="str">
            <v>B</v>
          </cell>
          <cell r="D733" t="str">
            <v>Jumlah</v>
          </cell>
          <cell r="L733">
            <v>100000</v>
          </cell>
          <cell r="M733">
            <v>60000</v>
          </cell>
          <cell r="N733">
            <v>80000</v>
          </cell>
        </row>
        <row r="735">
          <cell r="A735">
            <v>74</v>
          </cell>
          <cell r="C735">
            <v>78</v>
          </cell>
          <cell r="D735" t="str">
            <v>1 Bh</v>
          </cell>
          <cell r="E735" t="str">
            <v>Pas.Saklar Tunggal</v>
          </cell>
          <cell r="P735" t="e">
            <v>#REF!</v>
          </cell>
        </row>
        <row r="736">
          <cell r="B736">
            <v>98</v>
          </cell>
          <cell r="D736">
            <v>1</v>
          </cell>
          <cell r="E736" t="str">
            <v>Bh</v>
          </cell>
          <cell r="F736" t="str">
            <v>Saklar Tunggal</v>
          </cell>
          <cell r="J736" t="str">
            <v>@</v>
          </cell>
          <cell r="K736">
            <v>20000</v>
          </cell>
          <cell r="L736">
            <v>0</v>
          </cell>
          <cell r="M736">
            <v>20000</v>
          </cell>
          <cell r="N736">
            <v>20000</v>
          </cell>
        </row>
        <row r="737">
          <cell r="D737">
            <v>1</v>
          </cell>
          <cell r="E737" t="str">
            <v>Ls</v>
          </cell>
          <cell r="F737" t="str">
            <v>Upah</v>
          </cell>
          <cell r="J737" t="str">
            <v>@</v>
          </cell>
          <cell r="K737">
            <v>50000</v>
          </cell>
          <cell r="L737">
            <v>50000</v>
          </cell>
          <cell r="M737">
            <v>0</v>
          </cell>
          <cell r="N737">
            <v>50000</v>
          </cell>
        </row>
        <row r="738">
          <cell r="C738" t="str">
            <v>B</v>
          </cell>
          <cell r="D738" t="str">
            <v>Jumlah</v>
          </cell>
          <cell r="L738">
            <v>50000</v>
          </cell>
          <cell r="M738">
            <v>20000</v>
          </cell>
          <cell r="N738">
            <v>70000</v>
          </cell>
        </row>
        <row r="740">
          <cell r="A740">
            <v>75</v>
          </cell>
          <cell r="C740">
            <v>79</v>
          </cell>
          <cell r="D740" t="str">
            <v>1 M'</v>
          </cell>
          <cell r="E740" t="str">
            <v>Pas.Kabel Tofoor</v>
          </cell>
          <cell r="P740" t="e">
            <v>#REF!</v>
          </cell>
        </row>
        <row r="741">
          <cell r="B741">
            <v>101</v>
          </cell>
          <cell r="D741">
            <v>1</v>
          </cell>
          <cell r="E741" t="str">
            <v>M'</v>
          </cell>
          <cell r="F741" t="str">
            <v>Kabel Listrik Jenis NYY 2.5</v>
          </cell>
          <cell r="J741" t="str">
            <v>@</v>
          </cell>
          <cell r="K741">
            <v>8491</v>
          </cell>
          <cell r="L741">
            <v>0</v>
          </cell>
          <cell r="M741">
            <v>8491</v>
          </cell>
          <cell r="N741">
            <v>8491</v>
          </cell>
        </row>
        <row r="742">
          <cell r="D742">
            <v>1</v>
          </cell>
          <cell r="E742" t="str">
            <v>Ls</v>
          </cell>
          <cell r="F742" t="str">
            <v>Upah</v>
          </cell>
          <cell r="J742" t="str">
            <v>@</v>
          </cell>
          <cell r="K742">
            <v>50000</v>
          </cell>
          <cell r="L742">
            <v>50000</v>
          </cell>
          <cell r="M742">
            <v>0</v>
          </cell>
          <cell r="N742">
            <v>50000</v>
          </cell>
        </row>
        <row r="743">
          <cell r="C743" t="str">
            <v>B</v>
          </cell>
          <cell r="D743" t="str">
            <v>Jumlah</v>
          </cell>
          <cell r="L743">
            <v>50000</v>
          </cell>
          <cell r="M743">
            <v>8491</v>
          </cell>
          <cell r="N743">
            <v>58491</v>
          </cell>
        </row>
        <row r="745">
          <cell r="A745">
            <v>76</v>
          </cell>
          <cell r="C745">
            <v>80</v>
          </cell>
          <cell r="D745" t="str">
            <v>1 titik</v>
          </cell>
          <cell r="E745" t="str">
            <v>Pas.Grounding (Anti Petir)</v>
          </cell>
          <cell r="P745" t="e">
            <v>#REF!</v>
          </cell>
        </row>
        <row r="746">
          <cell r="B746">
            <v>101</v>
          </cell>
          <cell r="D746">
            <v>8</v>
          </cell>
          <cell r="E746" t="str">
            <v>M'</v>
          </cell>
          <cell r="F746" t="str">
            <v>Kabel Listrik Jenis NYY 2.5</v>
          </cell>
          <cell r="J746" t="str">
            <v>@</v>
          </cell>
          <cell r="K746">
            <v>8491</v>
          </cell>
          <cell r="L746">
            <v>0</v>
          </cell>
          <cell r="M746">
            <v>67928</v>
          </cell>
          <cell r="N746">
            <v>67928</v>
          </cell>
        </row>
        <row r="747">
          <cell r="B747">
            <v>93</v>
          </cell>
          <cell r="D747">
            <v>1</v>
          </cell>
          <cell r="E747" t="str">
            <v>M</v>
          </cell>
          <cell r="F747" t="str">
            <v>Pipa Gip 1"</v>
          </cell>
          <cell r="J747" t="str">
            <v>@</v>
          </cell>
          <cell r="K747">
            <v>36250</v>
          </cell>
          <cell r="L747">
            <v>0</v>
          </cell>
          <cell r="M747">
            <v>36250</v>
          </cell>
          <cell r="N747">
            <v>36250</v>
          </cell>
        </row>
        <row r="748">
          <cell r="D748">
            <v>1</v>
          </cell>
          <cell r="E748" t="str">
            <v>Ls</v>
          </cell>
          <cell r="F748" t="str">
            <v>Alat Bantu</v>
          </cell>
          <cell r="J748" t="str">
            <v>@</v>
          </cell>
          <cell r="K748">
            <v>50000</v>
          </cell>
          <cell r="L748">
            <v>50000</v>
          </cell>
          <cell r="M748">
            <v>0</v>
          </cell>
          <cell r="N748">
            <v>50000</v>
          </cell>
        </row>
        <row r="749">
          <cell r="D749">
            <v>1</v>
          </cell>
          <cell r="E749" t="str">
            <v>Ls</v>
          </cell>
          <cell r="F749" t="str">
            <v>Upah</v>
          </cell>
          <cell r="J749" t="str">
            <v>@</v>
          </cell>
          <cell r="K749">
            <v>50000</v>
          </cell>
          <cell r="L749">
            <v>50000</v>
          </cell>
          <cell r="M749">
            <v>0</v>
          </cell>
          <cell r="N749">
            <v>50000</v>
          </cell>
        </row>
        <row r="750">
          <cell r="C750" t="str">
            <v>B</v>
          </cell>
          <cell r="D750" t="str">
            <v>Jumlah</v>
          </cell>
          <cell r="L750">
            <v>100000</v>
          </cell>
          <cell r="M750">
            <v>104178</v>
          </cell>
          <cell r="N750">
            <v>204178</v>
          </cell>
        </row>
        <row r="752">
          <cell r="A752">
            <v>77</v>
          </cell>
          <cell r="C752">
            <v>81</v>
          </cell>
          <cell r="D752" t="str">
            <v>1 Bh</v>
          </cell>
          <cell r="E752" t="str">
            <v>Sekring Box</v>
          </cell>
          <cell r="P752" t="e">
            <v>#REF!</v>
          </cell>
        </row>
        <row r="753">
          <cell r="B753">
            <v>100</v>
          </cell>
          <cell r="D753">
            <v>1</v>
          </cell>
          <cell r="E753" t="str">
            <v>Bh</v>
          </cell>
          <cell r="F753" t="str">
            <v>Sekring Box</v>
          </cell>
          <cell r="J753" t="str">
            <v>@</v>
          </cell>
          <cell r="K753">
            <v>35000</v>
          </cell>
          <cell r="L753">
            <v>0</v>
          </cell>
          <cell r="M753">
            <v>35000</v>
          </cell>
          <cell r="N753">
            <v>35000</v>
          </cell>
        </row>
        <row r="754">
          <cell r="D754">
            <v>1</v>
          </cell>
          <cell r="E754" t="str">
            <v>Ls</v>
          </cell>
          <cell r="F754" t="str">
            <v>Upah</v>
          </cell>
          <cell r="J754" t="str">
            <v>@</v>
          </cell>
          <cell r="K754">
            <v>50000</v>
          </cell>
          <cell r="L754">
            <v>50000</v>
          </cell>
          <cell r="M754">
            <v>0</v>
          </cell>
          <cell r="N754">
            <v>50000</v>
          </cell>
        </row>
        <row r="755">
          <cell r="C755" t="str">
            <v>B</v>
          </cell>
          <cell r="D755" t="str">
            <v>Jumlah</v>
          </cell>
          <cell r="L755">
            <v>50000</v>
          </cell>
          <cell r="M755">
            <v>35000</v>
          </cell>
          <cell r="N755">
            <v>85000</v>
          </cell>
        </row>
        <row r="757">
          <cell r="A757">
            <v>78</v>
          </cell>
          <cell r="C757">
            <v>82</v>
          </cell>
          <cell r="D757" t="str">
            <v>1 Bh</v>
          </cell>
          <cell r="E757" t="str">
            <v>Pas. Panil Box</v>
          </cell>
          <cell r="P757" t="e">
            <v>#REF!</v>
          </cell>
        </row>
        <row r="758">
          <cell r="B758">
            <v>109</v>
          </cell>
          <cell r="D758">
            <v>1</v>
          </cell>
          <cell r="E758">
            <v>0</v>
          </cell>
          <cell r="F758">
            <v>0</v>
          </cell>
          <cell r="J758" t="str">
            <v>@</v>
          </cell>
          <cell r="K758">
            <v>175000</v>
          </cell>
          <cell r="L758">
            <v>0</v>
          </cell>
          <cell r="M758">
            <v>175000</v>
          </cell>
          <cell r="N758">
            <v>175000</v>
          </cell>
        </row>
        <row r="759">
          <cell r="D759">
            <v>1</v>
          </cell>
          <cell r="E759" t="str">
            <v>Ls</v>
          </cell>
          <cell r="F759" t="str">
            <v>Upah</v>
          </cell>
          <cell r="J759" t="str">
            <v>@</v>
          </cell>
          <cell r="K759">
            <v>50000</v>
          </cell>
          <cell r="L759">
            <v>50000</v>
          </cell>
          <cell r="M759">
            <v>0</v>
          </cell>
          <cell r="N759">
            <v>50000</v>
          </cell>
        </row>
        <row r="760">
          <cell r="C760" t="str">
            <v>B</v>
          </cell>
          <cell r="D760" t="str">
            <v>Jumlah</v>
          </cell>
          <cell r="L760">
            <v>50000</v>
          </cell>
          <cell r="M760">
            <v>175000</v>
          </cell>
          <cell r="N760">
            <v>225000</v>
          </cell>
        </row>
        <row r="762">
          <cell r="D762" t="str">
            <v>K. PEKERJAAN INSTALASI AIR BERSIH</v>
          </cell>
        </row>
        <row r="763">
          <cell r="A763">
            <v>79</v>
          </cell>
          <cell r="C763">
            <v>83</v>
          </cell>
          <cell r="D763" t="str">
            <v>1 Bh</v>
          </cell>
          <cell r="E763" t="str">
            <v>Pas. Kitchen Zink 1 Lubang</v>
          </cell>
          <cell r="P763" t="e">
            <v>#REF!</v>
          </cell>
        </row>
        <row r="764">
          <cell r="B764">
            <v>80</v>
          </cell>
          <cell r="D764">
            <v>1</v>
          </cell>
          <cell r="E764" t="str">
            <v>Bh</v>
          </cell>
          <cell r="F764" t="str">
            <v>Bak Cuci Aluminium Stenlis Steel</v>
          </cell>
          <cell r="J764" t="str">
            <v>@</v>
          </cell>
          <cell r="K764">
            <v>500000</v>
          </cell>
          <cell r="L764">
            <v>0</v>
          </cell>
          <cell r="M764">
            <v>500000</v>
          </cell>
          <cell r="N764">
            <v>500000</v>
          </cell>
        </row>
        <row r="765">
          <cell r="B765">
            <v>42</v>
          </cell>
          <cell r="D765">
            <v>80</v>
          </cell>
          <cell r="E765" t="str">
            <v>Kg</v>
          </cell>
          <cell r="F765" t="str">
            <v>Besi Beton (Polos)</v>
          </cell>
          <cell r="J765" t="str">
            <v>@</v>
          </cell>
          <cell r="K765">
            <v>7400</v>
          </cell>
          <cell r="L765">
            <v>0</v>
          </cell>
          <cell r="M765">
            <v>592000</v>
          </cell>
          <cell r="N765">
            <v>592000</v>
          </cell>
        </row>
        <row r="766">
          <cell r="B766">
            <v>17</v>
          </cell>
          <cell r="D766">
            <v>125</v>
          </cell>
          <cell r="E766" t="str">
            <v>Kg</v>
          </cell>
          <cell r="F766" t="str">
            <v>Semen Portland</v>
          </cell>
          <cell r="J766" t="str">
            <v>@</v>
          </cell>
          <cell r="K766">
            <v>1650</v>
          </cell>
          <cell r="L766">
            <v>0</v>
          </cell>
          <cell r="M766">
            <v>206250</v>
          </cell>
          <cell r="N766">
            <v>206250</v>
          </cell>
        </row>
        <row r="767">
          <cell r="B767">
            <v>11</v>
          </cell>
          <cell r="D767">
            <v>0.25</v>
          </cell>
          <cell r="E767" t="str">
            <v>M³</v>
          </cell>
          <cell r="F767" t="str">
            <v>Pasir Pasang</v>
          </cell>
          <cell r="J767" t="str">
            <v>@</v>
          </cell>
          <cell r="K767">
            <v>150000</v>
          </cell>
          <cell r="L767">
            <v>0</v>
          </cell>
          <cell r="M767">
            <v>37500</v>
          </cell>
          <cell r="N767">
            <v>37500</v>
          </cell>
        </row>
        <row r="768">
          <cell r="B768">
            <v>1</v>
          </cell>
          <cell r="D768">
            <v>3.02</v>
          </cell>
          <cell r="E768" t="str">
            <v>Oh</v>
          </cell>
          <cell r="F768" t="str">
            <v>Pekerja</v>
          </cell>
          <cell r="J768" t="str">
            <v>@</v>
          </cell>
          <cell r="K768">
            <v>65000</v>
          </cell>
          <cell r="L768">
            <v>196300</v>
          </cell>
          <cell r="M768">
            <v>0</v>
          </cell>
          <cell r="N768">
            <v>196300</v>
          </cell>
        </row>
        <row r="769">
          <cell r="B769">
            <v>2</v>
          </cell>
          <cell r="D769">
            <v>4.2</v>
          </cell>
          <cell r="E769" t="str">
            <v>Oh</v>
          </cell>
          <cell r="F769" t="str">
            <v>Tukang</v>
          </cell>
          <cell r="J769" t="str">
            <v>@</v>
          </cell>
          <cell r="K769">
            <v>80000</v>
          </cell>
          <cell r="L769">
            <v>336000</v>
          </cell>
          <cell r="M769">
            <v>0</v>
          </cell>
          <cell r="N769">
            <v>336000</v>
          </cell>
        </row>
        <row r="770">
          <cell r="B770">
            <v>3</v>
          </cell>
          <cell r="D770">
            <v>0.54</v>
          </cell>
          <cell r="E770" t="str">
            <v>Oh</v>
          </cell>
          <cell r="F770" t="str">
            <v>Kepala Tukang</v>
          </cell>
          <cell r="J770" t="str">
            <v>@</v>
          </cell>
          <cell r="K770">
            <v>90000</v>
          </cell>
          <cell r="L770">
            <v>48600</v>
          </cell>
          <cell r="M770">
            <v>0</v>
          </cell>
          <cell r="N770">
            <v>48600</v>
          </cell>
        </row>
        <row r="771">
          <cell r="B771">
            <v>4</v>
          </cell>
          <cell r="D771">
            <v>0.11</v>
          </cell>
          <cell r="E771" t="str">
            <v>Oh</v>
          </cell>
          <cell r="F771" t="str">
            <v>Mandor</v>
          </cell>
          <cell r="J771" t="str">
            <v>@</v>
          </cell>
          <cell r="K771">
            <v>80000</v>
          </cell>
          <cell r="L771">
            <v>8800</v>
          </cell>
          <cell r="M771">
            <v>0</v>
          </cell>
          <cell r="N771">
            <v>8800</v>
          </cell>
        </row>
        <row r="772">
          <cell r="C772" t="str">
            <v>B</v>
          </cell>
          <cell r="D772" t="str">
            <v>Jumlah</v>
          </cell>
          <cell r="L772">
            <v>589700</v>
          </cell>
          <cell r="M772">
            <v>835750</v>
          </cell>
          <cell r="N772">
            <v>1925450</v>
          </cell>
        </row>
        <row r="774">
          <cell r="A774">
            <v>80</v>
          </cell>
          <cell r="C774">
            <v>84</v>
          </cell>
          <cell r="D774" t="str">
            <v>1 Bh</v>
          </cell>
          <cell r="E774" t="str">
            <v>Pas.Westafel</v>
          </cell>
          <cell r="P774" t="e">
            <v>#REF!</v>
          </cell>
        </row>
        <row r="775">
          <cell r="B775">
            <v>84</v>
          </cell>
          <cell r="D775">
            <v>1</v>
          </cell>
          <cell r="E775" t="str">
            <v>Bh</v>
          </cell>
          <cell r="F775" t="str">
            <v>Westafel</v>
          </cell>
          <cell r="J775" t="str">
            <v>@</v>
          </cell>
          <cell r="K775">
            <v>453250</v>
          </cell>
          <cell r="L775">
            <v>0</v>
          </cell>
          <cell r="M775">
            <v>453250</v>
          </cell>
          <cell r="N775">
            <v>453250</v>
          </cell>
        </row>
        <row r="776">
          <cell r="B776">
            <v>84</v>
          </cell>
          <cell r="D776">
            <v>0.12</v>
          </cell>
          <cell r="E776" t="str">
            <v>Ls</v>
          </cell>
          <cell r="F776" t="str">
            <v>Perlengkapan (12% Harga Bahan)</v>
          </cell>
          <cell r="J776" t="str">
            <v>@</v>
          </cell>
          <cell r="K776">
            <v>54390</v>
          </cell>
          <cell r="L776">
            <v>0</v>
          </cell>
          <cell r="M776">
            <v>6526.8</v>
          </cell>
          <cell r="N776">
            <v>6526.8</v>
          </cell>
        </row>
        <row r="777">
          <cell r="B777">
            <v>17</v>
          </cell>
          <cell r="D777">
            <v>6</v>
          </cell>
          <cell r="E777" t="str">
            <v>Kg</v>
          </cell>
          <cell r="F777" t="str">
            <v>Semen Portland</v>
          </cell>
          <cell r="J777" t="str">
            <v>@</v>
          </cell>
          <cell r="K777">
            <v>1650</v>
          </cell>
          <cell r="L777">
            <v>0</v>
          </cell>
          <cell r="M777">
            <v>9900</v>
          </cell>
          <cell r="N777">
            <v>9900</v>
          </cell>
        </row>
        <row r="778">
          <cell r="B778">
            <v>11</v>
          </cell>
          <cell r="D778">
            <v>0.01</v>
          </cell>
          <cell r="E778" t="str">
            <v>M³</v>
          </cell>
          <cell r="F778" t="str">
            <v>Pasir Pasang</v>
          </cell>
          <cell r="J778" t="str">
            <v>@</v>
          </cell>
          <cell r="K778">
            <v>150000</v>
          </cell>
          <cell r="L778">
            <v>0</v>
          </cell>
          <cell r="M778">
            <v>1500</v>
          </cell>
          <cell r="N778">
            <v>1500</v>
          </cell>
        </row>
        <row r="779">
          <cell r="B779">
            <v>1</v>
          </cell>
          <cell r="D779">
            <v>1.8</v>
          </cell>
          <cell r="E779" t="str">
            <v>Oh</v>
          </cell>
          <cell r="F779" t="str">
            <v>Pekerja</v>
          </cell>
          <cell r="J779" t="str">
            <v>@</v>
          </cell>
          <cell r="K779">
            <v>65000</v>
          </cell>
          <cell r="L779">
            <v>117000</v>
          </cell>
          <cell r="M779">
            <v>0</v>
          </cell>
          <cell r="N779">
            <v>117000</v>
          </cell>
        </row>
        <row r="780">
          <cell r="B780">
            <v>2</v>
          </cell>
          <cell r="D780">
            <v>2.7</v>
          </cell>
          <cell r="E780" t="str">
            <v>Oh</v>
          </cell>
          <cell r="F780" t="str">
            <v>Tukang</v>
          </cell>
          <cell r="J780" t="str">
            <v>@</v>
          </cell>
          <cell r="K780">
            <v>80000</v>
          </cell>
          <cell r="L780">
            <v>216000</v>
          </cell>
          <cell r="M780">
            <v>0</v>
          </cell>
          <cell r="N780">
            <v>216000</v>
          </cell>
        </row>
        <row r="781">
          <cell r="B781">
            <v>3</v>
          </cell>
          <cell r="D781">
            <v>0.54</v>
          </cell>
          <cell r="E781" t="str">
            <v>Oh</v>
          </cell>
          <cell r="F781" t="str">
            <v>Kepala Tukang</v>
          </cell>
          <cell r="J781" t="str">
            <v>@</v>
          </cell>
          <cell r="K781">
            <v>90000</v>
          </cell>
          <cell r="L781">
            <v>48600</v>
          </cell>
          <cell r="M781">
            <v>0</v>
          </cell>
          <cell r="N781">
            <v>48600</v>
          </cell>
        </row>
        <row r="782">
          <cell r="B782">
            <v>4</v>
          </cell>
          <cell r="D782">
            <v>0.11</v>
          </cell>
          <cell r="E782" t="str">
            <v>Oh</v>
          </cell>
          <cell r="F782" t="str">
            <v>Mandor</v>
          </cell>
          <cell r="J782" t="str">
            <v>@</v>
          </cell>
          <cell r="K782">
            <v>80000</v>
          </cell>
          <cell r="L782">
            <v>8800</v>
          </cell>
          <cell r="M782">
            <v>0</v>
          </cell>
          <cell r="N782">
            <v>8800</v>
          </cell>
        </row>
        <row r="783">
          <cell r="C783" t="str">
            <v>B</v>
          </cell>
          <cell r="D783" t="str">
            <v>Jumlah</v>
          </cell>
          <cell r="L783">
            <v>390400</v>
          </cell>
          <cell r="M783">
            <v>17926.8</v>
          </cell>
          <cell r="N783">
            <v>861576.8</v>
          </cell>
        </row>
        <row r="785">
          <cell r="A785">
            <v>81</v>
          </cell>
          <cell r="C785">
            <v>85</v>
          </cell>
          <cell r="D785" t="str">
            <v>1 M'</v>
          </cell>
          <cell r="E785" t="str">
            <v>Pas. Pipa PVC D1/2" (air Bersih)</v>
          </cell>
          <cell r="P785" t="e">
            <v>#REF!</v>
          </cell>
        </row>
        <row r="786">
          <cell r="B786">
            <v>86</v>
          </cell>
          <cell r="D786">
            <v>1.1000000000000001</v>
          </cell>
          <cell r="E786" t="str">
            <v>M'</v>
          </cell>
          <cell r="F786" t="str">
            <v>Pipa PVC 1/2"</v>
          </cell>
          <cell r="J786" t="str">
            <v>@</v>
          </cell>
          <cell r="K786">
            <v>4877</v>
          </cell>
          <cell r="L786">
            <v>0</v>
          </cell>
          <cell r="M786">
            <v>5364.7000000000007</v>
          </cell>
          <cell r="N786">
            <v>5364.7000000000007</v>
          </cell>
        </row>
        <row r="787">
          <cell r="B787">
            <v>86</v>
          </cell>
          <cell r="D787">
            <v>0.35</v>
          </cell>
          <cell r="E787" t="str">
            <v>Ls</v>
          </cell>
          <cell r="F787" t="str">
            <v>Perlengkapan (35% Harga Bahan)</v>
          </cell>
          <cell r="J787" t="str">
            <v>@</v>
          </cell>
          <cell r="K787">
            <v>585.24</v>
          </cell>
          <cell r="L787">
            <v>0</v>
          </cell>
          <cell r="M787">
            <v>204.834</v>
          </cell>
          <cell r="N787">
            <v>204.834</v>
          </cell>
        </row>
        <row r="788">
          <cell r="B788">
            <v>1</v>
          </cell>
          <cell r="D788">
            <v>0.36</v>
          </cell>
          <cell r="E788" t="str">
            <v>Oh</v>
          </cell>
          <cell r="F788" t="str">
            <v>Pekerja</v>
          </cell>
          <cell r="J788" t="str">
            <v>@</v>
          </cell>
          <cell r="K788">
            <v>65000</v>
          </cell>
          <cell r="L788">
            <v>23400</v>
          </cell>
          <cell r="M788">
            <v>0</v>
          </cell>
          <cell r="N788">
            <v>23400</v>
          </cell>
        </row>
        <row r="789">
          <cell r="B789">
            <v>2</v>
          </cell>
          <cell r="D789">
            <v>0.06</v>
          </cell>
          <cell r="E789" t="str">
            <v>Oh</v>
          </cell>
          <cell r="F789" t="str">
            <v>Tukang</v>
          </cell>
          <cell r="J789" t="str">
            <v>@</v>
          </cell>
          <cell r="K789">
            <v>80000</v>
          </cell>
          <cell r="L789">
            <v>4800</v>
          </cell>
          <cell r="M789">
            <v>0</v>
          </cell>
          <cell r="N789">
            <v>4800</v>
          </cell>
        </row>
        <row r="790">
          <cell r="B790">
            <v>3</v>
          </cell>
          <cell r="D790">
            <v>6.0000000000000001E-3</v>
          </cell>
          <cell r="E790" t="str">
            <v>Oh</v>
          </cell>
          <cell r="F790" t="str">
            <v>Kepala Tukang</v>
          </cell>
          <cell r="J790" t="str">
            <v>@</v>
          </cell>
          <cell r="K790">
            <v>90000</v>
          </cell>
          <cell r="L790">
            <v>540</v>
          </cell>
          <cell r="M790">
            <v>0</v>
          </cell>
          <cell r="N790">
            <v>540</v>
          </cell>
        </row>
        <row r="791">
          <cell r="B791">
            <v>4</v>
          </cell>
          <cell r="D791">
            <v>2E-3</v>
          </cell>
          <cell r="E791" t="str">
            <v>Oh</v>
          </cell>
          <cell r="F791" t="str">
            <v>Mandor</v>
          </cell>
          <cell r="J791" t="str">
            <v>@</v>
          </cell>
          <cell r="K791">
            <v>80000</v>
          </cell>
          <cell r="L791">
            <v>160</v>
          </cell>
          <cell r="M791">
            <v>0</v>
          </cell>
          <cell r="N791">
            <v>160</v>
          </cell>
        </row>
        <row r="792">
          <cell r="C792" t="str">
            <v>B</v>
          </cell>
          <cell r="D792" t="str">
            <v>Jumlah</v>
          </cell>
          <cell r="L792">
            <v>28900</v>
          </cell>
          <cell r="M792">
            <v>5569.5340000000006</v>
          </cell>
          <cell r="N792">
            <v>34469.534</v>
          </cell>
        </row>
        <row r="794">
          <cell r="A794">
            <v>82</v>
          </cell>
          <cell r="C794">
            <v>86</v>
          </cell>
          <cell r="D794" t="str">
            <v>1 M'</v>
          </cell>
          <cell r="E794" t="str">
            <v>Pas. Pipa PVC 3/4"</v>
          </cell>
          <cell r="P794" t="e">
            <v>#REF!</v>
          </cell>
        </row>
        <row r="795">
          <cell r="B795">
            <v>91</v>
          </cell>
          <cell r="D795">
            <v>1.1000000000000001</v>
          </cell>
          <cell r="E795" t="str">
            <v>M'</v>
          </cell>
          <cell r="F795" t="str">
            <v>Pipa PVC 3/4"</v>
          </cell>
          <cell r="J795" t="str">
            <v>@</v>
          </cell>
          <cell r="K795">
            <v>7650</v>
          </cell>
          <cell r="L795">
            <v>0</v>
          </cell>
          <cell r="M795">
            <v>8415</v>
          </cell>
          <cell r="N795">
            <v>8415</v>
          </cell>
        </row>
        <row r="796">
          <cell r="B796">
            <v>91</v>
          </cell>
          <cell r="D796">
            <v>0.35</v>
          </cell>
          <cell r="E796" t="str">
            <v>Ls</v>
          </cell>
          <cell r="F796" t="str">
            <v>Perlengkapan (35% Harga Bahan)</v>
          </cell>
          <cell r="J796" t="str">
            <v>@</v>
          </cell>
          <cell r="K796">
            <v>918</v>
          </cell>
          <cell r="L796">
            <v>0</v>
          </cell>
          <cell r="M796">
            <v>321.29999999999995</v>
          </cell>
          <cell r="N796">
            <v>321.29999999999995</v>
          </cell>
        </row>
        <row r="797">
          <cell r="B797">
            <v>1</v>
          </cell>
          <cell r="D797">
            <v>0.36</v>
          </cell>
          <cell r="E797" t="str">
            <v>Oh</v>
          </cell>
          <cell r="F797" t="str">
            <v>Pekerja</v>
          </cell>
          <cell r="J797" t="str">
            <v>@</v>
          </cell>
          <cell r="K797">
            <v>65000</v>
          </cell>
          <cell r="L797">
            <v>23400</v>
          </cell>
          <cell r="M797">
            <v>0</v>
          </cell>
          <cell r="N797">
            <v>23400</v>
          </cell>
        </row>
        <row r="798">
          <cell r="B798">
            <v>2</v>
          </cell>
          <cell r="D798">
            <v>0.06</v>
          </cell>
          <cell r="E798" t="str">
            <v>Oh</v>
          </cell>
          <cell r="F798" t="str">
            <v>Tukang</v>
          </cell>
          <cell r="J798" t="str">
            <v>@</v>
          </cell>
          <cell r="K798">
            <v>80000</v>
          </cell>
          <cell r="L798">
            <v>4800</v>
          </cell>
          <cell r="M798">
            <v>0</v>
          </cell>
          <cell r="N798">
            <v>4800</v>
          </cell>
        </row>
        <row r="799">
          <cell r="B799">
            <v>3</v>
          </cell>
          <cell r="D799">
            <v>6.0000000000000001E-3</v>
          </cell>
          <cell r="E799" t="str">
            <v>Oh</v>
          </cell>
          <cell r="F799" t="str">
            <v>Kepala Tukang</v>
          </cell>
          <cell r="J799" t="str">
            <v>@</v>
          </cell>
          <cell r="K799">
            <v>90000</v>
          </cell>
          <cell r="L799">
            <v>540</v>
          </cell>
          <cell r="M799">
            <v>0</v>
          </cell>
          <cell r="N799">
            <v>540</v>
          </cell>
        </row>
        <row r="800">
          <cell r="B800">
            <v>4</v>
          </cell>
          <cell r="D800">
            <v>2E-3</v>
          </cell>
          <cell r="E800" t="str">
            <v>Oh</v>
          </cell>
          <cell r="F800" t="str">
            <v>Mandor</v>
          </cell>
          <cell r="J800" t="str">
            <v>@</v>
          </cell>
          <cell r="K800">
            <v>80000</v>
          </cell>
          <cell r="L800">
            <v>160</v>
          </cell>
          <cell r="M800">
            <v>0</v>
          </cell>
          <cell r="N800">
            <v>160</v>
          </cell>
        </row>
        <row r="801">
          <cell r="C801" t="str">
            <v>B</v>
          </cell>
          <cell r="D801" t="str">
            <v>Jumlah</v>
          </cell>
          <cell r="L801">
            <v>28900</v>
          </cell>
          <cell r="M801">
            <v>8736.2999999999993</v>
          </cell>
          <cell r="N801">
            <v>37636.300000000003</v>
          </cell>
        </row>
        <row r="803">
          <cell r="A803">
            <v>83</v>
          </cell>
          <cell r="C803">
            <v>87</v>
          </cell>
          <cell r="D803" t="str">
            <v>1 M'</v>
          </cell>
          <cell r="E803" t="str">
            <v>Pas. Pipa PVC D4"</v>
          </cell>
          <cell r="P803" t="e">
            <v>#REF!</v>
          </cell>
        </row>
        <row r="804">
          <cell r="B804">
            <v>92</v>
          </cell>
          <cell r="D804">
            <v>1.1000000000000001</v>
          </cell>
          <cell r="E804" t="str">
            <v>M'</v>
          </cell>
          <cell r="F804" t="str">
            <v>Pipa PVC 4"</v>
          </cell>
          <cell r="J804" t="str">
            <v>@</v>
          </cell>
          <cell r="K804">
            <v>55940.75</v>
          </cell>
          <cell r="L804">
            <v>0</v>
          </cell>
          <cell r="M804">
            <v>61534.825000000004</v>
          </cell>
          <cell r="N804">
            <v>61534.825000000004</v>
          </cell>
        </row>
        <row r="805">
          <cell r="B805">
            <v>92</v>
          </cell>
          <cell r="D805">
            <v>0.35</v>
          </cell>
          <cell r="E805" t="str">
            <v>Ls</v>
          </cell>
          <cell r="F805" t="str">
            <v>Perlengkapan (35% Harga Bahan)</v>
          </cell>
          <cell r="J805" t="str">
            <v>@</v>
          </cell>
          <cell r="K805">
            <v>6712.8899999999994</v>
          </cell>
          <cell r="L805">
            <v>0</v>
          </cell>
          <cell r="M805">
            <v>2349.5114999999996</v>
          </cell>
          <cell r="N805">
            <v>2349.5114999999996</v>
          </cell>
        </row>
        <row r="806">
          <cell r="B806">
            <v>1</v>
          </cell>
          <cell r="D806">
            <v>0.36</v>
          </cell>
          <cell r="E806" t="str">
            <v>Oh</v>
          </cell>
          <cell r="F806" t="str">
            <v>Pekerja</v>
          </cell>
          <cell r="J806" t="str">
            <v>@</v>
          </cell>
          <cell r="K806">
            <v>65000</v>
          </cell>
          <cell r="L806">
            <v>23400</v>
          </cell>
          <cell r="M806">
            <v>0</v>
          </cell>
          <cell r="N806">
            <v>23400</v>
          </cell>
        </row>
        <row r="807">
          <cell r="B807">
            <v>2</v>
          </cell>
          <cell r="D807">
            <v>0.06</v>
          </cell>
          <cell r="E807" t="str">
            <v>Oh</v>
          </cell>
          <cell r="F807" t="str">
            <v>Tukang</v>
          </cell>
          <cell r="J807" t="str">
            <v>@</v>
          </cell>
          <cell r="K807">
            <v>80000</v>
          </cell>
          <cell r="L807">
            <v>4800</v>
          </cell>
          <cell r="M807">
            <v>0</v>
          </cell>
          <cell r="N807">
            <v>4800</v>
          </cell>
        </row>
        <row r="808">
          <cell r="B808">
            <v>3</v>
          </cell>
          <cell r="D808">
            <v>6.0000000000000001E-3</v>
          </cell>
          <cell r="E808" t="str">
            <v>Oh</v>
          </cell>
          <cell r="F808" t="str">
            <v>Kepala Tukang</v>
          </cell>
          <cell r="J808" t="str">
            <v>@</v>
          </cell>
          <cell r="K808">
            <v>90000</v>
          </cell>
          <cell r="L808">
            <v>540</v>
          </cell>
          <cell r="M808">
            <v>0</v>
          </cell>
          <cell r="N808">
            <v>540</v>
          </cell>
        </row>
        <row r="809">
          <cell r="B809">
            <v>4</v>
          </cell>
          <cell r="D809">
            <v>2E-3</v>
          </cell>
          <cell r="E809" t="str">
            <v>Oh</v>
          </cell>
          <cell r="F809" t="str">
            <v>Mandor</v>
          </cell>
          <cell r="J809" t="str">
            <v>@</v>
          </cell>
          <cell r="K809">
            <v>80000</v>
          </cell>
          <cell r="L809">
            <v>160</v>
          </cell>
          <cell r="M809">
            <v>0</v>
          </cell>
          <cell r="N809">
            <v>160</v>
          </cell>
        </row>
        <row r="810">
          <cell r="C810" t="str">
            <v>B</v>
          </cell>
          <cell r="D810" t="str">
            <v>Jumlah</v>
          </cell>
          <cell r="L810">
            <v>28900</v>
          </cell>
          <cell r="M810">
            <v>63884.336500000005</v>
          </cell>
          <cell r="N810">
            <v>92784.336500000005</v>
          </cell>
        </row>
        <row r="812">
          <cell r="A812">
            <v>84</v>
          </cell>
          <cell r="C812">
            <v>88</v>
          </cell>
          <cell r="D812" t="str">
            <v>1 Bh</v>
          </cell>
          <cell r="E812" t="str">
            <v>Pas. Kran Air</v>
          </cell>
          <cell r="P812" t="e">
            <v>#REF!</v>
          </cell>
        </row>
        <row r="813">
          <cell r="B813">
            <v>85</v>
          </cell>
          <cell r="D813">
            <v>1.1000000000000001</v>
          </cell>
          <cell r="E813" t="str">
            <v>Bh</v>
          </cell>
          <cell r="F813" t="str">
            <v>Kran Air  3/4"</v>
          </cell>
          <cell r="J813" t="str">
            <v>@</v>
          </cell>
          <cell r="K813">
            <v>36450</v>
          </cell>
          <cell r="L813">
            <v>0</v>
          </cell>
          <cell r="M813">
            <v>40095</v>
          </cell>
          <cell r="N813">
            <v>40095</v>
          </cell>
        </row>
        <row r="814">
          <cell r="B814">
            <v>83</v>
          </cell>
          <cell r="D814">
            <v>2.5000000000000001E-2</v>
          </cell>
          <cell r="E814" t="str">
            <v>Bh</v>
          </cell>
          <cell r="F814" t="str">
            <v>Seal Tape</v>
          </cell>
          <cell r="J814" t="str">
            <v>@</v>
          </cell>
          <cell r="K814">
            <v>800</v>
          </cell>
          <cell r="L814">
            <v>0</v>
          </cell>
          <cell r="M814">
            <v>20</v>
          </cell>
          <cell r="N814">
            <v>20</v>
          </cell>
        </row>
        <row r="815">
          <cell r="B815">
            <v>1</v>
          </cell>
          <cell r="D815">
            <v>0.01</v>
          </cell>
          <cell r="E815" t="str">
            <v>Oh</v>
          </cell>
          <cell r="F815" t="str">
            <v>Pekerja</v>
          </cell>
          <cell r="J815" t="str">
            <v>@</v>
          </cell>
          <cell r="K815">
            <v>65000</v>
          </cell>
          <cell r="L815">
            <v>650</v>
          </cell>
          <cell r="M815">
            <v>0</v>
          </cell>
          <cell r="N815">
            <v>650</v>
          </cell>
        </row>
        <row r="816">
          <cell r="B816">
            <v>2</v>
          </cell>
          <cell r="D816">
            <v>0.1</v>
          </cell>
          <cell r="E816" t="str">
            <v>Oh</v>
          </cell>
          <cell r="F816" t="str">
            <v>Tukang</v>
          </cell>
          <cell r="J816" t="str">
            <v>@</v>
          </cell>
          <cell r="K816">
            <v>80000</v>
          </cell>
          <cell r="L816">
            <v>8000</v>
          </cell>
          <cell r="M816">
            <v>0</v>
          </cell>
          <cell r="N816">
            <v>8000</v>
          </cell>
        </row>
        <row r="817">
          <cell r="B817">
            <v>3</v>
          </cell>
          <cell r="D817">
            <v>0.01</v>
          </cell>
          <cell r="E817" t="str">
            <v>Oh</v>
          </cell>
          <cell r="F817" t="str">
            <v>Kepala Tukang</v>
          </cell>
          <cell r="J817" t="str">
            <v>@</v>
          </cell>
          <cell r="K817">
            <v>90000</v>
          </cell>
          <cell r="L817">
            <v>900</v>
          </cell>
          <cell r="M817">
            <v>0</v>
          </cell>
          <cell r="N817">
            <v>900</v>
          </cell>
        </row>
        <row r="818">
          <cell r="B818">
            <v>4</v>
          </cell>
          <cell r="D818">
            <v>5.0000000000000001E-3</v>
          </cell>
          <cell r="E818" t="str">
            <v>Oh</v>
          </cell>
          <cell r="F818" t="str">
            <v>Mandor</v>
          </cell>
          <cell r="J818" t="str">
            <v>@</v>
          </cell>
          <cell r="K818">
            <v>80000</v>
          </cell>
          <cell r="L818">
            <v>400</v>
          </cell>
          <cell r="M818">
            <v>0</v>
          </cell>
          <cell r="N818">
            <v>400</v>
          </cell>
        </row>
        <row r="819">
          <cell r="C819" t="str">
            <v>B</v>
          </cell>
          <cell r="D819" t="str">
            <v>Jumlah</v>
          </cell>
          <cell r="L819">
            <v>9950</v>
          </cell>
          <cell r="M819">
            <v>40115</v>
          </cell>
          <cell r="N819">
            <v>50065</v>
          </cell>
        </row>
        <row r="822">
          <cell r="C822">
            <v>89</v>
          </cell>
          <cell r="D822" t="str">
            <v>1 Bh</v>
          </cell>
          <cell r="E822" t="str">
            <v>Pas. Floor Drain</v>
          </cell>
        </row>
        <row r="823">
          <cell r="B823">
            <v>82</v>
          </cell>
          <cell r="D823">
            <v>1.1000000000000001</v>
          </cell>
          <cell r="E823" t="str">
            <v>Bh</v>
          </cell>
          <cell r="F823" t="str">
            <v>Floor Drain</v>
          </cell>
          <cell r="J823" t="str">
            <v>@</v>
          </cell>
          <cell r="K823">
            <v>35000</v>
          </cell>
          <cell r="L823">
            <v>0</v>
          </cell>
          <cell r="M823">
            <v>38500</v>
          </cell>
          <cell r="N823">
            <v>38500</v>
          </cell>
        </row>
        <row r="824">
          <cell r="B824">
            <v>1</v>
          </cell>
          <cell r="D824">
            <v>0.01</v>
          </cell>
          <cell r="E824" t="str">
            <v>Oh</v>
          </cell>
          <cell r="F824" t="str">
            <v>Pekerja</v>
          </cell>
          <cell r="J824" t="str">
            <v>@</v>
          </cell>
          <cell r="K824">
            <v>80000</v>
          </cell>
          <cell r="L824">
            <v>800</v>
          </cell>
          <cell r="M824">
            <v>0</v>
          </cell>
          <cell r="N824">
            <v>800</v>
          </cell>
        </row>
        <row r="825">
          <cell r="B825">
            <v>2</v>
          </cell>
          <cell r="D825">
            <v>0.1</v>
          </cell>
          <cell r="E825" t="str">
            <v>Oh</v>
          </cell>
          <cell r="F825" t="str">
            <v>Tukang</v>
          </cell>
          <cell r="J825" t="str">
            <v>@</v>
          </cell>
          <cell r="K825">
            <v>90000</v>
          </cell>
          <cell r="L825">
            <v>9000</v>
          </cell>
          <cell r="M825">
            <v>0</v>
          </cell>
          <cell r="N825">
            <v>9000</v>
          </cell>
        </row>
        <row r="826">
          <cell r="B826">
            <v>3</v>
          </cell>
          <cell r="D826">
            <v>0.01</v>
          </cell>
          <cell r="E826" t="str">
            <v>Oh</v>
          </cell>
          <cell r="F826" t="str">
            <v>Kepala Tukang</v>
          </cell>
          <cell r="J826" t="str">
            <v>@</v>
          </cell>
          <cell r="K826">
            <v>80000</v>
          </cell>
          <cell r="L826">
            <v>800</v>
          </cell>
          <cell r="M826">
            <v>0</v>
          </cell>
          <cell r="N826">
            <v>800</v>
          </cell>
        </row>
        <row r="827">
          <cell r="B827">
            <v>4</v>
          </cell>
          <cell r="D827">
            <v>5.0000000000000001E-3</v>
          </cell>
          <cell r="E827" t="str">
            <v>Oh</v>
          </cell>
          <cell r="F827" t="str">
            <v>Mandor</v>
          </cell>
          <cell r="J827" t="str">
            <v>@</v>
          </cell>
          <cell r="K827">
            <v>0</v>
          </cell>
          <cell r="L827">
            <v>0</v>
          </cell>
          <cell r="M827">
            <v>0</v>
          </cell>
          <cell r="N827">
            <v>0</v>
          </cell>
        </row>
        <row r="828">
          <cell r="C828" t="str">
            <v>B</v>
          </cell>
          <cell r="D828" t="str">
            <v>Jumlah</v>
          </cell>
          <cell r="L828">
            <v>10600</v>
          </cell>
          <cell r="M828">
            <v>38500</v>
          </cell>
          <cell r="N828">
            <v>49100</v>
          </cell>
        </row>
        <row r="831">
          <cell r="A831">
            <v>85</v>
          </cell>
          <cell r="C831">
            <v>90</v>
          </cell>
          <cell r="D831" t="str">
            <v>1 M'</v>
          </cell>
          <cell r="E831" t="str">
            <v xml:space="preserve">Anl.Praktis Membuat Saluran Air Hujan </v>
          </cell>
          <cell r="P831" t="e">
            <v>#REF!</v>
          </cell>
        </row>
        <row r="832">
          <cell r="B832">
            <v>2</v>
          </cell>
          <cell r="D832">
            <v>0.15</v>
          </cell>
          <cell r="E832" t="str">
            <v>1 M3</v>
          </cell>
          <cell r="F832" t="str">
            <v>Galian Tanah Biasa (SNI)</v>
          </cell>
          <cell r="J832" t="str">
            <v>@</v>
          </cell>
          <cell r="K832">
            <v>29200</v>
          </cell>
          <cell r="M832">
            <v>0</v>
          </cell>
          <cell r="N832">
            <v>0</v>
          </cell>
        </row>
        <row r="833">
          <cell r="B833">
            <v>15</v>
          </cell>
          <cell r="D833">
            <v>0.12</v>
          </cell>
          <cell r="E833" t="str">
            <v>1 M3</v>
          </cell>
          <cell r="F833" t="str">
            <v>Beton Tumbuk Camp. 1Pc : 3Ps : 5 Kr</v>
          </cell>
          <cell r="J833" t="str">
            <v>@</v>
          </cell>
          <cell r="K833">
            <v>707890</v>
          </cell>
          <cell r="M833">
            <v>84946.8</v>
          </cell>
          <cell r="N833">
            <v>84946.8</v>
          </cell>
        </row>
        <row r="834">
          <cell r="B834">
            <v>12</v>
          </cell>
          <cell r="D834">
            <v>1.1000000000000001</v>
          </cell>
          <cell r="E834" t="str">
            <v>1 M2</v>
          </cell>
          <cell r="F834" t="str">
            <v>Plesteran  Camp. 1 : 4 (SNI)</v>
          </cell>
          <cell r="J834" t="str">
            <v>@</v>
          </cell>
          <cell r="K834">
            <v>45920</v>
          </cell>
          <cell r="M834">
            <v>50512.000000000007</v>
          </cell>
          <cell r="N834">
            <v>50512.000000000007</v>
          </cell>
        </row>
        <row r="835">
          <cell r="B835">
            <v>14</v>
          </cell>
          <cell r="D835">
            <v>1.1000000000000001</v>
          </cell>
          <cell r="E835" t="str">
            <v>1 M2</v>
          </cell>
          <cell r="F835" t="str">
            <v>Acian Dengan Air Semen (SNI)</v>
          </cell>
          <cell r="J835" t="str">
            <v>@</v>
          </cell>
          <cell r="K835">
            <v>29412.5</v>
          </cell>
          <cell r="M835">
            <v>32353.750000000004</v>
          </cell>
          <cell r="N835">
            <v>32353.750000000004</v>
          </cell>
        </row>
        <row r="836">
          <cell r="C836" t="str">
            <v>B</v>
          </cell>
          <cell r="D836" t="str">
            <v>Jumlah</v>
          </cell>
          <cell r="L836">
            <v>0</v>
          </cell>
          <cell r="M836">
            <v>167812.55000000002</v>
          </cell>
          <cell r="N836">
            <v>167812.55000000002</v>
          </cell>
        </row>
        <row r="838">
          <cell r="C838">
            <v>86</v>
          </cell>
          <cell r="D838" t="str">
            <v>1 M² Pasang Pintu Besi Hollow</v>
          </cell>
          <cell r="P838">
            <v>133871.5</v>
          </cell>
        </row>
        <row r="839">
          <cell r="B839">
            <v>109</v>
          </cell>
          <cell r="D839">
            <v>1.1000000000000001</v>
          </cell>
          <cell r="E839" t="str">
            <v xml:space="preserve"> M²</v>
          </cell>
          <cell r="F839" t="str">
            <v xml:space="preserve"> Besi Hollow</v>
          </cell>
          <cell r="J839" t="str">
            <v>@</v>
          </cell>
          <cell r="K839">
            <v>12500</v>
          </cell>
          <cell r="M839">
            <v>13750.000000000002</v>
          </cell>
          <cell r="N839">
            <v>13750.000000000002</v>
          </cell>
        </row>
        <row r="840">
          <cell r="B840">
            <v>2</v>
          </cell>
          <cell r="D840">
            <v>0.65</v>
          </cell>
          <cell r="E840" t="str">
            <v xml:space="preserve"> Oh</v>
          </cell>
          <cell r="F840" t="str">
            <v xml:space="preserve"> Tukang Besi Konstruksi </v>
          </cell>
          <cell r="J840" t="str">
            <v>@</v>
          </cell>
          <cell r="K840">
            <v>80000</v>
          </cell>
          <cell r="L840">
            <v>52000</v>
          </cell>
          <cell r="M840">
            <v>0</v>
          </cell>
          <cell r="N840">
            <v>52000</v>
          </cell>
        </row>
        <row r="841">
          <cell r="B841">
            <v>1</v>
          </cell>
          <cell r="D841">
            <v>0.65</v>
          </cell>
          <cell r="E841" t="str">
            <v xml:space="preserve"> Oh</v>
          </cell>
          <cell r="F841" t="str">
            <v xml:space="preserve"> Pekerja</v>
          </cell>
          <cell r="J841" t="str">
            <v>@</v>
          </cell>
          <cell r="K841">
            <v>65000</v>
          </cell>
          <cell r="L841">
            <v>42250</v>
          </cell>
          <cell r="N841">
            <v>42250</v>
          </cell>
        </row>
        <row r="842">
          <cell r="B842">
            <v>3</v>
          </cell>
          <cell r="D842">
            <v>6.5000000000000002E-2</v>
          </cell>
          <cell r="E842" t="str">
            <v xml:space="preserve"> Oh</v>
          </cell>
          <cell r="F842" t="str">
            <v xml:space="preserve"> Kepala Tukang</v>
          </cell>
          <cell r="J842" t="str">
            <v>@</v>
          </cell>
          <cell r="K842">
            <v>90000</v>
          </cell>
          <cell r="L842">
            <v>5850</v>
          </cell>
          <cell r="N842">
            <v>5850</v>
          </cell>
        </row>
        <row r="843">
          <cell r="B843">
            <v>4</v>
          </cell>
          <cell r="D843">
            <v>3.2000000000000001E-2</v>
          </cell>
          <cell r="E843" t="str">
            <v xml:space="preserve"> Oh</v>
          </cell>
          <cell r="F843" t="str">
            <v xml:space="preserve"> Mandor</v>
          </cell>
          <cell r="J843" t="str">
            <v>@</v>
          </cell>
          <cell r="K843">
            <v>80000</v>
          </cell>
          <cell r="L843">
            <v>2560</v>
          </cell>
          <cell r="N843">
            <v>2560</v>
          </cell>
        </row>
        <row r="844">
          <cell r="C844" t="str">
            <v>B</v>
          </cell>
          <cell r="D844" t="str">
            <v>Jumlah</v>
          </cell>
          <cell r="L844">
            <v>102660</v>
          </cell>
          <cell r="M844">
            <v>13750.000000000002</v>
          </cell>
          <cell r="N844">
            <v>116410</v>
          </cell>
        </row>
        <row r="845">
          <cell r="C845" t="str">
            <v>C</v>
          </cell>
          <cell r="D845" t="str">
            <v>Overhead</v>
          </cell>
          <cell r="L845" t="str">
            <v>15% X B</v>
          </cell>
          <cell r="N845">
            <v>17461.5</v>
          </cell>
        </row>
        <row r="846">
          <cell r="C846" t="str">
            <v>D</v>
          </cell>
          <cell r="D846" t="str">
            <v>Jumlah Total</v>
          </cell>
          <cell r="L846" t="str">
            <v>( B+C )</v>
          </cell>
          <cell r="N846">
            <v>133871.5</v>
          </cell>
        </row>
        <row r="848">
          <cell r="C848">
            <v>91</v>
          </cell>
          <cell r="D848" t="str">
            <v>1 M'</v>
          </cell>
          <cell r="E848" t="str">
            <v>Anl. 1Bh Bak Kontrol</v>
          </cell>
        </row>
        <row r="849">
          <cell r="D849">
            <v>0.48</v>
          </cell>
          <cell r="E849" t="str">
            <v>1M2</v>
          </cell>
          <cell r="F849" t="str">
            <v>Pas. Bata</v>
          </cell>
          <cell r="J849" t="str">
            <v>@</v>
          </cell>
          <cell r="K849">
            <v>102837.5</v>
          </cell>
          <cell r="M849">
            <v>49362</v>
          </cell>
          <cell r="N849">
            <v>49362</v>
          </cell>
        </row>
        <row r="850">
          <cell r="B850">
            <v>12</v>
          </cell>
          <cell r="D850">
            <v>0.4</v>
          </cell>
          <cell r="E850" t="str">
            <v>1 M2</v>
          </cell>
          <cell r="F850" t="str">
            <v>Plesteran  Camp. 1 : 4 (SNI)</v>
          </cell>
          <cell r="J850" t="str">
            <v>@</v>
          </cell>
          <cell r="K850">
            <v>45920</v>
          </cell>
          <cell r="M850">
            <v>18368</v>
          </cell>
          <cell r="N850">
            <v>18368</v>
          </cell>
        </row>
        <row r="851">
          <cell r="B851">
            <v>14</v>
          </cell>
          <cell r="D851">
            <v>0.4</v>
          </cell>
          <cell r="E851" t="str">
            <v>1 M2</v>
          </cell>
          <cell r="F851" t="str">
            <v>Acian Dengan Air Semen (SNI)</v>
          </cell>
          <cell r="J851" t="str">
            <v>@</v>
          </cell>
          <cell r="K851">
            <v>29412.5</v>
          </cell>
          <cell r="M851">
            <v>11765</v>
          </cell>
          <cell r="N851">
            <v>11765</v>
          </cell>
        </row>
        <row r="852">
          <cell r="B852">
            <v>2</v>
          </cell>
          <cell r="D852">
            <v>3.0000000000000001E-3</v>
          </cell>
          <cell r="E852" t="str">
            <v>1 M3</v>
          </cell>
          <cell r="F852" t="str">
            <v>Cor Beton Tak Bertulang</v>
          </cell>
          <cell r="J852" t="str">
            <v>@</v>
          </cell>
          <cell r="K852">
            <v>713700</v>
          </cell>
          <cell r="M852">
            <v>2141.1</v>
          </cell>
          <cell r="N852">
            <v>2141.1</v>
          </cell>
        </row>
        <row r="853">
          <cell r="B853">
            <v>2</v>
          </cell>
          <cell r="D853">
            <v>6.4000000000000001E-2</v>
          </cell>
          <cell r="E853" t="str">
            <v>1 M3</v>
          </cell>
          <cell r="F853" t="str">
            <v>Galian Tanah Biasa (SNI)</v>
          </cell>
          <cell r="J853" t="str">
            <v>@</v>
          </cell>
          <cell r="K853">
            <v>29200</v>
          </cell>
          <cell r="M853">
            <v>1868.8</v>
          </cell>
          <cell r="N853">
            <v>1868.8</v>
          </cell>
        </row>
        <row r="854">
          <cell r="B854">
            <v>2</v>
          </cell>
          <cell r="D854">
            <v>2.1999999999999999E-2</v>
          </cell>
          <cell r="E854" t="str">
            <v>1 M3</v>
          </cell>
          <cell r="F854" t="str">
            <v>Cor Plat Beton</v>
          </cell>
          <cell r="J854" t="str">
            <v>@</v>
          </cell>
          <cell r="K854">
            <v>713700</v>
          </cell>
          <cell r="M854">
            <v>15701.4</v>
          </cell>
          <cell r="N854">
            <v>15701.4</v>
          </cell>
        </row>
        <row r="855">
          <cell r="C855" t="str">
            <v>B</v>
          </cell>
          <cell r="D855" t="str">
            <v>Jumlah</v>
          </cell>
          <cell r="L855">
            <v>0</v>
          </cell>
          <cell r="M855">
            <v>99206.3</v>
          </cell>
          <cell r="N855">
            <v>99206.3</v>
          </cell>
        </row>
        <row r="857">
          <cell r="C857">
            <v>92</v>
          </cell>
          <cell r="D857" t="str">
            <v>1Bh</v>
          </cell>
          <cell r="E857" t="str">
            <v>Klosed Jongkok</v>
          </cell>
        </row>
        <row r="858">
          <cell r="B858">
            <v>1</v>
          </cell>
          <cell r="D858">
            <v>1</v>
          </cell>
          <cell r="E858" t="str">
            <v>Oh</v>
          </cell>
          <cell r="F858" t="str">
            <v>Pekerja</v>
          </cell>
          <cell r="J858" t="str">
            <v>@</v>
          </cell>
          <cell r="K858">
            <v>65000</v>
          </cell>
          <cell r="L858">
            <v>65000</v>
          </cell>
          <cell r="M858">
            <v>0</v>
          </cell>
          <cell r="N858">
            <v>65000</v>
          </cell>
        </row>
        <row r="859">
          <cell r="B859">
            <v>2</v>
          </cell>
          <cell r="D859">
            <v>1.5</v>
          </cell>
          <cell r="E859" t="str">
            <v>Oh</v>
          </cell>
          <cell r="F859" t="str">
            <v>Tukang</v>
          </cell>
          <cell r="J859" t="str">
            <v>@</v>
          </cell>
          <cell r="K859">
            <v>80000</v>
          </cell>
          <cell r="L859">
            <v>120000</v>
          </cell>
          <cell r="M859">
            <v>0</v>
          </cell>
          <cell r="N859">
            <v>120000</v>
          </cell>
        </row>
        <row r="860">
          <cell r="B860">
            <v>3</v>
          </cell>
          <cell r="D860">
            <v>1.5</v>
          </cell>
          <cell r="E860" t="str">
            <v>Oh</v>
          </cell>
          <cell r="F860" t="str">
            <v>Kepala Tukang</v>
          </cell>
          <cell r="J860" t="str">
            <v>@</v>
          </cell>
          <cell r="K860">
            <v>90000</v>
          </cell>
          <cell r="L860">
            <v>135000</v>
          </cell>
          <cell r="M860">
            <v>0</v>
          </cell>
          <cell r="N860">
            <v>135000</v>
          </cell>
        </row>
      </sheetData>
      <sheetData sheetId="5">
        <row r="3">
          <cell r="A3" t="str">
            <v>No.Anl</v>
          </cell>
          <cell r="B3" t="str">
            <v>Pekerjaan</v>
          </cell>
          <cell r="I3" t="str">
            <v>Sat</v>
          </cell>
          <cell r="J3" t="str">
            <v>Harga Satuan</v>
          </cell>
          <cell r="K3" t="str">
            <v>Indeks</v>
          </cell>
        </row>
        <row r="4">
          <cell r="A4">
            <v>1</v>
          </cell>
          <cell r="B4" t="e">
            <v>#N/A</v>
          </cell>
          <cell r="C4" t="e">
            <v>#N/A</v>
          </cell>
          <cell r="I4" t="e">
            <v>#N/A</v>
          </cell>
          <cell r="J4" t="e">
            <v>#N/A</v>
          </cell>
          <cell r="K4" t="e">
            <v>#N/A</v>
          </cell>
        </row>
        <row r="5">
          <cell r="A5">
            <v>2</v>
          </cell>
          <cell r="B5" t="str">
            <v>1 M3</v>
          </cell>
          <cell r="C5" t="str">
            <v>Galian Tanah Biasa (SNI)</v>
          </cell>
          <cell r="I5" t="str">
            <v>M3</v>
          </cell>
          <cell r="J5" t="e">
            <v>#REF!</v>
          </cell>
          <cell r="K5">
            <v>2</v>
          </cell>
        </row>
        <row r="6">
          <cell r="A6">
            <v>3</v>
          </cell>
          <cell r="B6" t="str">
            <v>1 M3</v>
          </cell>
          <cell r="C6" t="str">
            <v>Urugan Kembali Bekas Galian (SNI)</v>
          </cell>
          <cell r="I6" t="str">
            <v>M3</v>
          </cell>
          <cell r="J6" t="e">
            <v>#REF!</v>
          </cell>
          <cell r="K6">
            <v>3</v>
          </cell>
        </row>
        <row r="7">
          <cell r="A7">
            <v>4</v>
          </cell>
          <cell r="B7" t="str">
            <v>1 M3</v>
          </cell>
          <cell r="C7" t="str">
            <v>Urugan Tanah (SNI)</v>
          </cell>
          <cell r="I7" t="str">
            <v>M3</v>
          </cell>
          <cell r="J7" t="e">
            <v>#REF!</v>
          </cell>
          <cell r="K7">
            <v>4</v>
          </cell>
        </row>
        <row r="8">
          <cell r="A8">
            <v>5</v>
          </cell>
          <cell r="B8" t="str">
            <v>1 M3</v>
          </cell>
          <cell r="C8" t="str">
            <v>Urugan Pasir (SNI)</v>
          </cell>
          <cell r="I8" t="str">
            <v>M3</v>
          </cell>
          <cell r="J8" t="e">
            <v>#REF!</v>
          </cell>
          <cell r="K8">
            <v>5</v>
          </cell>
        </row>
        <row r="9">
          <cell r="A9">
            <v>6</v>
          </cell>
          <cell r="B9" t="str">
            <v>1 M3</v>
          </cell>
          <cell r="C9" t="str">
            <v>Pasangan Batu Kosong (SNI)</v>
          </cell>
          <cell r="I9" t="str">
            <v>M3</v>
          </cell>
          <cell r="J9" t="e">
            <v>#REF!</v>
          </cell>
          <cell r="K9">
            <v>6</v>
          </cell>
        </row>
        <row r="10">
          <cell r="A10">
            <v>7</v>
          </cell>
          <cell r="B10" t="str">
            <v>1 M3</v>
          </cell>
          <cell r="C10" t="str">
            <v>Pasangan Batu Kali Camp. 1 : 4  (SNI)</v>
          </cell>
          <cell r="I10" t="str">
            <v>M3</v>
          </cell>
          <cell r="J10" t="e">
            <v>#REF!</v>
          </cell>
          <cell r="K10">
            <v>7</v>
          </cell>
        </row>
        <row r="11">
          <cell r="A11">
            <v>8</v>
          </cell>
          <cell r="B11" t="str">
            <v>1 M2</v>
          </cell>
          <cell r="C11" t="str">
            <v>Pasanganan Trasram Batu Bata 1/2 Batu Camp  1 : 2  (SNI)</v>
          </cell>
          <cell r="I11" t="str">
            <v>M2</v>
          </cell>
          <cell r="J11" t="e">
            <v>#REF!</v>
          </cell>
          <cell r="K11">
            <v>8</v>
          </cell>
        </row>
        <row r="12">
          <cell r="A12">
            <v>9</v>
          </cell>
          <cell r="B12" t="str">
            <v>1 M2</v>
          </cell>
          <cell r="C12" t="str">
            <v>Pasangan Dinding Bata Camp. 1 : 4 (SNI)</v>
          </cell>
          <cell r="I12" t="str">
            <v>M2</v>
          </cell>
          <cell r="J12" t="e">
            <v>#REF!</v>
          </cell>
          <cell r="K12">
            <v>9</v>
          </cell>
        </row>
        <row r="13">
          <cell r="A13">
            <v>10</v>
          </cell>
          <cell r="B13" t="str">
            <v>1 M2</v>
          </cell>
          <cell r="C13" t="str">
            <v>Pasangan Batu Batako Camp. 1:4</v>
          </cell>
          <cell r="I13" t="str">
            <v>M2</v>
          </cell>
          <cell r="J13" t="e">
            <v>#REF!</v>
          </cell>
          <cell r="K13">
            <v>10</v>
          </cell>
        </row>
        <row r="14">
          <cell r="A14">
            <v>11</v>
          </cell>
          <cell r="B14" t="str">
            <v>1 M2</v>
          </cell>
          <cell r="C14" t="str">
            <v>Plesteran  Camp. 1 : 2 (SNI)</v>
          </cell>
          <cell r="I14" t="str">
            <v>M2</v>
          </cell>
          <cell r="J14" t="e">
            <v>#REF!</v>
          </cell>
          <cell r="K14">
            <v>11</v>
          </cell>
        </row>
        <row r="15">
          <cell r="A15">
            <v>12</v>
          </cell>
          <cell r="B15" t="str">
            <v>1 M2</v>
          </cell>
          <cell r="C15" t="str">
            <v>Plesteran  Camp. 1 : 4 (SNI)</v>
          </cell>
          <cell r="I15" t="str">
            <v>M2</v>
          </cell>
          <cell r="J15" t="e">
            <v>#REF!</v>
          </cell>
          <cell r="K15">
            <v>12</v>
          </cell>
        </row>
        <row r="16">
          <cell r="A16">
            <v>13</v>
          </cell>
          <cell r="B16" t="str">
            <v>1 M2</v>
          </cell>
          <cell r="C16" t="str">
            <v>Acian Plesteran Dinding (SNI)</v>
          </cell>
          <cell r="I16" t="str">
            <v>M2</v>
          </cell>
          <cell r="J16" t="e">
            <v>#REF!</v>
          </cell>
          <cell r="K16">
            <v>13</v>
          </cell>
        </row>
        <row r="17">
          <cell r="A17">
            <v>14</v>
          </cell>
          <cell r="B17" t="str">
            <v>1 M2</v>
          </cell>
          <cell r="C17" t="str">
            <v>Acian Dengan Air Semen (SNI)</v>
          </cell>
          <cell r="I17" t="str">
            <v>M2</v>
          </cell>
          <cell r="J17" t="e">
            <v>#REF!</v>
          </cell>
          <cell r="K17">
            <v>14</v>
          </cell>
        </row>
        <row r="18">
          <cell r="A18">
            <v>15</v>
          </cell>
          <cell r="B18" t="str">
            <v>1 M3</v>
          </cell>
          <cell r="C18" t="str">
            <v>Beton Tumbuk Camp. 1Pc : 3Ps : 5 Kr</v>
          </cell>
          <cell r="I18" t="str">
            <v>M3</v>
          </cell>
          <cell r="J18" t="e">
            <v>#REF!</v>
          </cell>
          <cell r="K18">
            <v>15</v>
          </cell>
        </row>
        <row r="19">
          <cell r="A19">
            <v>16</v>
          </cell>
          <cell r="B19" t="str">
            <v>1M3</v>
          </cell>
          <cell r="C19" t="str">
            <v>Struktur Beton Bertulang Camp. 1 : 2 : 3 (SNI)</v>
          </cell>
          <cell r="I19" t="str">
            <v>M3</v>
          </cell>
          <cell r="J19" t="e">
            <v>#REF!</v>
          </cell>
          <cell r="K19">
            <v>16</v>
          </cell>
        </row>
        <row r="20">
          <cell r="A20">
            <v>17</v>
          </cell>
          <cell r="B20" t="str">
            <v>1 M2</v>
          </cell>
          <cell r="C20" t="str">
            <v>Bekisting Untuk Sloof (15 X 20)</v>
          </cell>
          <cell r="I20" t="str">
            <v>M2</v>
          </cell>
          <cell r="J20" t="e">
            <v>#REF!</v>
          </cell>
          <cell r="K20">
            <v>17</v>
          </cell>
        </row>
        <row r="21">
          <cell r="A21">
            <v>18</v>
          </cell>
          <cell r="B21" t="str">
            <v>1 M2</v>
          </cell>
          <cell r="C21" t="str">
            <v>Bekisting Untuk Kolom</v>
          </cell>
          <cell r="I21" t="str">
            <v>M2</v>
          </cell>
          <cell r="J21" t="e">
            <v>#REF!</v>
          </cell>
          <cell r="K21">
            <v>18</v>
          </cell>
        </row>
        <row r="22">
          <cell r="A22">
            <v>19</v>
          </cell>
          <cell r="B22" t="str">
            <v>1 M2</v>
          </cell>
          <cell r="C22" t="str">
            <v>Bekisting Untuk Balok</v>
          </cell>
          <cell r="I22" t="str">
            <v>M2</v>
          </cell>
          <cell r="J22" t="e">
            <v>#REF!</v>
          </cell>
          <cell r="K22">
            <v>19</v>
          </cell>
        </row>
        <row r="23">
          <cell r="A23">
            <v>20</v>
          </cell>
          <cell r="B23" t="str">
            <v>1 Kg</v>
          </cell>
          <cell r="C23" t="str">
            <v>Pembesian Dengan Besi Polos</v>
          </cell>
          <cell r="I23" t="str">
            <v>Kg</v>
          </cell>
          <cell r="J23" t="e">
            <v>#REF!</v>
          </cell>
          <cell r="K23">
            <v>20</v>
          </cell>
        </row>
        <row r="24">
          <cell r="A24">
            <v>21</v>
          </cell>
          <cell r="B24" t="str">
            <v>1M3</v>
          </cell>
          <cell r="C24" t="str">
            <v>Upah Menyiram/Bongkar Bekisting Beton</v>
          </cell>
          <cell r="I24" t="str">
            <v>M3</v>
          </cell>
          <cell r="J24" t="e">
            <v>#REF!</v>
          </cell>
          <cell r="K24">
            <v>21</v>
          </cell>
        </row>
        <row r="25">
          <cell r="A25">
            <v>22</v>
          </cell>
          <cell r="B25" t="str">
            <v>1M3</v>
          </cell>
          <cell r="C25" t="str">
            <v>Pekerjaan Membuat Sloof Beton Bertulang</v>
          </cell>
          <cell r="I25" t="str">
            <v>M3</v>
          </cell>
          <cell r="J25">
            <v>1447105</v>
          </cell>
          <cell r="K25">
            <v>22</v>
          </cell>
        </row>
        <row r="26">
          <cell r="A26">
            <v>23</v>
          </cell>
          <cell r="B26" t="str">
            <v>1M3</v>
          </cell>
          <cell r="C26" t="str">
            <v>Pekerjaan Membuat Kolom Beton Bertulang</v>
          </cell>
          <cell r="I26" t="str">
            <v>M3</v>
          </cell>
          <cell r="J26">
            <v>1867630</v>
          </cell>
          <cell r="K26">
            <v>23</v>
          </cell>
        </row>
        <row r="27">
          <cell r="A27">
            <v>24</v>
          </cell>
          <cell r="B27" t="str">
            <v>1M3</v>
          </cell>
          <cell r="C27" t="str">
            <v>Pekerjaan Membuat Balok Beton Bertulang</v>
          </cell>
          <cell r="I27" t="str">
            <v>M3</v>
          </cell>
          <cell r="J27">
            <v>2383322.5</v>
          </cell>
          <cell r="K27">
            <v>24</v>
          </cell>
        </row>
        <row r="28">
          <cell r="A28">
            <v>25</v>
          </cell>
          <cell r="B28" t="str">
            <v>1M3</v>
          </cell>
          <cell r="C28" t="str">
            <v xml:space="preserve">Membuat Sloof Beton Bertulang </v>
          </cell>
          <cell r="I28" t="str">
            <v>M3</v>
          </cell>
          <cell r="J28">
            <v>2432520.25</v>
          </cell>
          <cell r="K28">
            <v>25</v>
          </cell>
        </row>
        <row r="29">
          <cell r="A29">
            <v>26</v>
          </cell>
          <cell r="B29" t="str">
            <v>1M3</v>
          </cell>
          <cell r="C29" t="str">
            <v xml:space="preserve">Membuat Kolom Beton Bertulang </v>
          </cell>
          <cell r="I29" t="str">
            <v>M3</v>
          </cell>
          <cell r="J29">
            <v>3290293.75</v>
          </cell>
          <cell r="K29">
            <v>26</v>
          </cell>
        </row>
        <row r="30">
          <cell r="A30">
            <v>27</v>
          </cell>
          <cell r="B30" t="str">
            <v>1M3</v>
          </cell>
          <cell r="C30" t="str">
            <v>Membuat Balok Beton Bertulang ( 150 Kg Besi + Bekisting )</v>
          </cell>
          <cell r="I30" t="str">
            <v>M3</v>
          </cell>
          <cell r="J30">
            <v>4812974.25</v>
          </cell>
          <cell r="K30">
            <v>27</v>
          </cell>
        </row>
        <row r="31">
          <cell r="A31">
            <v>28</v>
          </cell>
          <cell r="B31" t="str">
            <v>1M2</v>
          </cell>
          <cell r="C31" t="str">
            <v>Pas. Tegel Dinding Keramik 20 x 20 (SNI)</v>
          </cell>
          <cell r="I31" t="str">
            <v>M2</v>
          </cell>
          <cell r="J31" t="e">
            <v>#REF!</v>
          </cell>
          <cell r="K31">
            <v>28</v>
          </cell>
        </row>
        <row r="32">
          <cell r="A32">
            <v>29</v>
          </cell>
          <cell r="B32" t="str">
            <v>1M2</v>
          </cell>
          <cell r="C32" t="str">
            <v>Pas. Tegel Lantai  Keramik 20 x 20 (SNI)</v>
          </cell>
          <cell r="I32" t="str">
            <v>M2</v>
          </cell>
          <cell r="J32" t="e">
            <v>#REF!</v>
          </cell>
          <cell r="K32">
            <v>29</v>
          </cell>
        </row>
        <row r="33">
          <cell r="A33">
            <v>30</v>
          </cell>
          <cell r="B33" t="str">
            <v>1M2</v>
          </cell>
          <cell r="C33" t="str">
            <v>Pas. Tegel Lantai  Keramik 40 x 40 (SNI)</v>
          </cell>
          <cell r="I33" t="str">
            <v>M2</v>
          </cell>
          <cell r="J33" t="e">
            <v>#REF!</v>
          </cell>
          <cell r="K33">
            <v>30</v>
          </cell>
        </row>
        <row r="34">
          <cell r="A34">
            <v>31</v>
          </cell>
          <cell r="B34" t="str">
            <v>1M2</v>
          </cell>
          <cell r="C34" t="str">
            <v>Pas. Tegel Meja Beton  Keramik 20 x 20 (SNI)</v>
          </cell>
          <cell r="I34" t="str">
            <v>M2</v>
          </cell>
          <cell r="J34" t="e">
            <v>#REF!</v>
          </cell>
          <cell r="K34">
            <v>31</v>
          </cell>
        </row>
        <row r="35">
          <cell r="A35">
            <v>32</v>
          </cell>
          <cell r="B35" t="str">
            <v>1M3</v>
          </cell>
          <cell r="C35" t="str">
            <v>Membuat Kuda-Kuda Kayu klas II (SNI)</v>
          </cell>
          <cell r="I35" t="str">
            <v>M3</v>
          </cell>
          <cell r="J35" t="e">
            <v>#REF!</v>
          </cell>
          <cell r="K35">
            <v>32</v>
          </cell>
        </row>
        <row r="36">
          <cell r="A36">
            <v>33</v>
          </cell>
          <cell r="B36" t="str">
            <v>1M3</v>
          </cell>
          <cell r="C36" t="str">
            <v>Membuat Kusen Pintu, Jendela dan Ventilasi Kayu (SNI)</v>
          </cell>
          <cell r="I36" t="str">
            <v>M3</v>
          </cell>
          <cell r="J36" t="e">
            <v>#REF!</v>
          </cell>
          <cell r="K36">
            <v>33</v>
          </cell>
        </row>
        <row r="37">
          <cell r="A37">
            <v>34</v>
          </cell>
          <cell r="B37" t="str">
            <v>1M3</v>
          </cell>
          <cell r="C37" t="str">
            <v>Pemasangan Gording Kayu Klas II (SNI)</v>
          </cell>
          <cell r="I37" t="str">
            <v>M3</v>
          </cell>
          <cell r="J37" t="e">
            <v>#REF!</v>
          </cell>
          <cell r="K37">
            <v>34</v>
          </cell>
        </row>
        <row r="38">
          <cell r="A38">
            <v>35</v>
          </cell>
          <cell r="B38" t="str">
            <v>1M'</v>
          </cell>
          <cell r="C38" t="str">
            <v>Pas.List Plank Papan Kayu Klas II  2/25  (SNI)</v>
          </cell>
          <cell r="I38" t="str">
            <v>M'</v>
          </cell>
          <cell r="J38" t="e">
            <v>#REF!</v>
          </cell>
          <cell r="K38">
            <v>35</v>
          </cell>
        </row>
        <row r="39">
          <cell r="A39">
            <v>36</v>
          </cell>
          <cell r="B39" t="str">
            <v>1M2</v>
          </cell>
          <cell r="C39" t="str">
            <v>Pas.Rang Plafond Kayu Klas II (SNI)</v>
          </cell>
          <cell r="I39" t="str">
            <v>M2</v>
          </cell>
          <cell r="J39" t="e">
            <v>#REF!</v>
          </cell>
          <cell r="K39">
            <v>36</v>
          </cell>
        </row>
        <row r="40">
          <cell r="A40">
            <v>37</v>
          </cell>
          <cell r="B40" t="str">
            <v>1M2</v>
          </cell>
          <cell r="C40" t="str">
            <v>Pas.Penutup Plafond Tripleks 3 mm (SNI)</v>
          </cell>
          <cell r="I40" t="str">
            <v>M2</v>
          </cell>
          <cell r="J40" t="e">
            <v>#REF!</v>
          </cell>
          <cell r="K40">
            <v>37</v>
          </cell>
        </row>
        <row r="41">
          <cell r="A41">
            <v>38</v>
          </cell>
          <cell r="B41" t="str">
            <v>1M2</v>
          </cell>
          <cell r="C41" t="str">
            <v>Pas. Rangka + Penutup Plafond Tripleks 3 mm (SNI)</v>
          </cell>
          <cell r="I41" t="str">
            <v>M2</v>
          </cell>
          <cell r="J41" t="e">
            <v>#REF!</v>
          </cell>
          <cell r="K41">
            <v>38</v>
          </cell>
        </row>
        <row r="42">
          <cell r="A42">
            <v>39</v>
          </cell>
          <cell r="B42" t="str">
            <v>1M'</v>
          </cell>
          <cell r="C42" t="str">
            <v>Pas.List Langit-langit Kayu Profil</v>
          </cell>
          <cell r="I42" t="str">
            <v>M'</v>
          </cell>
          <cell r="J42" t="e">
            <v>#REF!</v>
          </cell>
          <cell r="K42">
            <v>39</v>
          </cell>
        </row>
        <row r="43">
          <cell r="A43">
            <v>40</v>
          </cell>
          <cell r="B43" t="str">
            <v>1M'</v>
          </cell>
          <cell r="C43" t="str">
            <v>Pas.Talang Miring, Seng Bj Ls 0,2 (SNI)</v>
          </cell>
          <cell r="I43" t="str">
            <v>M'</v>
          </cell>
          <cell r="J43" t="e">
            <v>#REF!</v>
          </cell>
          <cell r="K43">
            <v>40</v>
          </cell>
        </row>
        <row r="44">
          <cell r="A44">
            <v>41</v>
          </cell>
          <cell r="B44" t="str">
            <v>1M2</v>
          </cell>
          <cell r="C44" t="str">
            <v>Pas. Atap Genteng Metal</v>
          </cell>
          <cell r="I44" t="str">
            <v>M2</v>
          </cell>
          <cell r="J44" t="e">
            <v>#REF!</v>
          </cell>
          <cell r="K44">
            <v>41</v>
          </cell>
        </row>
        <row r="45">
          <cell r="A45">
            <v>42</v>
          </cell>
          <cell r="B45" t="str">
            <v>1M'</v>
          </cell>
          <cell r="C45" t="str">
            <v>Pas.Penutup Bubungan (SNI)</v>
          </cell>
          <cell r="I45" t="str">
            <v>M'</v>
          </cell>
          <cell r="J45" t="e">
            <v>#REF!</v>
          </cell>
          <cell r="K45">
            <v>42</v>
          </cell>
        </row>
        <row r="46">
          <cell r="A46">
            <v>43</v>
          </cell>
          <cell r="B46" t="str">
            <v>1M2</v>
          </cell>
          <cell r="C46" t="str">
            <v>Bingkai Pintu Kaca dan Jendela Kaca Kayu Klas II (SNI)</v>
          </cell>
          <cell r="I46" t="str">
            <v>M2</v>
          </cell>
          <cell r="J46" t="e">
            <v>#REF!</v>
          </cell>
          <cell r="K46">
            <v>43</v>
          </cell>
        </row>
        <row r="47">
          <cell r="A47">
            <v>44</v>
          </cell>
          <cell r="B47" t="str">
            <v>1M2</v>
          </cell>
          <cell r="C47" t="str">
            <v>Mengerjakan Pintu Panil Kayu Klas II</v>
          </cell>
          <cell r="I47" t="str">
            <v>M2</v>
          </cell>
          <cell r="J47" t="e">
            <v>#REF!</v>
          </cell>
          <cell r="K47">
            <v>44</v>
          </cell>
        </row>
        <row r="48">
          <cell r="A48">
            <v>45</v>
          </cell>
          <cell r="B48" t="str">
            <v>1M2</v>
          </cell>
          <cell r="C48" t="str">
            <v>Mengerjakan Pintu Teak Wood Lapis Aluminium Kulit Jeruk</v>
          </cell>
          <cell r="I48" t="str">
            <v>M2</v>
          </cell>
          <cell r="J48" t="e">
            <v>#REF!</v>
          </cell>
          <cell r="K48">
            <v>45</v>
          </cell>
        </row>
        <row r="49">
          <cell r="A49">
            <v>46</v>
          </cell>
          <cell r="B49" t="str">
            <v>1M2</v>
          </cell>
          <cell r="C49" t="str">
            <v>Mengerjakan Pintu Teak Wood Rangkap Kayu Klas II</v>
          </cell>
          <cell r="I49" t="str">
            <v>M2</v>
          </cell>
          <cell r="J49" t="e">
            <v>#REF!</v>
          </cell>
          <cell r="K49">
            <v>46</v>
          </cell>
        </row>
        <row r="50">
          <cell r="A50">
            <v>47</v>
          </cell>
          <cell r="B50" t="str">
            <v>1M2</v>
          </cell>
          <cell r="C50" t="str">
            <v>Pasang Jalusi Mati Kusen Kayu Klas II</v>
          </cell>
          <cell r="I50" t="str">
            <v>M2</v>
          </cell>
          <cell r="J50" t="e">
            <v>#REF!</v>
          </cell>
          <cell r="K50">
            <v>47</v>
          </cell>
        </row>
        <row r="51">
          <cell r="A51">
            <v>48</v>
          </cell>
          <cell r="B51" t="str">
            <v>1M2</v>
          </cell>
          <cell r="C51" t="str">
            <v>Pas.Rangka + Dinding Papan Kayu Kelas II</v>
          </cell>
          <cell r="I51" t="str">
            <v>M2</v>
          </cell>
          <cell r="J51" t="e">
            <v>#REF!</v>
          </cell>
          <cell r="K51">
            <v>48</v>
          </cell>
        </row>
        <row r="52">
          <cell r="A52">
            <v>49</v>
          </cell>
          <cell r="B52" t="str">
            <v>1M2</v>
          </cell>
          <cell r="C52" t="str">
            <v>Pas.Rangka Teak Wood Rangkap Untuk Dinding</v>
          </cell>
          <cell r="I52" t="str">
            <v>M2</v>
          </cell>
          <cell r="J52" t="e">
            <v>#REF!</v>
          </cell>
          <cell r="K52">
            <v>49</v>
          </cell>
        </row>
        <row r="53">
          <cell r="A53">
            <v>50</v>
          </cell>
          <cell r="B53" t="str">
            <v>1M2</v>
          </cell>
          <cell r="C53" t="str">
            <v>Pas.  Pintu dan Jendela Kaca</v>
          </cell>
          <cell r="I53" t="str">
            <v>M2</v>
          </cell>
          <cell r="J53" t="e">
            <v>#REF!</v>
          </cell>
          <cell r="K53">
            <v>50</v>
          </cell>
        </row>
        <row r="54">
          <cell r="A54">
            <v>51</v>
          </cell>
          <cell r="B54" t="str">
            <v>1M2</v>
          </cell>
          <cell r="C54" t="str">
            <v>Pas.  Kaca Bening 3 mm (SNI)</v>
          </cell>
          <cell r="I54" t="str">
            <v>M2</v>
          </cell>
          <cell r="J54" t="e">
            <v>#REF!</v>
          </cell>
          <cell r="K54">
            <v>51</v>
          </cell>
        </row>
        <row r="55">
          <cell r="A55">
            <v>52</v>
          </cell>
          <cell r="B55" t="str">
            <v>1 Bh</v>
          </cell>
          <cell r="C55" t="str">
            <v>Septitank Ukuran 100 x 150 x100 cm</v>
          </cell>
          <cell r="I55" t="str">
            <v>Bh</v>
          </cell>
          <cell r="J55">
            <v>1807281.25</v>
          </cell>
          <cell r="K55">
            <v>52</v>
          </cell>
        </row>
        <row r="56">
          <cell r="A56">
            <v>53</v>
          </cell>
          <cell r="B56" t="str">
            <v>1Bh</v>
          </cell>
          <cell r="C56" t="str">
            <v>Bak Mandi Ukuran 0,3 M³</v>
          </cell>
          <cell r="I56" t="str">
            <v>Bh</v>
          </cell>
          <cell r="J56">
            <v>939879.75</v>
          </cell>
          <cell r="K56">
            <v>53</v>
          </cell>
        </row>
        <row r="57">
          <cell r="A57">
            <v>54</v>
          </cell>
          <cell r="B57" t="str">
            <v>1Bh</v>
          </cell>
          <cell r="C57" t="str">
            <v>Klosed Jongkok</v>
          </cell>
          <cell r="I57" t="str">
            <v>Bh</v>
          </cell>
          <cell r="J57" t="e">
            <v>#REF!</v>
          </cell>
          <cell r="K57">
            <v>54</v>
          </cell>
        </row>
        <row r="58">
          <cell r="A58">
            <v>55</v>
          </cell>
          <cell r="B58" t="str">
            <v>1M2</v>
          </cell>
          <cell r="C58" t="str">
            <v>Mengecet Dinding Tembok Baru 1X Dasar 2X Penutup</v>
          </cell>
          <cell r="I58" t="str">
            <v>M2</v>
          </cell>
          <cell r="J58" t="e">
            <v>#REF!</v>
          </cell>
          <cell r="K58">
            <v>55</v>
          </cell>
        </row>
        <row r="59">
          <cell r="A59">
            <v>56</v>
          </cell>
          <cell r="B59" t="str">
            <v>1M2</v>
          </cell>
          <cell r="C59" t="str">
            <v>Mengecet Bidang Kayu Baru  1xPlamir, 1x Cat Dasar, 2x Cat Penutup</v>
          </cell>
          <cell r="I59" t="str">
            <v>M2</v>
          </cell>
          <cell r="J59" t="e">
            <v>#REF!</v>
          </cell>
          <cell r="K59">
            <v>56</v>
          </cell>
        </row>
        <row r="60">
          <cell r="A60">
            <v>57</v>
          </cell>
          <cell r="B60" t="str">
            <v>1M2</v>
          </cell>
          <cell r="C60" t="str">
            <v>Mengecet Dinding Tembok Lama 1X Dasar 2X Penutup</v>
          </cell>
          <cell r="I60" t="str">
            <v>M2</v>
          </cell>
          <cell r="J60" t="e">
            <v>#REF!</v>
          </cell>
          <cell r="K60">
            <v>57</v>
          </cell>
        </row>
        <row r="61">
          <cell r="A61">
            <v>58</v>
          </cell>
          <cell r="B61" t="str">
            <v>1M2</v>
          </cell>
          <cell r="C61" t="str">
            <v>Mengecet Bidang Kayu Lama  1xPlamir, 1x Cat Dasar, 2x Cat Penutup</v>
          </cell>
          <cell r="I61" t="str">
            <v>M2</v>
          </cell>
          <cell r="J61" t="e">
            <v>#REF!</v>
          </cell>
          <cell r="K61">
            <v>58</v>
          </cell>
        </row>
        <row r="62">
          <cell r="A62">
            <v>59</v>
          </cell>
          <cell r="B62" t="str">
            <v>1M2</v>
          </cell>
          <cell r="C62" t="str">
            <v>Mengecat Atap Seng Gelombang Bj Ls 0,2</v>
          </cell>
          <cell r="I62" t="str">
            <v>M2</v>
          </cell>
          <cell r="J62" t="e">
            <v>#REF!</v>
          </cell>
          <cell r="K62">
            <v>59</v>
          </cell>
        </row>
        <row r="63">
          <cell r="A63">
            <v>60</v>
          </cell>
          <cell r="B63" t="str">
            <v>1M2</v>
          </cell>
          <cell r="C63" t="str">
            <v>Mengecat dengan Residu</v>
          </cell>
          <cell r="I63" t="str">
            <v>M2</v>
          </cell>
          <cell r="J63" t="e">
            <v>#REF!</v>
          </cell>
          <cell r="K63">
            <v>60</v>
          </cell>
        </row>
        <row r="64">
          <cell r="A64">
            <v>61</v>
          </cell>
          <cell r="B64" t="str">
            <v>1M2</v>
          </cell>
          <cell r="C64" t="str">
            <v>Mengecet Plafond 1X Dasar 2X Penutup</v>
          </cell>
          <cell r="I64" t="str">
            <v>1M2</v>
          </cell>
          <cell r="J64" t="e">
            <v>#REF!</v>
          </cell>
          <cell r="K64">
            <v>61</v>
          </cell>
        </row>
        <row r="65">
          <cell r="A65">
            <v>62</v>
          </cell>
          <cell r="B65" t="str">
            <v>1M2</v>
          </cell>
          <cell r="C65" t="str">
            <v>Mengecet Plafond 1X Dasar 2X Penutup</v>
          </cell>
          <cell r="I65" t="str">
            <v>1M2</v>
          </cell>
          <cell r="J65" t="e">
            <v>#REF!</v>
          </cell>
          <cell r="K65">
            <v>61</v>
          </cell>
        </row>
        <row r="66">
          <cell r="A66">
            <v>63</v>
          </cell>
          <cell r="B66" t="str">
            <v>1 Bh</v>
          </cell>
          <cell r="C66" t="str">
            <v>Pasang Kunci Tanam 1 Slaag</v>
          </cell>
          <cell r="I66" t="str">
            <v xml:space="preserve"> Bh</v>
          </cell>
          <cell r="J66" t="e">
            <v>#REF!</v>
          </cell>
          <cell r="K66">
            <v>63</v>
          </cell>
        </row>
        <row r="67">
          <cell r="A67">
            <v>64</v>
          </cell>
          <cell r="B67" t="str">
            <v>1 Set</v>
          </cell>
          <cell r="C67" t="str">
            <v>Pasang Engsel Pintu</v>
          </cell>
          <cell r="I67" t="str">
            <v>Set</v>
          </cell>
          <cell r="J67" t="e">
            <v>#REF!</v>
          </cell>
          <cell r="K67">
            <v>65</v>
          </cell>
        </row>
        <row r="68">
          <cell r="A68">
            <v>65</v>
          </cell>
          <cell r="B68" t="str">
            <v>1 Set</v>
          </cell>
          <cell r="C68" t="str">
            <v>Pasang Engsel Jendela</v>
          </cell>
          <cell r="I68" t="str">
            <v>Set</v>
          </cell>
          <cell r="J68" t="e">
            <v>#REF!</v>
          </cell>
          <cell r="K68">
            <v>66</v>
          </cell>
        </row>
        <row r="69">
          <cell r="A69">
            <v>66</v>
          </cell>
          <cell r="B69" t="str">
            <v>1 Set</v>
          </cell>
          <cell r="C69" t="str">
            <v>Pasang Handle Jendelah</v>
          </cell>
          <cell r="I69" t="str">
            <v>Set</v>
          </cell>
          <cell r="J69" t="e">
            <v>#REF!</v>
          </cell>
          <cell r="K69">
            <v>68</v>
          </cell>
        </row>
        <row r="70">
          <cell r="A70">
            <v>67</v>
          </cell>
          <cell r="B70" t="str">
            <v>1 Bh</v>
          </cell>
          <cell r="C70" t="str">
            <v>Pasang Grendel Jendela</v>
          </cell>
          <cell r="I70" t="str">
            <v xml:space="preserve"> Bh</v>
          </cell>
          <cell r="J70" t="e">
            <v>#REF!</v>
          </cell>
          <cell r="K70">
            <v>69</v>
          </cell>
        </row>
        <row r="71">
          <cell r="A71">
            <v>68</v>
          </cell>
          <cell r="B71" t="str">
            <v>1 Bh</v>
          </cell>
          <cell r="C71" t="str">
            <v>Pasang Grendel Pintu Tanam</v>
          </cell>
          <cell r="I71" t="str">
            <v xml:space="preserve"> Bh</v>
          </cell>
          <cell r="J71" t="e">
            <v>#REF!</v>
          </cell>
          <cell r="K71">
            <v>70</v>
          </cell>
        </row>
        <row r="72">
          <cell r="A72">
            <v>69</v>
          </cell>
          <cell r="B72" t="str">
            <v>1 titik</v>
          </cell>
          <cell r="C72" t="str">
            <v>Instalasi Kabel Stop Kontak</v>
          </cell>
          <cell r="I72" t="str">
            <v>tik</v>
          </cell>
          <cell r="J72" t="e">
            <v>#REF!</v>
          </cell>
          <cell r="K72">
            <v>72</v>
          </cell>
        </row>
        <row r="73">
          <cell r="A73">
            <v>70</v>
          </cell>
          <cell r="B73" t="str">
            <v>1 titik</v>
          </cell>
          <cell r="C73" t="str">
            <v>Pas.Lampu XL 18 Watt</v>
          </cell>
          <cell r="I73" t="str">
            <v>tik</v>
          </cell>
          <cell r="J73" t="e">
            <v>#REF!</v>
          </cell>
          <cell r="K73">
            <v>73</v>
          </cell>
        </row>
        <row r="74">
          <cell r="A74">
            <v>71</v>
          </cell>
          <cell r="B74" t="str">
            <v>1 titik</v>
          </cell>
          <cell r="C74" t="str">
            <v xml:space="preserve">Pas.Lampu Pijar </v>
          </cell>
          <cell r="I74" t="str">
            <v>tik</v>
          </cell>
          <cell r="J74" t="e">
            <v>#REF!</v>
          </cell>
          <cell r="K74">
            <v>75</v>
          </cell>
        </row>
        <row r="75">
          <cell r="A75">
            <v>72</v>
          </cell>
          <cell r="B75" t="str">
            <v>1 Bh</v>
          </cell>
          <cell r="C75" t="str">
            <v>Pas.Stop Kontak</v>
          </cell>
          <cell r="I75" t="str">
            <v xml:space="preserve"> Bh</v>
          </cell>
          <cell r="J75" t="e">
            <v>#REF!</v>
          </cell>
          <cell r="K75">
            <v>76</v>
          </cell>
        </row>
        <row r="76">
          <cell r="A76">
            <v>73</v>
          </cell>
          <cell r="B76" t="str">
            <v>1 Bh</v>
          </cell>
          <cell r="C76" t="str">
            <v>Pas.Saklar Ganda</v>
          </cell>
          <cell r="I76" t="str">
            <v xml:space="preserve"> Bh</v>
          </cell>
          <cell r="J76" t="e">
            <v>#REF!</v>
          </cell>
          <cell r="K76">
            <v>77</v>
          </cell>
        </row>
        <row r="77">
          <cell r="A77">
            <v>74</v>
          </cell>
          <cell r="B77" t="str">
            <v>1 Bh</v>
          </cell>
          <cell r="C77" t="str">
            <v>Pas.Saklar Tunggal</v>
          </cell>
          <cell r="I77" t="str">
            <v xml:space="preserve"> Bh</v>
          </cell>
          <cell r="J77" t="e">
            <v>#REF!</v>
          </cell>
          <cell r="K77">
            <v>78</v>
          </cell>
        </row>
        <row r="78">
          <cell r="A78">
            <v>75</v>
          </cell>
          <cell r="B78" t="str">
            <v>1 M'</v>
          </cell>
          <cell r="C78" t="str">
            <v>Pas.Kabel Tofoor</v>
          </cell>
          <cell r="I78" t="str">
            <v xml:space="preserve"> M'</v>
          </cell>
          <cell r="J78" t="e">
            <v>#REF!</v>
          </cell>
          <cell r="K78">
            <v>79</v>
          </cell>
        </row>
        <row r="79">
          <cell r="A79">
            <v>76</v>
          </cell>
          <cell r="B79" t="str">
            <v>1 titik</v>
          </cell>
          <cell r="C79" t="str">
            <v>Pas.Grounding (Anti Petir)</v>
          </cell>
          <cell r="I79" t="str">
            <v>tik</v>
          </cell>
          <cell r="J79" t="e">
            <v>#REF!</v>
          </cell>
          <cell r="K79">
            <v>80</v>
          </cell>
        </row>
        <row r="80">
          <cell r="A80">
            <v>77</v>
          </cell>
          <cell r="B80" t="str">
            <v>1 Bh</v>
          </cell>
          <cell r="C80" t="str">
            <v>Sekring Box</v>
          </cell>
          <cell r="I80" t="str">
            <v xml:space="preserve"> Bh</v>
          </cell>
          <cell r="J80" t="e">
            <v>#REF!</v>
          </cell>
          <cell r="K80">
            <v>81</v>
          </cell>
        </row>
        <row r="81">
          <cell r="A81">
            <v>78</v>
          </cell>
          <cell r="B81" t="str">
            <v>1 Bh</v>
          </cell>
          <cell r="C81" t="str">
            <v>Pas. Panil Box</v>
          </cell>
          <cell r="I81" t="str">
            <v xml:space="preserve"> Bh</v>
          </cell>
          <cell r="J81" t="e">
            <v>#REF!</v>
          </cell>
          <cell r="K81">
            <v>82</v>
          </cell>
        </row>
        <row r="82">
          <cell r="A82">
            <v>79</v>
          </cell>
          <cell r="B82" t="str">
            <v>1 Bh</v>
          </cell>
          <cell r="C82" t="str">
            <v>Pas. Kitchen Zink 1 Lubang</v>
          </cell>
          <cell r="I82" t="str">
            <v xml:space="preserve"> Bh</v>
          </cell>
          <cell r="J82" t="e">
            <v>#REF!</v>
          </cell>
          <cell r="K82">
            <v>83</v>
          </cell>
        </row>
        <row r="83">
          <cell r="A83">
            <v>80</v>
          </cell>
          <cell r="B83" t="str">
            <v>1 Bh</v>
          </cell>
          <cell r="C83" t="str">
            <v>Pas.Westafel</v>
          </cell>
          <cell r="I83" t="str">
            <v xml:space="preserve"> Bh</v>
          </cell>
          <cell r="J83" t="e">
            <v>#REF!</v>
          </cell>
          <cell r="K83">
            <v>84</v>
          </cell>
        </row>
        <row r="84">
          <cell r="A84">
            <v>81</v>
          </cell>
          <cell r="B84" t="str">
            <v>1 M'</v>
          </cell>
          <cell r="C84" t="str">
            <v>Pas. Pipa PVC D1/2" (air Bersih)</v>
          </cell>
          <cell r="I84" t="str">
            <v xml:space="preserve"> M'</v>
          </cell>
          <cell r="J84" t="e">
            <v>#REF!</v>
          </cell>
          <cell r="K84">
            <v>85</v>
          </cell>
        </row>
        <row r="85">
          <cell r="A85">
            <v>82</v>
          </cell>
          <cell r="B85" t="str">
            <v>1 M'</v>
          </cell>
          <cell r="C85" t="str">
            <v>Pas. Pipa PVC 3/4"</v>
          </cell>
          <cell r="I85" t="str">
            <v xml:space="preserve"> M'</v>
          </cell>
          <cell r="J85" t="e">
            <v>#REF!</v>
          </cell>
          <cell r="K85">
            <v>86</v>
          </cell>
        </row>
        <row r="86">
          <cell r="A86">
            <v>83</v>
          </cell>
          <cell r="B86" t="str">
            <v>1 M'</v>
          </cell>
          <cell r="C86" t="str">
            <v>Pas. Pipa PVC D4"</v>
          </cell>
          <cell r="I86" t="str">
            <v xml:space="preserve"> M'</v>
          </cell>
          <cell r="J86" t="e">
            <v>#REF!</v>
          </cell>
          <cell r="K86">
            <v>87</v>
          </cell>
        </row>
        <row r="87">
          <cell r="A87">
            <v>84</v>
          </cell>
          <cell r="B87" t="str">
            <v>1 Bh</v>
          </cell>
          <cell r="C87" t="str">
            <v>Pas. Kran Air</v>
          </cell>
          <cell r="I87" t="str">
            <v xml:space="preserve"> Bh</v>
          </cell>
          <cell r="J87" t="e">
            <v>#REF!</v>
          </cell>
          <cell r="K87">
            <v>88</v>
          </cell>
        </row>
        <row r="88">
          <cell r="A88">
            <v>85</v>
          </cell>
          <cell r="B88" t="str">
            <v>1 M'</v>
          </cell>
          <cell r="C88" t="str">
            <v xml:space="preserve">Anl.Praktis Membuat Saluran Air Hujan </v>
          </cell>
          <cell r="I88" t="str">
            <v xml:space="preserve"> M'</v>
          </cell>
          <cell r="J88" t="e">
            <v>#REF!</v>
          </cell>
          <cell r="K88">
            <v>90</v>
          </cell>
        </row>
        <row r="89">
          <cell r="B89" t="str">
            <v/>
          </cell>
          <cell r="C89" t="str">
            <v/>
          </cell>
          <cell r="I89" t="str">
            <v/>
          </cell>
          <cell r="J89" t="str">
            <v/>
          </cell>
          <cell r="K89" t="str">
            <v/>
          </cell>
        </row>
        <row r="90">
          <cell r="B90" t="str">
            <v/>
          </cell>
          <cell r="C90" t="str">
            <v/>
          </cell>
          <cell r="I90" t="str">
            <v/>
          </cell>
          <cell r="J90" t="str">
            <v/>
          </cell>
          <cell r="K90" t="str">
            <v/>
          </cell>
        </row>
        <row r="91">
          <cell r="B91" t="str">
            <v/>
          </cell>
          <cell r="C91" t="str">
            <v/>
          </cell>
          <cell r="I91" t="str">
            <v/>
          </cell>
          <cell r="J91" t="str">
            <v/>
          </cell>
          <cell r="K91" t="str">
            <v/>
          </cell>
        </row>
      </sheetData>
      <sheetData sheetId="6"/>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btn Permanen"/>
      <sheetName val="sch"/>
      <sheetName val="Sheet2"/>
      <sheetName val="Sheet1 (2)"/>
      <sheetName val="Sheet1"/>
      <sheetName val="Rekap"/>
      <sheetName val="SUB"/>
      <sheetName val="boq"/>
      <sheetName val="MOB"/>
      <sheetName val="RekAn_Div9"/>
      <sheetName val="RekAn_Div10"/>
      <sheetName val="Quarry"/>
      <sheetName val="HARGA"/>
      <sheetName val="umum"/>
      <sheetName val="div-2"/>
      <sheetName val="GAL TNH"/>
      <sheetName val="div-3"/>
      <sheetName val="div-4"/>
      <sheetName val="div-5"/>
      <sheetName val="div-6a"/>
      <sheetName val="div-6b"/>
      <sheetName val="alat"/>
      <sheetName val="div-7a"/>
      <sheetName val="BETON"/>
      <sheetName val="div-7b"/>
      <sheetName val="div-8"/>
      <sheetName val="div-9"/>
      <sheetName val="LAPEN"/>
      <sheetName val="div-10a"/>
      <sheetName val="Agg. Hls-Ksr"/>
      <sheetName val="Agg. A"/>
      <sheetName val="Agg. B"/>
      <sheetName val="plesteran +npengecatan"/>
      <sheetName val="Agg. C"/>
      <sheetName val="GOR2"/>
      <sheetName val="LPA"/>
      <sheetName val="klas a"/>
      <sheetName val="ASPL"/>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6">
          <cell r="F26">
            <v>6071.4285714285716</v>
          </cell>
        </row>
      </sheetData>
      <sheetData sheetId="13">
        <row r="1">
          <cell r="A1" t="str">
            <v>INFORMASI  UMUM</v>
          </cell>
        </row>
        <row r="4">
          <cell r="A4" t="str">
            <v>No.</v>
          </cell>
          <cell r="C4" t="str">
            <v>U R A I A N</v>
          </cell>
          <cell r="F4" t="str">
            <v>I N F O R M A S I</v>
          </cell>
        </row>
        <row r="7">
          <cell r="A7" t="str">
            <v>1.</v>
          </cell>
          <cell r="C7" t="str">
            <v>Pekerjaan</v>
          </cell>
          <cell r="H7" t="str">
            <v xml:space="preserve">Pening. Jln Ruas Marowo - Pu'Untuwu </v>
          </cell>
        </row>
        <row r="8">
          <cell r="H8" t="str">
            <v>STA 07 + 500 - STA 25 + 500</v>
          </cell>
        </row>
        <row r="9">
          <cell r="A9" t="str">
            <v>2.</v>
          </cell>
          <cell r="C9" t="str">
            <v>Nama Paket</v>
          </cell>
          <cell r="H9" t="str">
            <v>Kec. Ulubongka</v>
          </cell>
        </row>
        <row r="11">
          <cell r="A11" t="str">
            <v>3.</v>
          </cell>
          <cell r="C11" t="str">
            <v>Propinsi / Kabupaten / Kotamadya</v>
          </cell>
          <cell r="H11" t="str">
            <v>Tojo Una-Una</v>
          </cell>
        </row>
        <row r="14">
          <cell r="A14" t="str">
            <v>4.</v>
          </cell>
          <cell r="C14" t="str">
            <v>Lokasi pekerjaan</v>
          </cell>
          <cell r="H14" t="str">
            <v>Periksa lampiran</v>
          </cell>
        </row>
        <row r="16">
          <cell r="A16" t="str">
            <v>5.</v>
          </cell>
          <cell r="C16" t="str">
            <v>Kondisi jalan lama</v>
          </cell>
          <cell r="H16" t="str">
            <v>Jalan Setapak (Jalan Roda)</v>
          </cell>
        </row>
        <row r="18">
          <cell r="A18" t="str">
            <v>6.</v>
          </cell>
          <cell r="C18" t="str">
            <v>Panjang efektif</v>
          </cell>
          <cell r="D18" t="str">
            <v>( lihat sketsa di bawah )</v>
          </cell>
          <cell r="H18">
            <v>18</v>
          </cell>
          <cell r="I18" t="str">
            <v>Kilo Meter</v>
          </cell>
        </row>
        <row r="20">
          <cell r="A20" t="str">
            <v>7.</v>
          </cell>
          <cell r="C20" t="str">
            <v>Lebar jalan lama</v>
          </cell>
          <cell r="D20" t="str">
            <v>( bahu + perkerasan + bahu )</v>
          </cell>
          <cell r="G20" t="str">
            <v>(</v>
          </cell>
          <cell r="H20">
            <v>0</v>
          </cell>
          <cell r="I20" t="str">
            <v>+</v>
          </cell>
          <cell r="J20">
            <v>1.5</v>
          </cell>
          <cell r="K20" t="str">
            <v>+</v>
          </cell>
          <cell r="L20">
            <v>0</v>
          </cell>
          <cell r="M20" t="str">
            <v>)</v>
          </cell>
          <cell r="N20" t="str">
            <v xml:space="preserve"> meter</v>
          </cell>
        </row>
        <row r="22">
          <cell r="A22" t="str">
            <v>8.</v>
          </cell>
          <cell r="C22" t="str">
            <v>Lebar Rencana</v>
          </cell>
          <cell r="D22" t="str">
            <v>( bahu + perkerasan + bahu )</v>
          </cell>
          <cell r="G22" t="str">
            <v>(</v>
          </cell>
          <cell r="H22">
            <v>1</v>
          </cell>
          <cell r="I22" t="str">
            <v>+</v>
          </cell>
          <cell r="J22">
            <v>6</v>
          </cell>
          <cell r="K22" t="str">
            <v>+</v>
          </cell>
          <cell r="L22">
            <v>1</v>
          </cell>
          <cell r="M22" t="str">
            <v>)</v>
          </cell>
          <cell r="N22" t="str">
            <v xml:space="preserve"> meter</v>
          </cell>
        </row>
        <row r="24">
          <cell r="A24" t="str">
            <v>9.</v>
          </cell>
          <cell r="C24" t="str">
            <v>Penampang jalan, jenis dan volume pekerjaan pokok</v>
          </cell>
          <cell r="H24" t="str">
            <v>Lihat lampiran.</v>
          </cell>
        </row>
        <row r="26">
          <cell r="A26" t="str">
            <v>10.</v>
          </cell>
          <cell r="C26" t="str">
            <v>Jangka waktu pelaksanaan pekerjaan</v>
          </cell>
          <cell r="H26">
            <v>105</v>
          </cell>
          <cell r="I26" t="str">
            <v xml:space="preserve"> hari kalender</v>
          </cell>
        </row>
        <row r="27">
          <cell r="G27" t="str">
            <v>Atau :</v>
          </cell>
          <cell r="H27">
            <v>3.5</v>
          </cell>
          <cell r="I27" t="str">
            <v xml:space="preserve"> bulan (Periode Pelaksanaan)</v>
          </cell>
        </row>
        <row r="30">
          <cell r="A30" t="str">
            <v>11.</v>
          </cell>
          <cell r="C30" t="str">
            <v>Jarak rata-rata Base Camp ke lokasi pekerjaan  ---&gt;</v>
          </cell>
          <cell r="G30" t="str">
            <v>L =</v>
          </cell>
          <cell r="H30">
            <v>1.75</v>
          </cell>
          <cell r="I30" t="str">
            <v xml:space="preserve"> Kilometer</v>
          </cell>
          <cell r="Q30" t="str">
            <v>jalan</v>
          </cell>
        </row>
        <row r="32">
          <cell r="C32" t="str">
            <v>Perhitungan didasarkan pada sketsa di bawah ini :</v>
          </cell>
          <cell r="G32" t="str">
            <v>L = { (c+a/2)*a + (c+b/2)*b } / (a+b)</v>
          </cell>
        </row>
        <row r="34">
          <cell r="D34" t="str">
            <v>Km = a</v>
          </cell>
          <cell r="F34" t="str">
            <v xml:space="preserve"> C</v>
          </cell>
          <cell r="H34" t="str">
            <v>Km = b</v>
          </cell>
          <cell r="J34">
            <v>1.5</v>
          </cell>
        </row>
        <row r="36">
          <cell r="D36" t="str">
            <v>A</v>
          </cell>
          <cell r="G36">
            <v>1</v>
          </cell>
          <cell r="H36" t="str">
            <v>Km = c</v>
          </cell>
          <cell r="M36" t="str">
            <v xml:space="preserve"> B</v>
          </cell>
          <cell r="Q36">
            <v>34.400000000000006</v>
          </cell>
        </row>
        <row r="37">
          <cell r="E37" t="str">
            <v>Base Camp --&gt;</v>
          </cell>
          <cell r="F37" t="str">
            <v>D</v>
          </cell>
        </row>
        <row r="40">
          <cell r="A40" t="str">
            <v>12.</v>
          </cell>
          <cell r="C40" t="str">
            <v>Jam kerja efektif dalam 1 hari</v>
          </cell>
          <cell r="H40">
            <v>7</v>
          </cell>
          <cell r="I40" t="str">
            <v xml:space="preserve"> jam</v>
          </cell>
        </row>
        <row r="41">
          <cell r="A41" t="str">
            <v>13.</v>
          </cell>
          <cell r="C41" t="str">
            <v>Asuransi, Pajak, dsb. untuk Peralatan</v>
          </cell>
          <cell r="H41">
            <v>2E-3</v>
          </cell>
          <cell r="I41" t="str">
            <v xml:space="preserve"> x  Harga Pokok Alat</v>
          </cell>
        </row>
        <row r="42">
          <cell r="A42" t="str">
            <v>14.</v>
          </cell>
          <cell r="C42" t="str">
            <v>Tingkat Suku Bunga Investasi Alat</v>
          </cell>
          <cell r="H42">
            <v>19.5</v>
          </cell>
          <cell r="I42" t="str">
            <v xml:space="preserve"> %</v>
          </cell>
        </row>
        <row r="43">
          <cell r="A43" t="str">
            <v>15.</v>
          </cell>
          <cell r="C43" t="str">
            <v>Biaya Umum dan Keuntungan</v>
          </cell>
          <cell r="H43">
            <v>10</v>
          </cell>
          <cell r="I43" t="str">
            <v xml:space="preserve"> % x Biaya Langsung</v>
          </cell>
        </row>
        <row r="46">
          <cell r="A46" t="str">
            <v>16.</v>
          </cell>
          <cell r="C46" t="str">
            <v>RINGKASAN METHODE PELAKSANAAN</v>
          </cell>
        </row>
        <row r="48">
          <cell r="A48" t="str">
            <v>a.</v>
          </cell>
          <cell r="C48" t="str">
            <v>Mobilisasi dilaksanakan sesuai ketentuan yang tercantum dalam Dokumen tender</v>
          </cell>
          <cell r="U48" t="str">
            <v>km</v>
          </cell>
          <cell r="V48" t="str">
            <v>sta</v>
          </cell>
        </row>
        <row r="49">
          <cell r="A49" t="str">
            <v>b.</v>
          </cell>
          <cell r="C49" t="str">
            <v>Pekerjaan Tanah dilaksanakan untuk peninggian badan jalan pada oprit jembatan dengan timbunan biasa dan timbunan di belakang konstruksi Pasangan Batu dengan timbunan pilihan.</v>
          </cell>
          <cell r="Q49" t="str">
            <v>Quary</v>
          </cell>
          <cell r="R49">
            <v>101</v>
          </cell>
          <cell r="T49" t="str">
            <v>tabo iv</v>
          </cell>
          <cell r="U49">
            <v>572.85</v>
          </cell>
          <cell r="V49">
            <v>3</v>
          </cell>
        </row>
        <row r="50">
          <cell r="Q50" t="str">
            <v>Jrk Quary</v>
          </cell>
          <cell r="R50">
            <v>2</v>
          </cell>
        </row>
        <row r="51">
          <cell r="Q51" t="str">
            <v>Sta Awal</v>
          </cell>
          <cell r="R51">
            <v>569.85</v>
          </cell>
        </row>
        <row r="52">
          <cell r="Q52" t="str">
            <v>Sta Akhir</v>
          </cell>
          <cell r="R52">
            <v>609.85</v>
          </cell>
        </row>
        <row r="53">
          <cell r="Q53" t="str">
            <v>bku</v>
          </cell>
          <cell r="R53">
            <v>518</v>
          </cell>
        </row>
        <row r="55">
          <cell r="A55" t="str">
            <v>c.</v>
          </cell>
          <cell r="C55" t="str">
            <v xml:space="preserve">Pekerjaan Pasangan Batu dilaksanakan untuk konstruksi perkuatan lereng, gorong-gorong plat , dan pekerjaan struktur lainnya. </v>
          </cell>
        </row>
        <row r="58">
          <cell r="A58" t="str">
            <v>17.</v>
          </cell>
          <cell r="C58" t="str">
            <v>Lokasi Quarry</v>
          </cell>
          <cell r="H58" t="str">
            <v>Periksa lampiran.</v>
          </cell>
        </row>
        <row r="59">
          <cell r="C59" t="str">
            <v>Sungai ……..  ( Km. 452+000 ) masuk 1 Km</v>
          </cell>
        </row>
        <row r="60">
          <cell r="C60" t="str">
            <v>Quarry : Batu Kali, Sirtu, Pasir</v>
          </cell>
        </row>
        <row r="64">
          <cell r="A64" t="str">
            <v>Kecepatan Dump Truck dari Base Camp ke Lokasi Pek.</v>
          </cell>
        </row>
        <row r="65">
          <cell r="C65" t="str">
            <v xml:space="preserve"> Muatan</v>
          </cell>
          <cell r="D65">
            <v>40</v>
          </cell>
          <cell r="E65" t="str">
            <v>km/jam</v>
          </cell>
        </row>
        <row r="66">
          <cell r="C66" t="str">
            <v xml:space="preserve"> Kosong</v>
          </cell>
          <cell r="D66">
            <v>50</v>
          </cell>
          <cell r="E66" t="str">
            <v>km/jam</v>
          </cell>
        </row>
        <row r="68">
          <cell r="A68" t="str">
            <v>Kecepatan Dump Truck dari Quarry ke Base Camp</v>
          </cell>
        </row>
        <row r="69">
          <cell r="C69" t="str">
            <v xml:space="preserve"> Muatan</v>
          </cell>
          <cell r="D69">
            <v>35</v>
          </cell>
          <cell r="E69" t="str">
            <v>km/jam</v>
          </cell>
        </row>
        <row r="70">
          <cell r="C70" t="str">
            <v xml:space="preserve"> Kosong</v>
          </cell>
          <cell r="D70">
            <v>45</v>
          </cell>
          <cell r="E70" t="str">
            <v>km/jam</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Rutin"/>
      <sheetName val="Kuantitas"/>
      <sheetName val="Analisa HSP"/>
    </sheetNames>
    <sheetDataSet>
      <sheetData sheetId="0" refreshError="1"/>
      <sheetData sheetId="1"/>
      <sheetData sheetId="2">
        <row r="231">
          <cell r="U231">
            <v>1410918.5826184079</v>
          </cell>
        </row>
        <row r="410">
          <cell r="U410">
            <v>1102342.9878879972</v>
          </cell>
        </row>
      </sheetData>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Sheet1"/>
      <sheetName val="alat (2)"/>
      <sheetName val="upah (2)"/>
      <sheetName val="Input"/>
      <sheetName val="PT."/>
      <sheetName val="Huruf"/>
      <sheetName val="Surat"/>
      <sheetName val="PAKET4"/>
      <sheetName val="Sheet2"/>
      <sheetName val="Sheet3"/>
      <sheetName val="Analisa"/>
      <sheetName val="RAB"/>
      <sheetName val="Hsatbahan"/>
      <sheetName val="Div6"/>
      <sheetName val="Div5"/>
      <sheetName val="Besi"/>
      <sheetName val="Div7"/>
      <sheetName val="Div3"/>
      <sheetName val="Div2"/>
      <sheetName val="Div8"/>
      <sheetName val="Div1"/>
      <sheetName val="alat_(2)"/>
      <sheetName val="upah_(2)"/>
      <sheetName val="PT_"/>
      <sheetName val="alat_(2)1"/>
      <sheetName val="upah_(2)1"/>
      <sheetName val="PT_1"/>
      <sheetName val="alat_(2)2"/>
      <sheetName val="upah_(2)2"/>
      <sheetName val="PT_2"/>
      <sheetName val="alat_(2)3"/>
      <sheetName val="upah_(2)3"/>
      <sheetName val="PT_3"/>
      <sheetName val="alat_(2)4"/>
      <sheetName val="upah_(2)4"/>
      <sheetName val="PT_4"/>
      <sheetName val="alat_(2)5"/>
      <sheetName val="upah_(2)5"/>
      <sheetName val="PT_5"/>
      <sheetName val="alat_(2)6"/>
      <sheetName val="upah_(2)6"/>
      <sheetName val="PT_6"/>
      <sheetName val="alat_(2)7"/>
      <sheetName val="upah_(2)7"/>
      <sheetName val="PT_7"/>
      <sheetName val="alat_(2)8"/>
      <sheetName val="upah_(2)8"/>
      <sheetName val="PT_8"/>
      <sheetName val="alat_(2)9"/>
      <sheetName val="upah_(2)9"/>
      <sheetName val="PT_9"/>
      <sheetName val="DHU&amp;B"/>
      <sheetName val="Analisa pek. pas &amp; beton"/>
      <sheetName val="Analisa pek. galian"/>
      <sheetName val="Analisa pek. pas atap"/>
      <sheetName val="Dasar2"/>
      <sheetName val="SAT. PEK"/>
      <sheetName val="Harga"/>
      <sheetName val="Harga Satuan"/>
      <sheetName val="FINISHING"/>
      <sheetName val="daf_3_OK_"/>
      <sheetName val="daf_7_OK_"/>
      <sheetName val="SATUAN"/>
      <sheetName val="DIV 3"/>
      <sheetName val="UBA"/>
      <sheetName val="DIV 1"/>
      <sheetName val="Scedule(S-Curve)"/>
      <sheetName val="ANAL "/>
      <sheetName val="HS ALAT"/>
      <sheetName val="HS BAHAN"/>
      <sheetName val="HS UPAH"/>
      <sheetName val="PRODALAT"/>
      <sheetName val="3-DIV3"/>
      <sheetName val="Anal"/>
      <sheetName val="K - Drywall-Presd"/>
      <sheetName val="5-ALAT(1)"/>
      <sheetName val="4-Basic Price"/>
      <sheetName val="Analisa K"/>
      <sheetName val=" AnaBah"/>
      <sheetName val="SAT-DAS"/>
      <sheetName val="DHS"/>
      <sheetName val="REKAP"/>
      <sheetName val="H-SAT"/>
      <sheetName val="Demolation"/>
      <sheetName val="keb-BHN"/>
      <sheetName val="HSU&amp;B"/>
      <sheetName val="data"/>
      <sheetName val="DATA BASE"/>
      <sheetName val="PERHIT VOLUME"/>
      <sheetName val="bahan,upah,alat"/>
    </sheetNames>
    <sheetDataSet>
      <sheetData sheetId="0" refreshError="1"/>
      <sheetData sheetId="1"/>
      <sheetData sheetId="2"/>
      <sheetData sheetId="3" refreshError="1">
        <row r="18">
          <cell r="G18">
            <v>1950</v>
          </cell>
        </row>
        <row r="57">
          <cell r="G57">
            <v>1800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
      <sheetName val="invest (2)"/>
      <sheetName val="CASH FLOW"/>
      <sheetName val="bep"/>
      <sheetName val="an-cost-eqp"/>
      <sheetName val="BT-PECAH"/>
      <sheetName val="batu price"/>
      <sheetName val="BASIC"/>
      <sheetName val="Unit Price"/>
      <sheetName val="D7(1)"/>
      <sheetName val="5-ALAT(1)"/>
      <sheetName val="4-Basic Price"/>
    </sheetNames>
    <sheetDataSet>
      <sheetData sheetId="0" refreshError="1"/>
      <sheetData sheetId="1"/>
      <sheetData sheetId="2" refreshError="1"/>
      <sheetData sheetId="3" refreshError="1"/>
      <sheetData sheetId="4"/>
      <sheetData sheetId="5"/>
      <sheetData sheetId="6"/>
      <sheetData sheetId="7"/>
      <sheetData sheetId="8"/>
      <sheetData sheetId="9" refreshError="1"/>
      <sheetData sheetId="10" refreshError="1"/>
      <sheetData sheetId="1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E-PROP"/>
    </sheetNames>
    <sheetDataSet>
      <sheetData sheetId="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Harga Satuan"/>
      <sheetName val="Analisa"/>
      <sheetName val="HS Alat"/>
      <sheetName val="HS Upah"/>
      <sheetName val="HS Bahan"/>
      <sheetName val="Analisa (me)"/>
      <sheetName val="HS Sub-Kon"/>
      <sheetName val="bahan"/>
      <sheetName val="RAB"/>
      <sheetName val="Hsatbahan"/>
      <sheetName val="Summary IP"/>
      <sheetName val="MT_an"/>
      <sheetName val="lap-bulan"/>
      <sheetName val="N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ASST"/>
      <sheetName val="RAB"/>
      <sheetName val="REKAP AWAL"/>
      <sheetName val="REKAP MC 0"/>
      <sheetName val="Rekap Bab"/>
      <sheetName val="Galian Biasa"/>
      <sheetName val="Tim Biasa"/>
      <sheetName val="Tim Pilihan"/>
      <sheetName val="P Bdn Jalan"/>
      <sheetName val="LPA Klas A"/>
      <sheetName val="Lapis Resap Pengikat"/>
      <sheetName val="Lapis Perekat"/>
      <sheetName val="AC-WC 4 cm"/>
      <sheetName val="AC-WC Leveling"/>
      <sheetName val="Pas. Batu CCO"/>
      <sheetName val="PB MORTAR"/>
      <sheetName val="BETON K300"/>
      <sheetName val="BETON K250"/>
      <sheetName val="BAJA TUL"/>
      <sheetName val="BETON K175"/>
      <sheetName val="GOR-GORONG"/>
      <sheetName val="BRONJONG"/>
      <sheetName val="SELOK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1">
          <cell r="E11" t="str">
            <v>KM. 280+600 - KM. 284+350</v>
          </cell>
        </row>
        <row r="182">
          <cell r="B182" t="str">
            <v>Ir. I B R A H I M</v>
          </cell>
        </row>
      </sheetData>
      <sheetData sheetId="19" refreshError="1"/>
      <sheetData sheetId="20" refreshError="1"/>
      <sheetData sheetId="21" refreshError="1"/>
      <sheetData sheetId="2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Harga Satuan"/>
      <sheetName val="sleksi"/>
      <sheetName val="TS"/>
      <sheetName val="TS MINGGUAN rev (2)"/>
      <sheetName val="Material"/>
      <sheetName val="HDS"/>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2)"/>
      <sheetName val="alat (2)"/>
      <sheetName val="upah (2)"/>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mobilisation"/>
      <sheetName val="mayor01"/>
      <sheetName val="minor"/>
      <sheetName val="rutin1"/>
      <sheetName val="metoda"/>
      <sheetName val="upah"/>
      <sheetName val="jadwal"/>
      <sheetName val="DivI"/>
      <sheetName val="ALT 1"/>
      <sheetName val="ALT"/>
      <sheetName val="Analisa"/>
      <sheetName val="Jadwal_(2)"/>
      <sheetName val="alat_(2)"/>
      <sheetName val="upah_(2)"/>
      <sheetName val="ALT_1"/>
      <sheetName val="Jadwal_(2)1"/>
      <sheetName val="alat_(2)1"/>
      <sheetName val="upah_(2)1"/>
      <sheetName val="ALT_11"/>
      <sheetName val="Jadwal_(2)2"/>
      <sheetName val="alat_(2)2"/>
      <sheetName val="upah_(2)2"/>
      <sheetName val="ALT_12"/>
      <sheetName val="Jadwal_(2)3"/>
      <sheetName val="alat_(2)3"/>
      <sheetName val="upah_(2)3"/>
      <sheetName val="ALT_13"/>
      <sheetName val="Jadwal_(2)4"/>
      <sheetName val="alat_(2)4"/>
      <sheetName val="upah_(2)4"/>
      <sheetName val="ALT_14"/>
      <sheetName val="Jadwal_(2)5"/>
      <sheetName val="alat_(2)5"/>
      <sheetName val="upah_(2)5"/>
      <sheetName val="ALT_15"/>
      <sheetName val="Jadwal_(2)6"/>
      <sheetName val="alat_(2)6"/>
      <sheetName val="upah_(2)6"/>
      <sheetName val="ALT_16"/>
      <sheetName val="Jadwal_(2)7"/>
      <sheetName val="alat_(2)7"/>
      <sheetName val="upah_(2)7"/>
      <sheetName val="ALT_17"/>
      <sheetName val="Jadwal_(2)8"/>
      <sheetName val="alat_(2)8"/>
      <sheetName val="upah_(2)8"/>
      <sheetName val="ALT_18"/>
      <sheetName val="Jadwal_(2)9"/>
      <sheetName val="alat_(2)9"/>
      <sheetName val="upah_(2)9"/>
      <sheetName val="ALT_19"/>
      <sheetName val="sleksi"/>
      <sheetName val="TS"/>
      <sheetName val="TS MINGGUAN rev (2)"/>
      <sheetName val="boq"/>
      <sheetName val="gvl"/>
      <sheetName val="ANALISA ALAT BERAT"/>
      <sheetName val="Bangunan Utama"/>
      <sheetName val="AHSbj"/>
      <sheetName val="NC-CM"/>
      <sheetName val="UNIT-PRICE"/>
      <sheetName val="Harga Dasar"/>
      <sheetName val="DU&amp;B"/>
      <sheetName val="cover"/>
      <sheetName val="Demolation"/>
      <sheetName val="RINCIAN HAR06"/>
      <sheetName val=" AnaBah"/>
      <sheetName val="h.sat-bbm"/>
      <sheetName val="ceklis"/>
      <sheetName val="BAJA TUL"/>
      <sheetName val="Harsat"/>
      <sheetName val="DHSD"/>
      <sheetName val="Traf&amp;Genst"/>
      <sheetName val="BQPAKET4"/>
      <sheetName val="HARGA BAHAN"/>
      <sheetName val="HARGA ALAT"/>
      <sheetName val="Urugan Pasir"/>
      <sheetName val="BasicPrice"/>
      <sheetName val="Base_Price"/>
      <sheetName val="MAPDC"/>
      <sheetName val="MAPP"/>
      <sheetName val="Alat"/>
      <sheetName val="Material"/>
      <sheetName val="HSDLsg"/>
      <sheetName val="Analysa"/>
      <sheetName val="Survei"/>
      <sheetName val="DATA"/>
      <sheetName val="Breakdown"/>
      <sheetName val="SAT-DAS"/>
      <sheetName val="Bekisting"/>
      <sheetName val="Bab10"/>
      <sheetName val="RinciBab1_Seksi1"/>
      <sheetName val="grail"/>
      <sheetName val="Stressing bed"/>
      <sheetName val="NP"/>
      <sheetName val="a. alat"/>
      <sheetName val="HDS"/>
      <sheetName val="LS-Rutin"/>
      <sheetName val="5-ALAT(1)"/>
      <sheetName val="4-Basic Price"/>
      <sheetName val="BACK"/>
      <sheetName val="conc-mix"/>
      <sheetName val="BASIC"/>
      <sheetName val="EVAL"/>
      <sheetName val="Div2"/>
      <sheetName val="HSD"/>
      <sheetName val="Agregat Halus &amp; Kasar"/>
      <sheetName val="LP3,h_dsr"/>
      <sheetName val="rekap"/>
      <sheetName val="KUANTITAS"/>
    </sheetNames>
    <sheetDataSet>
      <sheetData sheetId="0" refreshError="1"/>
      <sheetData sheetId="1" refreshError="1"/>
      <sheetData sheetId="2" refreshError="1"/>
      <sheetData sheetId="3" refreshError="1">
        <row r="15">
          <cell r="G15">
            <v>60000</v>
          </cell>
        </row>
        <row r="16">
          <cell r="G16">
            <v>62000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 req"/>
      <sheetName val="SPEK"/>
      <sheetName val="bq"/>
      <sheetName val="BQ 08DEC01"/>
      <sheetName val="Sheet3"/>
      <sheetName val="berca elvi"/>
      <sheetName val="Sheet1"/>
      <sheetName val="bq (2)"/>
      <sheetName val="frla"/>
      <sheetName val="tender"/>
    </sheetNames>
    <sheetDataSet>
      <sheetData sheetId="0" refreshError="1"/>
      <sheetData sheetId="1" refreshError="1"/>
      <sheetData sheetId="2" refreshError="1">
        <row r="1">
          <cell r="A1">
            <v>8000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AHSp."/>
      <sheetName val="AHSk."/>
      <sheetName val="AHSbt"/>
      <sheetName val="AHSbj"/>
      <sheetName val="MU"/>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
      <sheetName val="Urugan"/>
      <sheetName val="Rekap analisa"/>
      <sheetName val="DAFTAR ISI"/>
      <sheetName val="KOP (2)"/>
      <sheetName val="aNALISA hARGA (2)"/>
      <sheetName val="Harga satuan"/>
      <sheetName val="ANALISA-SNI"/>
      <sheetName val="Sanitasi"/>
      <sheetName val="Kusen"/>
      <sheetName val="Tangga"/>
      <sheetName val="Atap"/>
      <sheetName val="Lti_Plaf"/>
      <sheetName val="Kuda-2"/>
      <sheetName val="VOLUME gedung"/>
      <sheetName val="Konversi Besi&amp;kawat"/>
      <sheetName val="RAB"/>
      <sheetName val="HITUNGAN VOLUME"/>
      <sheetName val="KONVERSI BESI"/>
      <sheetName val="REKAP ANGGARAN"/>
      <sheetName val="Sheet1"/>
      <sheetName val="HARGA"/>
    </sheetNames>
    <sheetDataSet>
      <sheetData sheetId="0" refreshError="1"/>
      <sheetData sheetId="1" refreshError="1"/>
      <sheetData sheetId="2" refreshError="1"/>
      <sheetData sheetId="3" refreshError="1"/>
      <sheetData sheetId="4" refreshError="1"/>
      <sheetData sheetId="5" refreshError="1"/>
      <sheetData sheetId="6" refreshError="1">
        <row r="17">
          <cell r="G17">
            <v>35000</v>
          </cell>
        </row>
        <row r="36">
          <cell r="G36">
            <v>70000</v>
          </cell>
        </row>
        <row r="39">
          <cell r="G39">
            <v>450</v>
          </cell>
        </row>
        <row r="67">
          <cell r="G67">
            <v>1250000</v>
          </cell>
        </row>
        <row r="72">
          <cell r="G72">
            <v>43000</v>
          </cell>
        </row>
        <row r="75">
          <cell r="G75">
            <v>43000</v>
          </cell>
        </row>
        <row r="80">
          <cell r="G80">
            <v>152500</v>
          </cell>
        </row>
        <row r="83">
          <cell r="G83">
            <v>20000</v>
          </cell>
        </row>
        <row r="418">
          <cell r="G418">
            <v>25000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dan Bahan"/>
      <sheetName val="Analisa SK-SNI (new)"/>
      <sheetName val="REKAP "/>
      <sheetName val="EE DRAINASE"/>
      <sheetName val="REKAP DRAINASE"/>
      <sheetName val="EE Timbunan"/>
      <sheetName val="REKAP TIMBUNAN"/>
      <sheetName val="EE PaGAR"/>
      <sheetName val="REKAP PaGAR"/>
    </sheetNames>
    <sheetDataSet>
      <sheetData sheetId="0">
        <row r="30">
          <cell r="G30">
            <v>1350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i Nelayan"/>
      <sheetName val="Pabrik Es"/>
      <sheetName val="surat"/>
      <sheetName val="Surat Penawaran"/>
      <sheetName val="Mtdd"/>
      <sheetName val="Mtd"/>
      <sheetName val="SC"/>
      <sheetName val="Harga Bahan"/>
      <sheetName val="Rekap"/>
      <sheetName val="Rab"/>
      <sheetName val="Analisa "/>
      <sheetName val="Pek. Pend, Tanah &amp; Pasir"/>
      <sheetName val="Pek. Pas. &amp; Lantai"/>
      <sheetName val="Pek. Kap Atp &amp; Plafon"/>
      <sheetName val="Pek. Beton"/>
      <sheetName val="Pek. Konsen &amp; Ventilasi"/>
      <sheetName val="Pengecetan"/>
      <sheetName val="Vol. Pek. Slasar"/>
      <sheetName val="Sheet1"/>
      <sheetName val="Sheet2"/>
    </sheetNames>
    <sheetDataSet>
      <sheetData sheetId="0"/>
      <sheetData sheetId="1"/>
      <sheetData sheetId="2"/>
      <sheetData sheetId="3"/>
      <sheetData sheetId="4"/>
      <sheetData sheetId="5"/>
      <sheetData sheetId="6"/>
      <sheetData sheetId="7">
        <row r="24">
          <cell r="L24">
            <v>120000</v>
          </cell>
        </row>
        <row r="26">
          <cell r="L26">
            <v>900</v>
          </cell>
        </row>
        <row r="31">
          <cell r="L31">
            <v>1700000</v>
          </cell>
        </row>
        <row r="32">
          <cell r="L32">
            <v>1300000</v>
          </cell>
        </row>
        <row r="33">
          <cell r="L33">
            <v>11000</v>
          </cell>
        </row>
        <row r="48">
          <cell r="L48">
            <v>31875</v>
          </cell>
        </row>
        <row r="51">
          <cell r="L51">
            <v>34500</v>
          </cell>
        </row>
        <row r="52">
          <cell r="L52">
            <v>143750</v>
          </cell>
        </row>
        <row r="58">
          <cell r="L58">
            <v>14375</v>
          </cell>
        </row>
        <row r="64">
          <cell r="L64">
            <v>23000</v>
          </cell>
        </row>
        <row r="65">
          <cell r="L65">
            <v>23000</v>
          </cell>
        </row>
        <row r="66">
          <cell r="L66">
            <v>24000</v>
          </cell>
        </row>
        <row r="77">
          <cell r="L77">
            <v>7187.5</v>
          </cell>
        </row>
        <row r="83">
          <cell r="L83">
            <v>23000</v>
          </cell>
        </row>
        <row r="84">
          <cell r="L84">
            <v>51750</v>
          </cell>
        </row>
        <row r="86">
          <cell r="L86">
            <v>14375</v>
          </cell>
        </row>
        <row r="87">
          <cell r="L87">
            <v>5750</v>
          </cell>
        </row>
        <row r="92">
          <cell r="L92">
            <v>3737.5</v>
          </cell>
        </row>
        <row r="108">
          <cell r="L108">
            <v>41250</v>
          </cell>
        </row>
      </sheetData>
      <sheetData sheetId="8"/>
      <sheetData sheetId="9"/>
      <sheetData sheetId="10">
        <row r="142">
          <cell r="J142">
            <v>99905</v>
          </cell>
        </row>
        <row r="154">
          <cell r="J154">
            <v>227305</v>
          </cell>
        </row>
        <row r="193">
          <cell r="J193">
            <v>12769.25</v>
          </cell>
        </row>
      </sheetData>
      <sheetData sheetId="11"/>
      <sheetData sheetId="12"/>
      <sheetData sheetId="13"/>
      <sheetData sheetId="14"/>
      <sheetData sheetId="15"/>
      <sheetData sheetId="16"/>
      <sheetData sheetId="17"/>
      <sheetData sheetId="18"/>
      <sheetData sheetId="19"/>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sheetName val="volume pagar"/>
      <sheetName val="polindes"/>
      <sheetName val="pagar"/>
      <sheetName val="Anl"/>
      <sheetName val="analisa"/>
      <sheetName val="Hrg satuan"/>
      <sheetName val="Upah,Bhn"/>
      <sheetName val="Subkont"/>
      <sheetName val="Personil Inti"/>
      <sheetName val="ALat Utama"/>
      <sheetName val="Jadual (2)"/>
    </sheetNames>
    <sheetDataSet>
      <sheetData sheetId="0"/>
      <sheetData sheetId="1"/>
      <sheetData sheetId="2"/>
      <sheetData sheetId="3"/>
      <sheetData sheetId="4"/>
      <sheetData sheetId="5"/>
      <sheetData sheetId="6">
        <row r="20">
          <cell r="H20">
            <v>47500</v>
          </cell>
        </row>
        <row r="21">
          <cell r="H21">
            <v>40000</v>
          </cell>
        </row>
        <row r="25">
          <cell r="H25">
            <v>10000</v>
          </cell>
        </row>
        <row r="26">
          <cell r="H26">
            <v>110000</v>
          </cell>
        </row>
        <row r="31">
          <cell r="H31">
            <v>1800</v>
          </cell>
        </row>
        <row r="32">
          <cell r="H32">
            <v>2250</v>
          </cell>
        </row>
        <row r="33">
          <cell r="H33">
            <v>3818.181818181818</v>
          </cell>
        </row>
        <row r="34">
          <cell r="H34">
            <v>3000000</v>
          </cell>
        </row>
        <row r="35">
          <cell r="H35">
            <v>1500000</v>
          </cell>
        </row>
        <row r="36">
          <cell r="H36">
            <v>1000000</v>
          </cell>
        </row>
        <row r="37">
          <cell r="H37">
            <v>10000</v>
          </cell>
        </row>
        <row r="38">
          <cell r="H38">
            <v>850</v>
          </cell>
        </row>
        <row r="40">
          <cell r="H40">
            <v>3500</v>
          </cell>
        </row>
        <row r="42">
          <cell r="H42">
            <v>12500</v>
          </cell>
        </row>
        <row r="43">
          <cell r="H43">
            <v>11250</v>
          </cell>
        </row>
        <row r="45">
          <cell r="H45">
            <v>16000</v>
          </cell>
        </row>
        <row r="46">
          <cell r="H46">
            <v>16000</v>
          </cell>
        </row>
        <row r="47">
          <cell r="H47">
            <v>48000</v>
          </cell>
        </row>
        <row r="48">
          <cell r="H48">
            <v>28000</v>
          </cell>
        </row>
        <row r="49">
          <cell r="H49">
            <v>22000</v>
          </cell>
        </row>
        <row r="50">
          <cell r="H50">
            <v>51000</v>
          </cell>
        </row>
        <row r="52">
          <cell r="H52">
            <v>80000</v>
          </cell>
        </row>
        <row r="53">
          <cell r="H53">
            <v>7000</v>
          </cell>
        </row>
        <row r="54">
          <cell r="H54">
            <v>5000</v>
          </cell>
        </row>
        <row r="62">
          <cell r="H62">
            <v>7500</v>
          </cell>
        </row>
        <row r="63">
          <cell r="H63">
            <v>5000</v>
          </cell>
        </row>
        <row r="64">
          <cell r="H64">
            <v>11100</v>
          </cell>
        </row>
        <row r="67">
          <cell r="H67">
            <v>14200</v>
          </cell>
        </row>
        <row r="68">
          <cell r="H68">
            <v>28500</v>
          </cell>
        </row>
        <row r="69">
          <cell r="H69">
            <v>21500</v>
          </cell>
        </row>
        <row r="72">
          <cell r="H72">
            <v>10500</v>
          </cell>
        </row>
        <row r="73">
          <cell r="H73">
            <v>7200</v>
          </cell>
        </row>
        <row r="74">
          <cell r="H74">
            <v>7500</v>
          </cell>
        </row>
        <row r="76">
          <cell r="H76">
            <v>12300</v>
          </cell>
        </row>
        <row r="79">
          <cell r="H79">
            <v>12500</v>
          </cell>
        </row>
        <row r="80">
          <cell r="H80">
            <v>100000</v>
          </cell>
        </row>
      </sheetData>
      <sheetData sheetId="7"/>
      <sheetData sheetId="8"/>
      <sheetData sheetId="9"/>
      <sheetData sheetId="10"/>
      <sheetData sheetId="1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NI"/>
      <sheetName val="UPAH"/>
    </sheetNames>
    <sheetDataSet>
      <sheetData sheetId="0"/>
      <sheetData sheetId="1">
        <row r="18">
          <cell r="J18">
            <v>27500</v>
          </cell>
        </row>
        <row r="20">
          <cell r="J20">
            <v>40000</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ODE"/>
      <sheetName val="ANALISA"/>
      <sheetName val="HS"/>
      <sheetName val="uraianaspal"/>
      <sheetName val="uraianII_VIII"/>
      <sheetName val="uraianIX"/>
      <sheetName val="UraianX"/>
      <sheetName val="Upah"/>
      <sheetName val="bahan"/>
      <sheetName val="alat"/>
      <sheetName val="kaputama"/>
      <sheetName val="PRODBAHAN"/>
      <sheetName val="quarry"/>
      <sheetName val="satbahan"/>
      <sheetName val="Sheet2"/>
      <sheetName val="satalat"/>
      <sheetName val="UPAH &amp; BHN ARS"/>
      <sheetName val="AHS ARS"/>
      <sheetName val="Anal"/>
      <sheetName val="DHS"/>
      <sheetName val="an-aspal"/>
      <sheetName val="RAB"/>
      <sheetName val="REKAP"/>
      <sheetName val="an_alat"/>
      <sheetName val="Sbarani"/>
      <sheetName val="data-2"/>
      <sheetName val="Analisa Harga Satuan"/>
      <sheetName val="5-ALAT(1)"/>
      <sheetName val="4-Basic Price"/>
      <sheetName val="boq"/>
      <sheetName val="UPAH_&amp;_BHN_ARS"/>
      <sheetName val="AHS_ARS"/>
      <sheetName val="UPAH_&amp;_BHN_ARS1"/>
      <sheetName val="AHS_ARS1"/>
      <sheetName val="UPAH_&amp;_BHN_ARS2"/>
      <sheetName val="AHS_ARS2"/>
      <sheetName val="UPAH_&amp;_BHN_ARS3"/>
      <sheetName val="AHS_ARS3"/>
      <sheetName val="UPAH_&amp;_BHN_ARS4"/>
      <sheetName val="AHS_ARS4"/>
      <sheetName val="UPAH_&amp;_BHN_ARS5"/>
      <sheetName val="AHS_ARS5"/>
      <sheetName val="UPAH_&amp;_BHN_ARS6"/>
      <sheetName val="AHS_ARS6"/>
      <sheetName val="UPAH_&amp;_BHN_ARS7"/>
      <sheetName val="AHS_ARS7"/>
      <sheetName val="UPAH_&amp;_BHN_ARS8"/>
      <sheetName val="AHS_ARS8"/>
      <sheetName val="UPAH_&amp;_BHN_ARS9"/>
      <sheetName val="AHS_ARS9"/>
      <sheetName val="Basicprice"/>
      <sheetName val="Material"/>
      <sheetName val="@"/>
      <sheetName val="Data"/>
      <sheetName val="DAF-HARSAT"/>
      <sheetName val="Peralatan"/>
      <sheetName val="Basic Price"/>
      <sheetName val="Daf 1"/>
      <sheetName val="Anl"/>
      <sheetName val="Manpower"/>
      <sheetName val="Equipt,Tools&amp;Cons"/>
      <sheetName val="An."/>
      <sheetName val="Anal-1"/>
      <sheetName val="NP"/>
      <sheetName val="IPA1"/>
      <sheetName val="Bank"/>
      <sheetName val="BAU"/>
      <sheetName val="Rupa2"/>
      <sheetName val="Harga S Dasar UNTUK IDISI"/>
      <sheetName val="isian"/>
      <sheetName val="DU&amp;B"/>
      <sheetName val="HARGA MATERIAL"/>
      <sheetName val="A"/>
      <sheetName val="DATUM"/>
      <sheetName val="Harsat"/>
      <sheetName val="An_pdkg"/>
      <sheetName val="Analisa Quarry"/>
      <sheetName val="S_Suramadu"/>
      <sheetName val="SATDASAR"/>
      <sheetName val="MAJOR"/>
      <sheetName val="HARGA BAHAN"/>
      <sheetName val="HARGA ALAT"/>
      <sheetName val="RINCIAN HAR06"/>
      <sheetName val="Sheet1"/>
      <sheetName val="HARGA SATUAN"/>
      <sheetName val="MAP"/>
      <sheetName val="Div6"/>
      <sheetName val="Lamp. Bahan"/>
      <sheetName val="D7"/>
      <sheetName val="Bangunan Utama"/>
      <sheetName val="FINISHING"/>
      <sheetName val="H.Satuan"/>
      <sheetName val="basic"/>
      <sheetName val="Summary"/>
      <sheetName val="Analisa (ok punya)"/>
      <sheetName val="SAT-DAS"/>
      <sheetName val="ANHAS"/>
      <sheetName val="BYALAT"/>
      <sheetName val="HSDALAT"/>
    </sheetNames>
    <sheetDataSet>
      <sheetData sheetId="0">
        <row r="13">
          <cell r="G13">
            <v>3000</v>
          </cell>
        </row>
      </sheetData>
      <sheetData sheetId="1">
        <row r="32">
          <cell r="G32">
            <v>1150</v>
          </cell>
        </row>
      </sheetData>
      <sheetData sheetId="2">
        <row r="13">
          <cell r="G13">
            <v>3000</v>
          </cell>
        </row>
      </sheetData>
      <sheetData sheetId="3">
        <row r="32">
          <cell r="G32">
            <v>1150</v>
          </cell>
        </row>
      </sheetData>
      <sheetData sheetId="4"/>
      <sheetData sheetId="5">
        <row r="13">
          <cell r="G13">
            <v>3000</v>
          </cell>
        </row>
      </sheetData>
      <sheetData sheetId="6">
        <row r="32">
          <cell r="G32">
            <v>1150</v>
          </cell>
        </row>
      </sheetData>
      <sheetData sheetId="7">
        <row r="13">
          <cell r="G13">
            <v>3000</v>
          </cell>
        </row>
        <row r="14">
          <cell r="G14">
            <v>2000</v>
          </cell>
        </row>
        <row r="15">
          <cell r="G15">
            <v>2500</v>
          </cell>
        </row>
      </sheetData>
      <sheetData sheetId="8">
        <row r="32">
          <cell r="G32">
            <v>1150</v>
          </cell>
        </row>
        <row r="33">
          <cell r="G33">
            <v>600</v>
          </cell>
        </row>
        <row r="34">
          <cell r="G34">
            <v>8500</v>
          </cell>
        </row>
      </sheetData>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refreshError="1"/>
      <sheetData sheetId="62"/>
      <sheetData sheetId="63" refreshError="1"/>
      <sheetData sheetId="64"/>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KUANTITAS"/>
      <sheetName val="ANALISA"/>
      <sheetName val="SATUAN"/>
      <sheetName val="AN-ALAT"/>
      <sheetName val="KONFIR"/>
      <sheetName val="JADWAL"/>
      <sheetName val="MP. UTAMA"/>
      <sheetName val="SUB KONTRAK"/>
      <sheetName val="ON SITE"/>
    </sheetNames>
    <sheetDataSet>
      <sheetData sheetId="0">
        <row r="21">
          <cell r="G21">
            <v>4509727283.8527498</v>
          </cell>
        </row>
      </sheetData>
      <sheetData sheetId="1"/>
      <sheetData sheetId="2"/>
      <sheetData sheetId="3"/>
      <sheetData sheetId="4"/>
      <sheetData sheetId="5"/>
      <sheetData sheetId="6"/>
      <sheetData sheetId="7"/>
      <sheetData sheetId="8"/>
      <sheetData sheetId="9"/>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P. HARIAN"/>
      <sheetName val="LAP. MINGGUAN"/>
      <sheetName val="TIME SCEDULE (2)"/>
      <sheetName val="TIME SCEDULE (3)"/>
      <sheetName val="TIME SCEDULE (1)"/>
      <sheetName val="TIME SCEDULE (4)"/>
      <sheetName val="TSRencana"/>
      <sheetName val="rab rev"/>
      <sheetName val="BAHAN-UPAH kesehtn"/>
      <sheetName val="Sheet1"/>
      <sheetName val="Upah dan Bahan"/>
      <sheetName val="volume"/>
      <sheetName val="rab"/>
      <sheetName val="Analisa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Sheet1"/>
      <sheetName val="Jadual"/>
      <sheetName val="PUSTU PAJEKO"/>
      <sheetName val="ANALISA"/>
      <sheetName val="Harga Satuan"/>
      <sheetName val="KG BESI"/>
    </sheetNames>
    <sheetDataSet>
      <sheetData sheetId="0" refreshError="1"/>
      <sheetData sheetId="1" refreshError="1"/>
      <sheetData sheetId="2"/>
      <sheetData sheetId="3"/>
      <sheetData sheetId="4">
        <row r="20">
          <cell r="K20">
            <v>435890</v>
          </cell>
        </row>
      </sheetData>
      <sheetData sheetId="5">
        <row r="20">
          <cell r="H20">
            <v>26000</v>
          </cell>
        </row>
        <row r="23">
          <cell r="H23">
            <v>40000</v>
          </cell>
        </row>
        <row r="29">
          <cell r="H29">
            <v>60000</v>
          </cell>
        </row>
        <row r="37">
          <cell r="H37">
            <v>2400000</v>
          </cell>
        </row>
        <row r="38">
          <cell r="H38">
            <v>1000000</v>
          </cell>
        </row>
        <row r="41">
          <cell r="H41">
            <v>10000</v>
          </cell>
        </row>
      </sheetData>
      <sheetData sheetId="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HARGA BARU"/>
      <sheetName val="harga"/>
      <sheetName val="analisa"/>
    </sheetNames>
    <sheetDataSet>
      <sheetData sheetId="0"/>
      <sheetData sheetId="1">
        <row r="270">
          <cell r="F270">
            <v>66000</v>
          </cell>
        </row>
        <row r="272">
          <cell r="F272">
            <v>11000</v>
          </cell>
        </row>
        <row r="282">
          <cell r="F282">
            <v>14300</v>
          </cell>
        </row>
      </sheetData>
      <sheetData sheetId="2"/>
      <sheetData sheetId="3">
        <row r="12">
          <cell r="M12">
            <v>13437.5</v>
          </cell>
        </row>
        <row r="99">
          <cell r="M99">
            <v>83375</v>
          </cell>
        </row>
        <row r="127">
          <cell r="M127">
            <v>3359.375</v>
          </cell>
        </row>
        <row r="618">
          <cell r="M618">
            <v>30062.5</v>
          </cell>
        </row>
        <row r="651">
          <cell r="M651">
            <v>309555</v>
          </cell>
        </row>
        <row r="702">
          <cell r="M702">
            <v>44817.5</v>
          </cell>
        </row>
        <row r="713">
          <cell r="M713">
            <v>374682.5</v>
          </cell>
        </row>
        <row r="877">
          <cell r="M877">
            <v>13939</v>
          </cell>
        </row>
        <row r="988">
          <cell r="M988">
            <v>52600</v>
          </cell>
        </row>
        <row r="1023">
          <cell r="M1023">
            <v>83712.5</v>
          </cell>
        </row>
        <row r="1559">
          <cell r="H1559">
            <v>292107.5</v>
          </cell>
        </row>
      </sheetData>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Analisa SK-SNI"/>
      <sheetName val="Sheet4"/>
      <sheetName val="Sheet1"/>
      <sheetName val="Sheet2"/>
      <sheetName val="Sheet3"/>
    </sheetNames>
    <sheetDataSet>
      <sheetData sheetId="0" refreshError="1"/>
      <sheetData sheetId="1" refreshError="1"/>
      <sheetData sheetId="2" refreshError="1">
        <row r="19">
          <cell r="E19">
            <v>8000</v>
          </cell>
        </row>
        <row r="26">
          <cell r="E26">
            <v>850000</v>
          </cell>
        </row>
      </sheetData>
      <sheetData sheetId="3" refreshError="1"/>
      <sheetData sheetId="4" refreshError="1"/>
      <sheetData sheetId="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PELAKSANAAN"/>
      <sheetName val="Jbtn Permanen"/>
      <sheetName val="SCEDUL"/>
      <sheetName val="Rekap"/>
      <sheetName val="KUANTITAS"/>
      <sheetName val="SUB"/>
      <sheetName val="MOB"/>
      <sheetName val="div-2"/>
      <sheetName val="GAL TNH"/>
      <sheetName val="div-3"/>
      <sheetName val="BETON"/>
      <sheetName val="GOR2"/>
      <sheetName val="Quarry"/>
      <sheetName val="HARGA"/>
      <sheetName val="umum"/>
      <sheetName val="div-4"/>
      <sheetName val="div-5"/>
      <sheetName val="div-6a"/>
      <sheetName val="div-6b"/>
      <sheetName val="alat"/>
      <sheetName val="Sheet2"/>
      <sheetName val="div-7a"/>
      <sheetName val="div-7b"/>
      <sheetName val="div-8"/>
      <sheetName val="div-9"/>
      <sheetName val="LAPEN"/>
      <sheetName val="div-10a"/>
      <sheetName val="Agg. Hls-Ksr"/>
      <sheetName val="Agg. A"/>
      <sheetName val="Agg. B"/>
      <sheetName val="plesteran +npengecatan"/>
      <sheetName val="Agg. C"/>
      <sheetName val="LPA"/>
      <sheetName val="klas a"/>
      <sheetName val="ASPL"/>
      <sheetName val="RekAn_Div9"/>
      <sheetName val="RekAn_Div10"/>
    </sheetNames>
    <sheetDataSet>
      <sheetData sheetId="0" refreshError="1"/>
      <sheetData sheetId="1" refreshError="1"/>
      <sheetData sheetId="2" refreshError="1"/>
      <sheetData sheetId="3">
        <row r="23">
          <cell r="H23">
            <v>257039447.99200001</v>
          </cell>
        </row>
      </sheetData>
      <sheetData sheetId="4">
        <row r="22">
          <cell r="J22">
            <v>25000000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8">
          <cell r="F8">
            <v>7214.2857142857147</v>
          </cell>
        </row>
      </sheetData>
      <sheetData sheetId="14" refreshError="1"/>
      <sheetData sheetId="15" refreshError="1"/>
      <sheetData sheetId="16" refreshError="1"/>
      <sheetData sheetId="17" refreshError="1"/>
      <sheetData sheetId="18" refreshError="1"/>
      <sheetData sheetId="19">
        <row r="9">
          <cell r="BB9">
            <v>88780.214829573306</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52">
          <cell r="K52" t="e">
            <v>#REF!</v>
          </cell>
        </row>
      </sheetData>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sheetName val="R.A.B.  (1)"/>
      <sheetName val="Analisa SK-SNI (new)"/>
      <sheetName val="SAMPUL"/>
      <sheetName val="Sheet4"/>
      <sheetName val="SURAT"/>
      <sheetName val="m3"/>
      <sheetName val="M4"/>
      <sheetName val="m5"/>
      <sheetName val="schedul 1"/>
      <sheetName val="m2"/>
      <sheetName val="m1"/>
      <sheetName val="BAHAN-UPAH"/>
      <sheetName val="Sheet1"/>
      <sheetName val="Sheet2"/>
      <sheetName val="Sheet3"/>
    </sheetNames>
    <sheetDataSet>
      <sheetData sheetId="0" refreshError="1"/>
      <sheetData sheetId="1">
        <row r="164">
          <cell r="G164">
            <v>1167818996.7369287</v>
          </cell>
        </row>
      </sheetData>
      <sheetData sheetId="2" refreshError="1"/>
      <sheetData sheetId="3" refreshError="1"/>
      <sheetData sheetId="4" refreshError="1"/>
      <sheetData sheetId="5" refreshError="1"/>
      <sheetData sheetId="6">
        <row r="187">
          <cell r="H187">
            <v>15.07540388068881</v>
          </cell>
        </row>
      </sheetData>
      <sheetData sheetId="7">
        <row r="187">
          <cell r="H187">
            <v>19.986923637133636</v>
          </cell>
        </row>
      </sheetData>
      <sheetData sheetId="8">
        <row r="186">
          <cell r="H186">
            <v>21.719584170682751</v>
          </cell>
        </row>
      </sheetData>
      <sheetData sheetId="9">
        <row r="129">
          <cell r="I129">
            <v>2.1588400817059692</v>
          </cell>
          <cell r="AC129">
            <v>98.098020073139509</v>
          </cell>
        </row>
      </sheetData>
      <sheetData sheetId="10">
        <row r="187">
          <cell r="H187">
            <v>9.6214175365749099</v>
          </cell>
        </row>
      </sheetData>
      <sheetData sheetId="11"/>
      <sheetData sheetId="12" refreshError="1"/>
      <sheetData sheetId="13" refreshError="1"/>
      <sheetData sheetId="14" refreshError="1"/>
      <sheetData sheetId="1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MUM (2)"/>
      <sheetName val="Cover"/>
      <sheetName val="Surat Tawar"/>
      <sheetName val="REKAPITULASI"/>
      <sheetName val="analisa"/>
      <sheetName val="ANALISA METODE"/>
      <sheetName val="paras-mekanik"/>
      <sheetName val="RAB"/>
      <sheetName val="MPI"/>
      <sheetName val="HARGA SATUAN"/>
      <sheetName val="SCHEDULE"/>
      <sheetName val="BIAYA BAHAN"/>
      <sheetName val="BIAYA ALAT"/>
      <sheetName val="SUB KONTRAK"/>
      <sheetName val="METODE PELAKSANAAN"/>
      <sheetName val="Daf-Alat"/>
      <sheetName val="Data-Person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RUT PAKET"/>
      <sheetName val="Jdwal kegiatan"/>
      <sheetName val="REKAP"/>
      <sheetName val="RAB"/>
      <sheetName val="Time Scd"/>
      <sheetName val="Lap.Mg.1"/>
      <sheetName val="ANALISA"/>
      <sheetName val="A.LISA"/>
      <sheetName val="HARGA SATUAN"/>
      <sheetName val="ANALISA-SNI"/>
      <sheetName val="E.E bangunn (2)"/>
      <sheetName val="Rekap EE bang"/>
    </sheetNames>
    <sheetDataSet>
      <sheetData sheetId="0"/>
      <sheetData sheetId="1"/>
      <sheetData sheetId="2"/>
      <sheetData sheetId="3"/>
      <sheetData sheetId="4"/>
      <sheetData sheetId="5"/>
      <sheetData sheetId="6"/>
      <sheetData sheetId="7"/>
      <sheetData sheetId="8">
        <row r="8">
          <cell r="E8">
            <v>53333.333333333336</v>
          </cell>
        </row>
        <row r="10">
          <cell r="E10">
            <v>700</v>
          </cell>
        </row>
        <row r="16">
          <cell r="E16">
            <v>7000</v>
          </cell>
        </row>
        <row r="17">
          <cell r="E17">
            <v>8500</v>
          </cell>
        </row>
        <row r="25">
          <cell r="E25">
            <v>850000</v>
          </cell>
        </row>
        <row r="96">
          <cell r="E96">
            <v>35000</v>
          </cell>
        </row>
        <row r="97">
          <cell r="E97">
            <v>27000</v>
          </cell>
        </row>
        <row r="99">
          <cell r="E99">
            <v>22500</v>
          </cell>
        </row>
      </sheetData>
      <sheetData sheetId="9" refreshError="1"/>
      <sheetData sheetId="10" refreshError="1"/>
      <sheetData sheetId="1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BQ DWG"/>
      <sheetName val="GENERAL"/>
      <sheetName val="DRAINAGE"/>
      <sheetName val="EARTH WORK"/>
      <sheetName val="SUBGRADE"/>
      <sheetName val="SHOULDER"/>
      <sheetName val="SUB BASE"/>
      <sheetName val="SURFACING"/>
      <sheetName val="STRUCTURE"/>
      <sheetName val="MISCELLANEOUS"/>
      <sheetName val="O-O COST"/>
      <sheetName val="BASIC"/>
      <sheetName val="Sheet2"/>
      <sheetName val="Sheet3"/>
      <sheetName val="DivVI"/>
      <sheetName val="bahan"/>
      <sheetName val="lap-bulan"/>
      <sheetName val="Lap-Minggu"/>
      <sheetName val="REKAP"/>
      <sheetName val="Cover"/>
      <sheetName val="5-daftar Peralatan"/>
      <sheetName val="SDM"/>
      <sheetName val="MAP"/>
      <sheetName val="rekap index eskalasi"/>
      <sheetName val="MT_an"/>
      <sheetName val="Upah dan Baha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8">
          <cell r="D28">
            <v>72000</v>
          </cell>
        </row>
        <row r="29">
          <cell r="D29">
            <v>62000</v>
          </cell>
        </row>
        <row r="30">
          <cell r="D30">
            <v>33000</v>
          </cell>
        </row>
        <row r="86">
          <cell r="D86">
            <v>1350</v>
          </cell>
        </row>
        <row r="101">
          <cell r="D101">
            <v>55727.719821162449</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1 (2)"/>
      <sheetName val="Cover 1"/>
      <sheetName val="Smpl Amplop"/>
      <sheetName val="Surat Pnwran 1 (2)"/>
      <sheetName val="Surat Pnwran 1"/>
      <sheetName val="Rekap"/>
      <sheetName val="RAB"/>
      <sheetName val=" Bahan&amp;upah"/>
      <sheetName val="Scdule"/>
      <sheetName val="Analisa RAB"/>
      <sheetName val="Dat. Vol"/>
    </sheetNames>
    <sheetDataSet>
      <sheetData sheetId="0" refreshError="1"/>
      <sheetData sheetId="1" refreshError="1"/>
      <sheetData sheetId="2" refreshError="1"/>
      <sheetData sheetId="3" refreshError="1"/>
      <sheetData sheetId="4" refreshError="1"/>
      <sheetData sheetId="5"/>
      <sheetData sheetId="6" refreshError="1"/>
      <sheetData sheetId="7">
        <row r="25">
          <cell r="H25">
            <v>37500</v>
          </cell>
        </row>
        <row r="79">
          <cell r="H79">
            <v>13750</v>
          </cell>
        </row>
        <row r="98">
          <cell r="H98">
            <v>42500</v>
          </cell>
        </row>
        <row r="99">
          <cell r="H99">
            <v>10000</v>
          </cell>
        </row>
        <row r="100">
          <cell r="H100">
            <v>27500</v>
          </cell>
        </row>
        <row r="101">
          <cell r="H101">
            <v>17500</v>
          </cell>
        </row>
        <row r="102">
          <cell r="H102">
            <v>22500</v>
          </cell>
        </row>
      </sheetData>
      <sheetData sheetId="8" refreshError="1"/>
      <sheetData sheetId="9" refreshError="1"/>
      <sheetData sheetId="1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HSP"/>
      <sheetName val="Sampul"/>
      <sheetName val="Analisa"/>
    </sheetNames>
    <sheetDataSet>
      <sheetData sheetId="0"/>
      <sheetData sheetId="1"/>
      <sheetData sheetId="2"/>
      <sheetData sheetId="3"/>
      <sheetData sheetId="4">
        <row r="94">
          <cell r="K94">
            <v>15471.5</v>
          </cell>
        </row>
        <row r="339">
          <cell r="K339">
            <v>18378.75</v>
          </cell>
        </row>
        <row r="368">
          <cell r="K368">
            <v>6880</v>
          </cell>
        </row>
      </sheetData>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HSP"/>
      <sheetName val="Sampul"/>
      <sheetName val="Analisa"/>
    </sheetNames>
    <sheetDataSet>
      <sheetData sheetId="0"/>
      <sheetData sheetId="1"/>
      <sheetData sheetId="2"/>
      <sheetData sheetId="3"/>
      <sheetData sheetId="4">
        <row r="94">
          <cell r="K94">
            <v>15471.5</v>
          </cell>
        </row>
        <row r="368">
          <cell r="K368">
            <v>6880</v>
          </cell>
        </row>
      </sheetData>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ab"/>
      <sheetName val="RAB"/>
      <sheetName val="RAB ASST"/>
      <sheetName val="REKAP AWAL"/>
      <sheetName val="REKAP MC 0"/>
      <sheetName val="Sheet1"/>
      <sheetName val="STREACKING"/>
      <sheetName val="URPIL"/>
      <sheetName val="KLAS A"/>
      <sheetName val="PB MORTAR"/>
      <sheetName val="PS BT ADUKAN"/>
      <sheetName val="LAP RESAP"/>
      <sheetName val="AC-WC 4 CM"/>
      <sheetName val="AC-WC 5 CM"/>
      <sheetName val="LAP PEREKAT"/>
      <sheetName val="AC-WC LEV 5 CM"/>
      <sheetName val="GAL BIASA"/>
      <sheetName val="BETON K300"/>
      <sheetName val="BETON K250"/>
      <sheetName val="BAJA TUL"/>
      <sheetName val="cover"/>
      <sheetName val="BETON K175"/>
      <sheetName val="GOR-GORONG"/>
      <sheetName val="BRONJONG"/>
      <sheetName val="SELOKAN"/>
      <sheetName val="data 0"/>
      <sheetName val="Foto 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DAF-2"/>
      <sheetName val="H.Satuan"/>
      <sheetName val="Fill this out first..."/>
      <sheetName val="Analisa"/>
      <sheetName val="BAG-III"/>
      <sheetName val="FORM X COST"/>
      <sheetName val="EST. SERVICEHEATEXCHANGER-ATD"/>
      <sheetName val="Cover Daf-2"/>
      <sheetName val="BAHAN"/>
      <sheetName val="Civil Costs"/>
      <sheetName val="Piperate"/>
      <sheetName val="LOADDAT"/>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CONSUMABLE"/>
      <sheetName val="harsat"/>
      <sheetName val="Material&amp;Alat"/>
      <sheetName val="DB"/>
      <sheetName val="REF.ONLY"/>
      <sheetName val="Foundation"/>
      <sheetName val="daftar harga"/>
      <sheetName val="Penunjang"/>
      <sheetName val="Hardas"/>
      <sheetName val="MAPDC"/>
      <sheetName val="Teq.an"/>
      <sheetName val="Teq.an.ccrt"/>
      <sheetName val="Teq.an.Stone"/>
      <sheetName val="BOQ"/>
      <sheetName val="An.Earth"/>
      <sheetName val="An.Ls "/>
      <sheetName val="Rekap"/>
      <sheetName val="profit_Const"/>
      <sheetName val="FORM_X_COST"/>
      <sheetName val="H_Satuan"/>
      <sheetName val="EST__SERVICEHEATEXCHANGER-ATD"/>
      <sheetName val="Cover_Daf-2"/>
      <sheetName val="Fill_this_out_first___"/>
      <sheetName val="Civil_Costs"/>
      <sheetName val="Clm"/>
      <sheetName val="Balok Slab"/>
      <sheetName val="ESCON"/>
      <sheetName val="Fill this out first___"/>
      <sheetName val="I-KAMAR"/>
      <sheetName val="BAG_III"/>
      <sheetName val="villa"/>
      <sheetName val="Bhn"/>
      <sheetName val="an.el"/>
      <sheetName val="An.AC &amp; Plb"/>
      <sheetName val="harsat_str"/>
      <sheetName val="Elektrikal"/>
      <sheetName val="Pipe"/>
      <sheetName val="Pile"/>
      <sheetName val="TB"/>
      <sheetName val="Breakdown Architecture"/>
      <sheetName val="Breakdown Structure"/>
      <sheetName val="GB"/>
      <sheetName val="Ring Balok"/>
      <sheetName val="Slab"/>
      <sheetName val="Harga ME "/>
      <sheetName val="equipment"/>
      <sheetName val="BQ-IABK"/>
      <sheetName val="ﾃｨｰﾁﾝｸﾞ"/>
      <sheetName val="SEX"/>
      <sheetName val="Daftar berat"/>
      <sheetName val="Analisa _ Upah"/>
      <sheetName val="RAP"/>
      <sheetName val="profit_Const1"/>
      <sheetName val="FORM_X_COST1"/>
      <sheetName val="H_Satuan1"/>
      <sheetName val="Fill_this_out_first___1"/>
      <sheetName val="EST__SERVICEHEATEXCHANGER-ATD1"/>
      <sheetName val="Cover_Daf-21"/>
      <sheetName val="Civil_Costs1"/>
      <sheetName val="Arc Analysis"/>
      <sheetName val="An Str"/>
      <sheetName val="daf_3_OK_"/>
      <sheetName val="daf_7_OK_"/>
      <sheetName val="Fins-Beng&amp;Fas"/>
      <sheetName val="JAN2002"/>
      <sheetName val="Bill sipil"/>
      <sheetName val="ARSITEKTUR"/>
      <sheetName val="STRUKTUR"/>
      <sheetName val="A"/>
      <sheetName val="Pendahuluan"/>
      <sheetName val="ch"/>
      <sheetName val="Data"/>
      <sheetName val="New MADC"/>
      <sheetName val="struktur tdk dipakai"/>
      <sheetName val="Sag1"/>
      <sheetName val="AN-ME"/>
      <sheetName val="BQ ME"/>
      <sheetName val="BQ Stdr"/>
      <sheetName val="SCHEDULE"/>
      <sheetName val="Database"/>
      <sheetName val="data RSUD KIS"/>
      <sheetName val="Bahan-Upah"/>
      <sheetName val="BAU"/>
      <sheetName val="HSD"/>
      <sheetName val="inp.data"/>
      <sheetName val="AP-2_Ars"/>
      <sheetName val="MPH_Ars"/>
      <sheetName val="PKP_Ars"/>
      <sheetName val="PLN_Ars"/>
      <sheetName val="Tower_Ars"/>
      <sheetName val="Str-AP2"/>
      <sheetName val="Str-MPH"/>
      <sheetName val="Str-PKP"/>
      <sheetName val="Str-PLN"/>
      <sheetName val="Str-TWR"/>
      <sheetName val="Index"/>
      <sheetName val="E_TRIKAL"/>
      <sheetName val="E_TRONIK"/>
      <sheetName val="MEK"/>
      <sheetName val="ANAL_HPS"/>
      <sheetName val="Rekap1"/>
      <sheetName val="ARSITEK"/>
      <sheetName val="HRG BHN"/>
      <sheetName val="FINISHING"/>
      <sheetName val="Analisa &amp; Upah"/>
      <sheetName val="Koef"/>
      <sheetName val="ALEK"/>
      <sheetName val="BQ"/>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an. struktur"/>
      <sheetName val="Dashboard"/>
      <sheetName val="div7"/>
      <sheetName val="rab"/>
      <sheetName val="BasicPrice"/>
      <sheetName val="harga"/>
      <sheetName val="BQ-ME"/>
      <sheetName val="Binder "/>
      <sheetName val="Anal"/>
      <sheetName val="Fak"/>
      <sheetName val="Rek-Tot"/>
      <sheetName val="Unit Rate"/>
      <sheetName val="MTO REV.0"/>
      <sheetName val="ANALIS"/>
      <sheetName val="Bill Of Quantity"/>
      <sheetName val="BASIC"/>
      <sheetName val="anal-drainase,tanah&amp;ps batu"/>
      <sheetName val="Currency Rate"/>
      <sheetName val="18. MOB (2)"/>
      <sheetName val="DRUP (ASLI)"/>
      <sheetName val="SALURAN"/>
      <sheetName val="AC"/>
      <sheetName val="Basic Price"/>
      <sheetName val="BAJA TUL"/>
      <sheetName val="Sheet2"/>
      <sheetName val="ANALISA PEK.UMUM"/>
      <sheetName val="D2.4"/>
      <sheetName val="D3-3"/>
      <sheetName val="D4.3 (TE)"/>
      <sheetName val="D5.3 (TF) "/>
      <sheetName val="D8.3 (TJ)"/>
      <sheetName val="daftar material"/>
      <sheetName val="SD"/>
      <sheetName val="ANEX1"/>
      <sheetName val="Analisa _Baku"/>
      <sheetName val="BQNSC"/>
      <sheetName val="Rekap Direct Cost"/>
      <sheetName val="price"/>
      <sheetName val="BILL"/>
      <sheetName val="부하계산서"/>
      <sheetName val="Sheet"/>
      <sheetName val="Piping"/>
      <sheetName val="Mtd_Pelak"/>
      <sheetName val="I_KAMAR"/>
      <sheetName val="Total Load List"/>
      <sheetName val="hbaup"/>
      <sheetName val="SAT-DAS"/>
      <sheetName val="Harga Bahan"/>
      <sheetName val="PO-2"/>
      <sheetName val="COA-17"/>
      <sheetName val="C-18"/>
      <sheetName val="AHSbj"/>
      <sheetName val="A+Supl."/>
      <sheetName val="7"/>
      <sheetName val="EE-PROP"/>
      <sheetName val="Pressure Gage Form"/>
      <sheetName val="4"/>
      <sheetName val="An-Alat"/>
      <sheetName val="RkpTotal"/>
      <sheetName val="eq_data"/>
      <sheetName val="analisa Str"/>
      <sheetName val="Material"/>
      <sheetName val="BAG-2"/>
      <sheetName val="Summary Sheets"/>
      <sheetName val="RFP007"/>
      <sheetName val="RFP006"/>
      <sheetName val="RFP002"/>
      <sheetName val="RFP009"/>
      <sheetName val="Daf 1"/>
      <sheetName val="BQ-E20-02(Rp)"/>
      <sheetName val="co2_data"/>
      <sheetName val="ac_data"/>
      <sheetName val="Harga Satuan"/>
      <sheetName val="div2"/>
      <sheetName val="Daftar Upah"/>
      <sheetName val="BQ F"/>
      <sheetName val="satuan_pek_ars"/>
      <sheetName val="Rekapitulasi"/>
      <sheetName val="dATA pc"/>
      <sheetName val="Kolom TG 2"/>
      <sheetName val="DETAIL BALOK"/>
      <sheetName val="DETAIL KOLOM"/>
      <sheetName val="Bill 5 Summary"/>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351BQMCN"/>
      <sheetName val="Harga Bahan &amp; Upah "/>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SNI'13 "/>
      <sheetName val="대비표"/>
      <sheetName val="JADWAL"/>
      <sheetName val="SUMMARY"/>
      <sheetName val="Analisa ME"/>
      <sheetName val="FORM"/>
      <sheetName val="URA E450"/>
      <sheetName val="AHS ME "/>
      <sheetName val="ARS"/>
      <sheetName val="REKAP TOT"/>
      <sheetName val="Bahan "/>
      <sheetName val="Upah"/>
      <sheetName val="Penwrn"/>
      <sheetName val="DATA WP"/>
      <sheetName val="CashFlow"/>
      <sheetName val="2. MVAC R1"/>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APRON TAHAP I"/>
      <sheetName val="ANALISA BARU 40 M"/>
      <sheetName val="PNT-QUOT-#3"/>
      <sheetName val="COAT&amp;WRAP-QIOT-#3"/>
      <sheetName val="THPDMoi  (2)"/>
      <sheetName val="dongia (2)"/>
      <sheetName val="ANL"/>
      <sheetName val="abcdef"/>
      <sheetName val="RAPI"/>
      <sheetName val="Scd_RAB"/>
      <sheetName val="Budget Code"/>
      <sheetName val="Bill 3"/>
      <sheetName val="analisa SNI"/>
      <sheetName val="kin_OLP_xxx"/>
      <sheetName val="Steel Pipe"/>
      <sheetName val="External PVC, PPR, HDPE"/>
      <sheetName val="Internal PVC, PPR, HDPE"/>
      <sheetName val="GI Sheet"/>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Klm Base"/>
      <sheetName val="B Lt.1a"/>
      <sheetName val="dftr upah"/>
      <sheetName val="Deep Well"/>
      <sheetName val="Pek Luar"/>
      <sheetName val="Mall"/>
      <sheetName val="Parkir"/>
      <sheetName val="concept cost code"/>
      <sheetName val="summary cost code"/>
      <sheetName val="SPK"/>
      <sheetName val="kas proyek"/>
      <sheetName val="lain lain"/>
      <sheetName val="material "/>
      <sheetName val="hg sat 2"/>
      <sheetName val="hg sat BM"/>
      <sheetName val="Lt. 1 (A)"/>
      <sheetName val="KET"/>
      <sheetName val="Mat"/>
      <sheetName val="MATE"/>
      <sheetName val="MAP"/>
      <sheetName val="Coord"/>
      <sheetName val="Breakdown"/>
      <sheetName val="Rate"/>
      <sheetName val="작성기준"/>
      <sheetName val="Analisa RAP"/>
      <sheetName val="CekList"/>
      <sheetName val="Sch Tender"/>
      <sheetName val="Analisa RAB"/>
      <sheetName val="Alat"/>
      <sheetName val="Telusur"/>
      <sheetName val="Rekap RAP"/>
      <sheetName val="TOWN"/>
      <sheetName val="custom check"/>
      <sheetName val="ub"/>
      <sheetName val="bahan SNI"/>
      <sheetName val="ut1"/>
      <sheetName val="COA"/>
      <sheetName val="analisa_gedung"/>
      <sheetName val="Lab A (FKU)"/>
      <sheetName val="SUM"/>
      <sheetName val="ANALISA HARGA ALAT"/>
      <sheetName val="ANAL.MATERIAL+ANGKUT"/>
      <sheetName val="upah bahan"/>
      <sheetName val="DAF_2"/>
      <sheetName val="Progress"/>
      <sheetName val="MATERIALS"/>
      <sheetName val="REKAPAN Base B"/>
      <sheetName val="MAPP"/>
      <sheetName val="3"/>
      <sheetName val="Analisa Harga Satuan"/>
      <sheetName val="info"/>
      <sheetName val="Material-mr"/>
      <sheetName val="Analisa -Baku"/>
      <sheetName val="Cut-Off"/>
      <sheetName val="div4"/>
      <sheetName val="div71"/>
      <sheetName val="div3"/>
      <sheetName val="RCN-KRJ"/>
      <sheetName val="Sur_Tawar"/>
      <sheetName val="Harga Dasar"/>
      <sheetName val="FORM 1 (PROD 15-5)"/>
      <sheetName val="MAPDC "/>
      <sheetName val="FORM 4 (PROD 15-8)"/>
      <sheetName val="Alat DC"/>
      <sheetName val="Pemakaian Alat+Tenaga"/>
      <sheetName val="FORM 5 (PROD 15-9)"/>
      <sheetName val="FORM 7 (PROD 15-11)"/>
      <sheetName val="Sub"/>
      <sheetName val="Eq"/>
      <sheetName val="spesifikasi"/>
      <sheetName val="sudut"/>
      <sheetName val="Rekap dpb 11"/>
      <sheetName val="TJ1Q47"/>
      <sheetName val="Agregat Halus &amp; Kasar"/>
      <sheetName val="conc-mix"/>
      <sheetName val="BACK"/>
      <sheetName val="Time Schedule"/>
      <sheetName val="Perm. Test"/>
      <sheetName val="Sumber Daya"/>
      <sheetName val="DaftarHarga"/>
      <sheetName val="Analisa Hrg Sat "/>
    </sheetNames>
    <sheetDataSet>
      <sheetData sheetId="0" refreshError="1"/>
      <sheetData sheetId="1"/>
      <sheetData sheetId="2" refreshError="1"/>
      <sheetData sheetId="3" refreshError="1"/>
      <sheetData sheetId="4" refreshError="1">
        <row r="40">
          <cell r="AI40">
            <v>0</v>
          </cell>
        </row>
        <row r="47">
          <cell r="AI47">
            <v>0</v>
          </cell>
        </row>
        <row r="52">
          <cell r="AI52">
            <v>0</v>
          </cell>
        </row>
        <row r="60">
          <cell r="AI60">
            <v>0</v>
          </cell>
        </row>
        <row r="88">
          <cell r="AI88">
            <v>0</v>
          </cell>
        </row>
        <row r="95">
          <cell r="AI95">
            <v>0</v>
          </cell>
        </row>
        <row r="104">
          <cell r="AI104">
            <v>0</v>
          </cell>
        </row>
        <row r="113">
          <cell r="AI113">
            <v>0</v>
          </cell>
        </row>
        <row r="122">
          <cell r="AI122">
            <v>0</v>
          </cell>
        </row>
        <row r="129">
          <cell r="AI129">
            <v>0</v>
          </cell>
        </row>
        <row r="138">
          <cell r="AI138">
            <v>0</v>
          </cell>
        </row>
        <row r="140">
          <cell r="AI140">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Harga MAt"/>
      <sheetName val="SITE-E"/>
      <sheetName val="SAP"/>
      <sheetName val="Foundation"/>
      <sheetName val="TONG HOP VL-NC"/>
      <sheetName val="#REF"/>
      <sheetName val="chitiet"/>
      <sheetName val="DONGIA"/>
      <sheetName val="DON GIA"/>
      <sheetName val="DG"/>
      <sheetName val="TONGKE3p "/>
      <sheetName val="VCV-BE-TONG"/>
      <sheetName val="CHITIET VL-NC"/>
      <sheetName val="H.Satuan"/>
      <sheetName val="DAF-2"/>
      <sheetName val="Fill this out first___"/>
      <sheetName val="ALEK"/>
      <sheetName val="BAG-III"/>
      <sheetName val="Analisa ME"/>
      <sheetName val="harga"/>
      <sheetName val="REF.ONLY"/>
      <sheetName val="Elektrikal"/>
      <sheetName val="Bangunan Utama"/>
      <sheetName val="Fill this out first..."/>
      <sheetName val="HB"/>
      <sheetName val="TE TS FA LAN MATV"/>
      <sheetName val="Harga_MAt"/>
      <sheetName val="Fill_this_out_first___"/>
      <sheetName val="FINISHING"/>
      <sheetName val="PLUMBING"/>
      <sheetName val="STRUKTUR"/>
      <sheetName val="valve"/>
      <sheetName val="ppr12"/>
      <sheetName val="Summary_BQ"/>
      <sheetName val="DAFTAR HARGA"/>
      <sheetName val="Anls"/>
      <sheetName val="harsat_str"/>
      <sheetName val="Koef"/>
      <sheetName val="BAHAN"/>
      <sheetName val="Mtd_Pelak"/>
      <sheetName val="div7"/>
      <sheetName val="Bhn"/>
      <sheetName val="HRG BHN"/>
      <sheetName val="anal"/>
      <sheetName val="Material"/>
      <sheetName val="Currency Rate"/>
      <sheetName val="ES-aLL"/>
      <sheetName val="A_2"/>
      <sheetName val="Analisa -Baku"/>
      <sheetName val="Rekap Direct Cost"/>
      <sheetName val="BQNSC"/>
      <sheetName val="Analisa Baku ME"/>
      <sheetName val="CONSUMABLE"/>
      <sheetName val="ANALISA PEK.UMUM"/>
      <sheetName val="Harsat"/>
      <sheetName val="Harga Satuan"/>
      <sheetName val="lap-bulan"/>
      <sheetName val="Lap-Minggu"/>
      <sheetName val="BAG_III"/>
      <sheetName val="TNHCHINH"/>
      <sheetName val="TDTKP"/>
      <sheetName val="BOQ"/>
      <sheetName val="LABTOTAL"/>
      <sheetName val="hbaup"/>
      <sheetName val="Rekap"/>
      <sheetName val="Sheet1"/>
      <sheetName val="Upah_Bahan"/>
      <sheetName val="CashFlow"/>
      <sheetName val="BQ"/>
      <sheetName val="Scd_RAB"/>
      <sheetName val="Penwrn"/>
      <sheetName val="Schedule"/>
      <sheetName val="Code 02"/>
      <sheetName val="Code 03"/>
      <sheetName val="Code 04"/>
      <sheetName val="Code 05"/>
      <sheetName val="Code 06"/>
      <sheetName val="Code 07"/>
      <sheetName val="Code 09"/>
      <sheetName val="DAF_2"/>
      <sheetName val="Hrg.Sat"/>
      <sheetName val="TH VL, NC, DDHT Thanhphuoc"/>
      <sheetName val="Tiepdia"/>
      <sheetName val="ch"/>
      <sheetName val="rab"/>
      <sheetName val="DHS"/>
      <sheetName val="an-aspal"/>
      <sheetName val="PO-2"/>
      <sheetName val="BQ ME"/>
      <sheetName val="koef-beton"/>
      <sheetName val="GASATAGG.XLS"/>
      <sheetName val="HSUMUM.XLS"/>
      <sheetName val="HSDRAIN.XLS"/>
      <sheetName val="HSTANAH"/>
      <sheetName val="HSBASE"/>
      <sheetName val="HSASPAL"/>
      <sheetName val="HSBETON"/>
      <sheetName val="HSSTRUK"/>
      <sheetName val="HSMISC.XLS"/>
      <sheetName val="alat"/>
      <sheetName val="Upah"/>
      <sheetName val="Pendahuluan"/>
      <sheetName val="UP PL"/>
      <sheetName val="Analisa Bupati"/>
      <sheetName val="OFFICE 2 LT"/>
      <sheetName val="SECURITY"/>
      <sheetName val="Telephone"/>
      <sheetName val="S System"/>
      <sheetName val="ARSITEKTUR"/>
      <sheetName val="DAFTAR HARGA SATUAN MATERIAL"/>
      <sheetName val="Cover"/>
      <sheetName val="Kontrak awal"/>
      <sheetName val="Check List LBP"/>
      <sheetName val="3.g. Ikht.Biaya"/>
      <sheetName val="Rekapitulasi"/>
      <sheetName val="Lab, Mat &amp; Plant Splits"/>
      <sheetName val="District Loading"/>
      <sheetName val="CERT"/>
      <sheetName val="Smry Wk (P I)"/>
      <sheetName val="CATU DAYA LISTRIK PLB"/>
      <sheetName val="PERALATAN UTAMA PK"/>
      <sheetName val="CATU DAYA LISTRIK PK"/>
      <sheetName val="PERALATAN &amp; KATUP2 PK"/>
      <sheetName val="PERALATAN UTAMA PLB"/>
      <sheetName val="PERALATAN &amp; KATUP2 PLB"/>
      <sheetName val="PEMIPAAN PK"/>
      <sheetName val="PEMIPAAN PLB"/>
      <sheetName val="div"/>
      <sheetName val="UPAH-BAHAN."/>
      <sheetName val="REF_ONLY"/>
      <sheetName val="Coord"/>
      <sheetName val="Bill rekap"/>
      <sheetName val="Bill sipil"/>
      <sheetName val="Material&amp;Alat"/>
      <sheetName val="DB"/>
      <sheetName val="Unit Rate"/>
      <sheetName val="BQ-ME"/>
      <sheetName val="TOWN"/>
      <sheetName val="Bunga"/>
      <sheetName val="Isolasi Luar Dalam"/>
      <sheetName val="Isolasi Luar"/>
      <sheetName val="price"/>
      <sheetName val="csdim"/>
      <sheetName val="cdsload"/>
      <sheetName val="chsload"/>
      <sheetName val="CLAMP"/>
      <sheetName val="cvsload"/>
      <sheetName val="pipe"/>
      <sheetName val="Cash in"/>
      <sheetName val="작성기준"/>
      <sheetName val=" R A B"/>
      <sheetName val="an. struktur"/>
      <sheetName val="Dashboard"/>
      <sheetName val="ES_aLL"/>
      <sheetName val="Rekap dpb 11"/>
      <sheetName val="LB 01"/>
      <sheetName val="부하(성남)"/>
      <sheetName val="material "/>
      <sheetName val="COA-17"/>
      <sheetName val="upah dan bahan"/>
      <sheetName val="Eval TW I 2014"/>
      <sheetName val="Prognosa 2014"/>
      <sheetName val="C"/>
      <sheetName val="BasicPrice"/>
      <sheetName val="dft-harga"/>
      <sheetName val="Tabels"/>
      <sheetName val="gabungan (2)"/>
      <sheetName val="I-KAMAR"/>
      <sheetName val="Soil factor"/>
      <sheetName val="Pricing-2"/>
      <sheetName val="isian"/>
      <sheetName val="Harga S Dasar UNTUK IDISI"/>
      <sheetName val="Cessie"/>
      <sheetName val="Labour"/>
      <sheetName val="INDEX"/>
      <sheetName val="rumus"/>
      <sheetName val="Harga_MAt1"/>
      <sheetName val="TONG_HOP_VL-NC"/>
      <sheetName val="DON_GIA"/>
      <sheetName val="TONGKE3p_"/>
      <sheetName val="CHITIET_VL-NC"/>
      <sheetName val="Fill_this_out_first___1"/>
      <sheetName val="H_Satuan"/>
      <sheetName val="Harga_Satuan"/>
      <sheetName val="Fill_this_out_first___2"/>
      <sheetName val="HRG_BHN"/>
      <sheetName val="Bangunan_Utama"/>
      <sheetName val="Analisa_ME"/>
      <sheetName val="Analisa_-Baku"/>
      <sheetName val="Rekap_Direct_Cost"/>
      <sheetName val="TE_TS_FA_LAN_MATV"/>
      <sheetName val="ANALISA_PEK_UMUM"/>
      <sheetName val="DAFTAR_HARGA"/>
      <sheetName val="Currency_Rate"/>
      <sheetName val="Analisa_Baku_ME"/>
      <sheetName val="DAFTAR_HARGA_SATUAN_MATERIAL"/>
      <sheetName val="Kontrak_awal"/>
      <sheetName val="Check_List_LBP"/>
      <sheetName val="3_g__Ikht_Biaya"/>
      <sheetName val="UP_PL"/>
      <sheetName val="Analisa_Bupati"/>
      <sheetName val="Code_02"/>
      <sheetName val="Code_03"/>
      <sheetName val="Code_04"/>
      <sheetName val="Code_05"/>
      <sheetName val="Code_06"/>
      <sheetName val="Code_07"/>
      <sheetName val="Code_09"/>
      <sheetName val="Bill_rekap"/>
      <sheetName val="gabungan_(2)"/>
      <sheetName val="Unit_Rate"/>
      <sheetName val="Bill_sipil"/>
      <sheetName val="Hrg_Sat"/>
      <sheetName val="TH_VL,_NC,_DDHT_Thanhphuoc"/>
      <sheetName val="Soil_factor"/>
      <sheetName val="Smry_Wk_(P_I)"/>
      <sheetName val="Harga_S_Dasar_UNTUK_IDISI"/>
      <sheetName val="UPAH-BAHAN_"/>
      <sheetName val="Harga_MAt2"/>
      <sheetName val="TONG_HOP_VL-NC1"/>
      <sheetName val="DON_GIA1"/>
      <sheetName val="TONGKE3p_1"/>
      <sheetName val="CHITIET_VL-NC1"/>
      <sheetName val="Fill_this_out_first___3"/>
      <sheetName val="H_Satuan1"/>
      <sheetName val="Harga_Satuan1"/>
      <sheetName val="Fill_this_out_first___4"/>
      <sheetName val="HRG_BHN1"/>
      <sheetName val="Bangunan_Utama1"/>
      <sheetName val="Analisa_ME1"/>
      <sheetName val="REF_ONLY1"/>
      <sheetName val="Analisa_-Baku1"/>
      <sheetName val="Rekap_Direct_Cost1"/>
      <sheetName val="TE_TS_FA_LAN_MATV1"/>
      <sheetName val="ANALISA_PEK_UMUM1"/>
      <sheetName val="DAFTAR_HARGA1"/>
      <sheetName val="Currency_Rate1"/>
      <sheetName val="Analisa_Baku_ME1"/>
      <sheetName val="DAFTAR_HARGA_SATUAN_MATERIAL1"/>
      <sheetName val="Kontrak_awal1"/>
      <sheetName val="Check_List_LBP1"/>
      <sheetName val="3_g__Ikht_Biaya1"/>
      <sheetName val="UP_PL1"/>
      <sheetName val="Analisa_Bupati1"/>
      <sheetName val="Code_021"/>
      <sheetName val="Code_031"/>
      <sheetName val="Code_041"/>
      <sheetName val="Code_051"/>
      <sheetName val="Code_061"/>
      <sheetName val="Code_071"/>
      <sheetName val="Code_091"/>
      <sheetName val="Bill_rekap1"/>
      <sheetName val="gabungan_(2)1"/>
      <sheetName val="Unit_Rate1"/>
      <sheetName val="Bill_sipil1"/>
      <sheetName val="Hrg_Sat1"/>
      <sheetName val="TH_VL,_NC,_DDHT_Thanhphuoc1"/>
      <sheetName val="Soil_factor1"/>
      <sheetName val="Smry_Wk_(P_I)1"/>
      <sheetName val="Harga_S_Dasar_UNTUK_IDISI1"/>
      <sheetName val="UPAH-BAHAN_1"/>
      <sheetName val="Harga_MAt3"/>
      <sheetName val="TONG_HOP_VL-NC2"/>
      <sheetName val="DON_GIA2"/>
      <sheetName val="TONGKE3p_2"/>
      <sheetName val="CHITIET_VL-NC2"/>
      <sheetName val="Fill_this_out_first___5"/>
      <sheetName val="H_Satuan2"/>
      <sheetName val="Harga_Satuan2"/>
      <sheetName val="Fill_this_out_first___6"/>
      <sheetName val="HRG_BHN2"/>
      <sheetName val="Bangunan_Utama2"/>
      <sheetName val="Analisa_ME2"/>
      <sheetName val="REF_ONLY2"/>
      <sheetName val="Analisa_-Baku2"/>
      <sheetName val="Rekap_Direct_Cost2"/>
      <sheetName val="TE_TS_FA_LAN_MATV2"/>
      <sheetName val="ANALISA_PEK_UMUM2"/>
      <sheetName val="DAFTAR_HARGA2"/>
      <sheetName val="Currency_Rate2"/>
      <sheetName val="Analisa_Baku_ME2"/>
      <sheetName val="DAFTAR_HARGA_SATUAN_MATERIAL2"/>
      <sheetName val="Kontrak_awal2"/>
      <sheetName val="Check_List_LBP2"/>
      <sheetName val="3_g__Ikht_Biaya2"/>
      <sheetName val="UP_PL2"/>
      <sheetName val="Analisa_Bupati2"/>
      <sheetName val="Code_022"/>
      <sheetName val="Code_032"/>
      <sheetName val="Code_042"/>
      <sheetName val="Code_052"/>
      <sheetName val="Code_062"/>
      <sheetName val="Code_072"/>
      <sheetName val="Code_092"/>
      <sheetName val="Bill_rekap2"/>
      <sheetName val="gabungan_(2)2"/>
      <sheetName val="Unit_Rate2"/>
      <sheetName val="Bill_sipil2"/>
      <sheetName val="Hrg_Sat2"/>
      <sheetName val="TH_VL,_NC,_DDHT_Thanhphuoc2"/>
      <sheetName val="Soil_factor2"/>
      <sheetName val="Smry_Wk_(P_I)2"/>
      <sheetName val="Harga_S_Dasar_UNTUK_IDISI2"/>
      <sheetName val="UPAH-BAHAN_2"/>
      <sheetName val="Harga_MAt4"/>
      <sheetName val="TONG_HOP_VL-NC3"/>
      <sheetName val="DON_GIA3"/>
      <sheetName val="TONGKE3p_3"/>
      <sheetName val="CHITIET_VL-NC3"/>
      <sheetName val="Fill_this_out_first___7"/>
      <sheetName val="H_Satuan3"/>
      <sheetName val="Harga_Satuan3"/>
      <sheetName val="Fill_this_out_first___8"/>
      <sheetName val="HRG_BHN3"/>
      <sheetName val="Bangunan_Utama3"/>
      <sheetName val="Analisa_ME3"/>
      <sheetName val="REF_ONLY3"/>
      <sheetName val="Analisa_-Baku3"/>
      <sheetName val="Rekap_Direct_Cost3"/>
      <sheetName val="TE_TS_FA_LAN_MATV3"/>
      <sheetName val="ANALISA_PEK_UMUM3"/>
      <sheetName val="DAFTAR_HARGA3"/>
      <sheetName val="Currency_Rate3"/>
      <sheetName val="Analisa_Baku_ME3"/>
      <sheetName val="DAFTAR_HARGA_SATUAN_MATERIAL3"/>
      <sheetName val="Kontrak_awal3"/>
      <sheetName val="Check_List_LBP3"/>
      <sheetName val="3_g__Ikht_Biaya3"/>
      <sheetName val="UP_PL3"/>
      <sheetName val="Analisa_Bupati3"/>
      <sheetName val="Code_023"/>
      <sheetName val="Code_033"/>
      <sheetName val="Code_043"/>
      <sheetName val="Code_053"/>
      <sheetName val="Code_063"/>
      <sheetName val="Code_073"/>
      <sheetName val="Code_093"/>
      <sheetName val="Bill_rekap3"/>
      <sheetName val="gabungan_(2)3"/>
      <sheetName val="Unit_Rate3"/>
      <sheetName val="Bill_sipil3"/>
      <sheetName val="Hrg_Sat3"/>
      <sheetName val="TH_VL,_NC,_DDHT_Thanhphuoc3"/>
      <sheetName val="Soil_factor3"/>
      <sheetName val="Smry_Wk_(P_I)3"/>
      <sheetName val="Harga_S_Dasar_UNTUK_IDISI3"/>
      <sheetName val="UPAH-BAHAN_3"/>
      <sheetName val="Harga_MAt5"/>
      <sheetName val="TONG_HOP_VL-NC4"/>
      <sheetName val="DON_GIA4"/>
      <sheetName val="TONGKE3p_4"/>
      <sheetName val="CHITIET_VL-NC4"/>
      <sheetName val="Fill_this_out_first___9"/>
      <sheetName val="H_Satuan4"/>
      <sheetName val="Harga_Satuan4"/>
      <sheetName val="Fill_this_out_first___10"/>
      <sheetName val="HRG_BHN4"/>
      <sheetName val="Bangunan_Utama4"/>
      <sheetName val="Analisa_ME4"/>
      <sheetName val="REF_ONLY4"/>
      <sheetName val="Analisa_-Baku4"/>
      <sheetName val="Rekap_Direct_Cost4"/>
      <sheetName val="TE_TS_FA_LAN_MATV4"/>
      <sheetName val="ANALISA_PEK_UMUM4"/>
      <sheetName val="DAFTAR_HARGA4"/>
      <sheetName val="Currency_Rate4"/>
      <sheetName val="Analisa_Baku_ME4"/>
      <sheetName val="DAFTAR_HARGA_SATUAN_MATERIAL4"/>
      <sheetName val="Kontrak_awal4"/>
      <sheetName val="Check_List_LBP4"/>
      <sheetName val="3_g__Ikht_Biaya4"/>
      <sheetName val="UP_PL4"/>
      <sheetName val="Analisa_Bupati4"/>
      <sheetName val="Code_024"/>
      <sheetName val="Code_034"/>
      <sheetName val="Code_044"/>
      <sheetName val="Code_054"/>
      <sheetName val="Code_064"/>
      <sheetName val="Code_074"/>
      <sheetName val="Code_094"/>
      <sheetName val="Bill_rekap4"/>
      <sheetName val="gabungan_(2)4"/>
      <sheetName val="Unit_Rate4"/>
      <sheetName val="Bill_sipil4"/>
      <sheetName val="Hrg_Sat4"/>
      <sheetName val="TH_VL,_NC,_DDHT_Thanhphuoc4"/>
      <sheetName val="Soil_factor4"/>
      <sheetName val="Smry_Wk_(P_I)4"/>
      <sheetName val="Harga_S_Dasar_UNTUK_IDISI4"/>
      <sheetName val="UPAH-BAHAN_4"/>
      <sheetName val="Harga_MAt6"/>
      <sheetName val="TONG_HOP_VL-NC5"/>
      <sheetName val="DON_GIA5"/>
      <sheetName val="TONGKE3p_5"/>
      <sheetName val="CHITIET_VL-NC5"/>
      <sheetName val="Fill_this_out_first___11"/>
      <sheetName val="H_Satuan5"/>
      <sheetName val="Harga_Satuan5"/>
      <sheetName val="Fill_this_out_first___12"/>
      <sheetName val="HRG_BHN5"/>
      <sheetName val="Bangunan_Utama5"/>
      <sheetName val="Analisa_ME5"/>
      <sheetName val="REF_ONLY5"/>
      <sheetName val="Analisa_-Baku5"/>
      <sheetName val="Rekap_Direct_Cost5"/>
      <sheetName val="TE_TS_FA_LAN_MATV5"/>
      <sheetName val="ANALISA_PEK_UMUM5"/>
      <sheetName val="DAFTAR_HARGA5"/>
      <sheetName val="Currency_Rate5"/>
      <sheetName val="Analisa_Baku_ME5"/>
      <sheetName val="DAFTAR_HARGA_SATUAN_MATERIAL5"/>
      <sheetName val="Kontrak_awal5"/>
      <sheetName val="Check_List_LBP5"/>
      <sheetName val="3_g__Ikht_Biaya5"/>
      <sheetName val="UP_PL5"/>
      <sheetName val="Analisa_Bupati5"/>
      <sheetName val="Code_025"/>
      <sheetName val="Code_035"/>
      <sheetName val="Code_045"/>
      <sheetName val="Code_055"/>
      <sheetName val="Code_065"/>
      <sheetName val="Code_075"/>
      <sheetName val="Code_095"/>
      <sheetName val="Bill_rekap5"/>
      <sheetName val="gabungan_(2)5"/>
      <sheetName val="Unit_Rate5"/>
      <sheetName val="Bill_sipil5"/>
      <sheetName val="Hrg_Sat5"/>
      <sheetName val="TH_VL,_NC,_DDHT_Thanhphuoc5"/>
      <sheetName val="Soil_factor5"/>
      <sheetName val="Smry_Wk_(P_I)5"/>
      <sheetName val="Harga_S_Dasar_UNTUK_IDISI5"/>
      <sheetName val="UPAH-BAHAN_5"/>
      <sheetName val="Peralatan"/>
      <sheetName val="3"/>
      <sheetName val="surfacing &amp; point..."/>
      <sheetName val="stone mas ARE"/>
      <sheetName val="REKAP ARSITEKTUR"/>
      <sheetName val="daftar timbngn percoba marshal"/>
      <sheetName val="ANALISA - PGRKAN"/>
      <sheetName val="REKAP AHS Lansekap"/>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4-Basic Price"/>
      <sheetName val="D7(1)"/>
      <sheetName val="info"/>
      <sheetName val="UNIT 01,02,03,04"/>
      <sheetName val="Code"/>
      <sheetName val="Factor"/>
      <sheetName val="FORM X COST"/>
      <sheetName val="C-18"/>
      <sheetName val="ESCON"/>
      <sheetName val="I_Jan"/>
      <sheetName val="ref"/>
      <sheetName val="villa"/>
      <sheetName val="BQ-Str"/>
      <sheetName val="Mat.Elk"/>
      <sheetName val="P.LS"/>
      <sheetName val="AHS"/>
      <sheetName val="Single line AC"/>
      <sheetName val="Lampu"/>
      <sheetName val="P.AC"/>
      <sheetName val="elekt"/>
      <sheetName val="rekap panel"/>
      <sheetName val="MTO REV.0"/>
      <sheetName val="TOWER-B"/>
      <sheetName val="Hrg-elemen"/>
      <sheetName val="LISTRIK"/>
      <sheetName val="RINCIAN HK DIVISI"/>
      <sheetName val="9"/>
      <sheetName val="LOK_A"/>
      <sheetName val="daf-3(OK)"/>
      <sheetName val="daf-7(OK)"/>
      <sheetName val="Data"/>
      <sheetName val="custom check"/>
      <sheetName val="A+Supl."/>
      <sheetName val="7"/>
      <sheetName val="EE-PROP"/>
      <sheetName val="tarip"/>
      <sheetName val="tunj."/>
      <sheetName val="A"/>
      <sheetName val="trf-d-w"/>
      <sheetName val="trf d-i"/>
      <sheetName val="tarif"/>
      <sheetName val="trf"/>
      <sheetName val="610 6"/>
      <sheetName val="rpp 1-5"/>
      <sheetName val="rpp 1-6"/>
      <sheetName val="Eval_TW_I_20141"/>
      <sheetName val="Prognosa_20141"/>
      <sheetName val="an__struktur1"/>
      <sheetName val="surfacing_&amp;_point___1"/>
      <sheetName val="stone_mas_ARE1"/>
      <sheetName val="REKAP_ARSITEKTUR1"/>
      <sheetName val="ANALISA_-_PGRKAN1"/>
      <sheetName val="REKAP_AHS_Lansekap1"/>
      <sheetName val="OFFICE_2_LT1"/>
      <sheetName val="S_System1"/>
      <sheetName val="daftar_timbngn_percoba_marshal1"/>
      <sheetName val="clg_fin1"/>
      <sheetName val="flr_fin1"/>
      <sheetName val="timber_frame1"/>
      <sheetName val="Wall_Qty1"/>
      <sheetName val="roof_fin1"/>
      <sheetName val="Flr,_Rf_Bm1"/>
      <sheetName val="Flr_Slb,_stair1"/>
      <sheetName val="Gd_Bm1"/>
      <sheetName val="PC,_G_Slab1"/>
      <sheetName val="wall_fin1"/>
      <sheetName val="BQ_ME1"/>
      <sheetName val="Isolasi_Luar_Dalam1"/>
      <sheetName val="Isolasi_Luar1"/>
      <sheetName val="FORM_X_COST1"/>
      <sheetName val="UNIT_01,02,03,041"/>
      <sheetName val="Lab,_Mat_&amp;_Plant_Splits1"/>
      <sheetName val="District_Loading1"/>
      <sheetName val="CATU_DAYA_LISTRIK_PLB1"/>
      <sheetName val="PERALATAN_UTAMA_PK1"/>
      <sheetName val="CATU_DAYA_LISTRIK_PK1"/>
      <sheetName val="PERALATAN_&amp;_KATUP2_PK1"/>
      <sheetName val="PERALATAN_UTAMA_PLB1"/>
      <sheetName val="PERALATAN_&amp;_KATUP2_PLB1"/>
      <sheetName val="PEMIPAAN_PK1"/>
      <sheetName val="PEMIPAAN_PLB1"/>
      <sheetName val="Cash_in1"/>
      <sheetName val="_R_A_B1"/>
      <sheetName val="Rekap_dpb_111"/>
      <sheetName val="LB_011"/>
      <sheetName val="material_1"/>
      <sheetName val="Mat_Elk1"/>
      <sheetName val="P_LS1"/>
      <sheetName val="Single_line_AC1"/>
      <sheetName val="P_AC1"/>
      <sheetName val="rekap_panel1"/>
      <sheetName val="MTO_REV_01"/>
      <sheetName val="RINCIAN_HK_DIVISI1"/>
      <sheetName val="Eval_TW_I_2014"/>
      <sheetName val="Prognosa_2014"/>
      <sheetName val="an__struktur"/>
      <sheetName val="surfacing_&amp;_point___"/>
      <sheetName val="stone_mas_ARE"/>
      <sheetName val="REKAP_ARSITEKTUR"/>
      <sheetName val="ANALISA_-_PGRKAN"/>
      <sheetName val="REKAP_AHS_Lansekap"/>
      <sheetName val="OFFICE_2_LT"/>
      <sheetName val="S_System"/>
      <sheetName val="daftar_timbngn_percoba_marshal"/>
      <sheetName val="clg_fin"/>
      <sheetName val="flr_fin"/>
      <sheetName val="timber_frame"/>
      <sheetName val="Wall_Qty"/>
      <sheetName val="roof_fin"/>
      <sheetName val="Flr,_Rf_Bm"/>
      <sheetName val="Flr_Slb,_stair"/>
      <sheetName val="Gd_Bm"/>
      <sheetName val="PC,_G_Slab"/>
      <sheetName val="wall_fin"/>
      <sheetName val="BQ_ME"/>
      <sheetName val="Isolasi_Luar_Dalam"/>
      <sheetName val="FORM_X_COST"/>
      <sheetName val="UNIT_01,02,03,04"/>
      <sheetName val="Lab,_Mat_&amp;_Plant_Splits"/>
      <sheetName val="District_Loading"/>
      <sheetName val="CATU_DAYA_LISTRIK_PLB"/>
      <sheetName val="PERALATAN_UTAMA_PK"/>
      <sheetName val="CATU_DAYA_LISTRIK_PK"/>
      <sheetName val="PERALATAN_&amp;_KATUP2_PK"/>
      <sheetName val="PERALATAN_UTAMA_PLB"/>
      <sheetName val="PERALATAN_&amp;_KATUP2_PLB"/>
      <sheetName val="PEMIPAAN_PK"/>
      <sheetName val="PEMIPAAN_PLB"/>
      <sheetName val="Isolasi_Luar"/>
      <sheetName val="Cash_in"/>
      <sheetName val="_R_A_B"/>
      <sheetName val="Rekap_dpb_11"/>
      <sheetName val="LB_01"/>
      <sheetName val="material_"/>
      <sheetName val="Mat_Elk"/>
      <sheetName val="P_LS"/>
      <sheetName val="Single_line_AC"/>
      <sheetName val="P_AC"/>
      <sheetName val="rekap_panel"/>
      <sheetName val="MTO_REV_0"/>
      <sheetName val="RINCIAN_HK_DIVISI"/>
      <sheetName val="custom_check"/>
      <sheetName val="A+Supl_"/>
      <sheetName val="custom_check1"/>
      <sheetName val="A+Supl_1"/>
      <sheetName val="Eval_TW_I_20142"/>
      <sheetName val="Prognosa_20142"/>
      <sheetName val="an__struktur2"/>
      <sheetName val="surfacing_&amp;_point___2"/>
      <sheetName val="stone_mas_ARE2"/>
      <sheetName val="REKAP_ARSITEKTUR2"/>
      <sheetName val="ANALISA_-_PGRKAN2"/>
      <sheetName val="REKAP_AHS_Lansekap2"/>
      <sheetName val="OFFICE_2_LT2"/>
      <sheetName val="S_System2"/>
      <sheetName val="daftar_timbngn_percoba_marshal2"/>
      <sheetName val="clg_fin2"/>
      <sheetName val="flr_fin2"/>
      <sheetName val="timber_frame2"/>
      <sheetName val="Wall_Qty2"/>
      <sheetName val="roof_fin2"/>
      <sheetName val="Flr,_Rf_Bm2"/>
      <sheetName val="Flr_Slb,_stair2"/>
      <sheetName val="Gd_Bm2"/>
      <sheetName val="PC,_G_Slab2"/>
      <sheetName val="wall_fin2"/>
      <sheetName val="BQ_ME2"/>
      <sheetName val="Isolasi_Luar_Dalam2"/>
      <sheetName val="Isolasi_Luar2"/>
      <sheetName val="FORM_X_COST2"/>
      <sheetName val="UNIT_01,02,03,042"/>
      <sheetName val="Lab,_Mat_&amp;_Plant_Splits2"/>
      <sheetName val="District_Loading2"/>
      <sheetName val="CATU_DAYA_LISTRIK_PLB2"/>
      <sheetName val="PERALATAN_UTAMA_PK2"/>
      <sheetName val="CATU_DAYA_LISTRIK_PK2"/>
      <sheetName val="PERALATAN_&amp;_KATUP2_PK2"/>
      <sheetName val="PERALATAN_UTAMA_PLB2"/>
      <sheetName val="PERALATAN_&amp;_KATUP2_PLB2"/>
      <sheetName val="PEMIPAAN_PK2"/>
      <sheetName val="PEMIPAAN_PLB2"/>
      <sheetName val="Cash_in2"/>
      <sheetName val="_R_A_B2"/>
      <sheetName val="Rekap_dpb_112"/>
      <sheetName val="LB_012"/>
      <sheetName val="material_2"/>
      <sheetName val="Mat_Elk2"/>
      <sheetName val="P_LS2"/>
      <sheetName val="Single_line_AC2"/>
      <sheetName val="P_AC2"/>
      <sheetName val="rekap_panel2"/>
      <sheetName val="MTO_REV_02"/>
      <sheetName val="RINCIAN_HK_DIVISI2"/>
      <sheetName val="custom_check2"/>
      <sheetName val="A+Supl_2"/>
      <sheetName val="Eval_TW_I_20143"/>
      <sheetName val="Prognosa_20143"/>
      <sheetName val="an__struktur3"/>
      <sheetName val="surfacing_&amp;_point___3"/>
      <sheetName val="stone_mas_ARE3"/>
      <sheetName val="REKAP_ARSITEKTUR3"/>
      <sheetName val="ANALISA_-_PGRKAN3"/>
      <sheetName val="REKAP_AHS_Lansekap3"/>
      <sheetName val="OFFICE_2_LT3"/>
      <sheetName val="S_System3"/>
      <sheetName val="daftar_timbngn_percoba_marshal3"/>
      <sheetName val="clg_fin3"/>
      <sheetName val="flr_fin3"/>
      <sheetName val="timber_frame3"/>
      <sheetName val="Wall_Qty3"/>
      <sheetName val="roof_fin3"/>
      <sheetName val="Flr,_Rf_Bm3"/>
      <sheetName val="Flr_Slb,_stair3"/>
      <sheetName val="Gd_Bm3"/>
      <sheetName val="PC,_G_Slab3"/>
      <sheetName val="wall_fin3"/>
      <sheetName val="BQ_ME3"/>
      <sheetName val="Isolasi_Luar_Dalam3"/>
      <sheetName val="FORM_X_COST3"/>
      <sheetName val="UNIT_01,02,03,043"/>
      <sheetName val="Lab,_Mat_&amp;_Plant_Splits3"/>
      <sheetName val="District_Loading3"/>
      <sheetName val="CATU_DAYA_LISTRIK_PLB3"/>
      <sheetName val="PERALATAN_UTAMA_PK3"/>
      <sheetName val="CATU_DAYA_LISTRIK_PK3"/>
      <sheetName val="PERALATAN_&amp;_KATUP2_PK3"/>
      <sheetName val="PERALATAN_UTAMA_PLB3"/>
      <sheetName val="PERALATAN_&amp;_KATUP2_PLB3"/>
      <sheetName val="PEMIPAAN_PK3"/>
      <sheetName val="PEMIPAAN_PLB3"/>
      <sheetName val="Isolasi_Luar3"/>
      <sheetName val="Cash_in3"/>
      <sheetName val="_R_A_B3"/>
      <sheetName val="Rekap_dpb_113"/>
      <sheetName val="LB_013"/>
      <sheetName val="material_3"/>
      <sheetName val="Mat_Elk3"/>
      <sheetName val="P_LS3"/>
      <sheetName val="Single_line_AC3"/>
      <sheetName val="P_AC3"/>
      <sheetName val="rekap_panel3"/>
      <sheetName val="MTO_REV_03"/>
      <sheetName val="RINCIAN_HK_DIVISI3"/>
      <sheetName val="custom_check3"/>
      <sheetName val="A+Supl_3"/>
      <sheetName val="tunj_"/>
      <sheetName val="trf_d-i"/>
      <sheetName val="610_6"/>
      <sheetName val="rpp_1-5"/>
      <sheetName val="rpp_1-6"/>
      <sheetName val="nc-m"/>
      <sheetName val="BAG_2"/>
      <sheetName val="ARS ADM"/>
      <sheetName val="FORM"/>
      <sheetName val="Harga ME "/>
      <sheetName val="is"/>
      <sheetName val="workingcap"/>
      <sheetName val="trans_sum"/>
      <sheetName val="inputs"/>
      <sheetName val="DAF-5"/>
      <sheetName val="ANTISIPASI"/>
      <sheetName val="CASDIV"/>
      <sheetName val="CASLAP"/>
      <sheetName val="HUTDIV"/>
      <sheetName val="HUTLAP"/>
      <sheetName val="PBK-01"/>
      <sheetName val="BARCHART"/>
      <sheetName val="MUA"/>
      <sheetName val="Asumsi"/>
      <sheetName val="HARGA MATERIAL"/>
      <sheetName val="Daf 1"/>
      <sheetName val="I_KAMAR"/>
      <sheetName val="lookup"/>
      <sheetName val="????"/>
      <sheetName val="??(??)"/>
      <sheetName val="Formula"/>
      <sheetName val="KOEFISIEN TEKNIS"/>
      <sheetName val="(ANALISA-lain)"/>
      <sheetName val="UBA RAB"/>
      <sheetName val="Daf_Anl"/>
      <sheetName val="corefwrate"/>
      <sheetName val="ANALISA 2010"/>
      <sheetName val="ﾃｨｰﾁﾝｸﾞ"/>
      <sheetName val="Rab-Plumbing"/>
      <sheetName val="Rekap-PL"/>
      <sheetName val="____"/>
      <sheetName val="__(__)"/>
      <sheetName val="COSTCODE"/>
      <sheetName val="struktur tdk dipakai"/>
      <sheetName val="UPAH "/>
      <sheetName val="RAP"/>
      <sheetName val="Sub"/>
      <sheetName val="Materials"/>
      <sheetName val="Customize Your Invoice"/>
      <sheetName val="Invoice"/>
      <sheetName val="prime coal"/>
      <sheetName val="UBAH"/>
      <sheetName val="Harsat Elektrikal "/>
      <sheetName val="TRAFO"/>
      <sheetName val="komponen"/>
      <sheetName val="ah sanitary"/>
      <sheetName val="Anl"/>
      <sheetName val="bahan 2004"/>
      <sheetName val="PT."/>
      <sheetName val="Input"/>
      <sheetName val="Huruf"/>
      <sheetName val="ut1"/>
      <sheetName val="RAB-ARS"/>
      <sheetName val="HSBU"/>
      <sheetName val="ARAB"/>
      <sheetName val="DAF.ALAT"/>
      <sheetName val="5-ALAT(1)"/>
      <sheetName val="Div2"/>
      <sheetName val="bilangan"/>
      <sheetName val="MAPP"/>
      <sheetName val="beton"/>
      <sheetName val="BAU"/>
      <sheetName val="BONBIRU"/>
      <sheetName val="div4"/>
      <sheetName val="div71"/>
      <sheetName val="div31"/>
      <sheetName val="div3"/>
      <sheetName val="Estimate"/>
      <sheetName val="Scedule"/>
      <sheetName val="harga.bahan"/>
      <sheetName val="Du_lieu"/>
      <sheetName val="REKAP FS"/>
      <sheetName val="REKAP TOTAL"/>
      <sheetName val="REKAP FD"/>
      <sheetName val="Analisa Upah _ Bahan Plum"/>
      <sheetName val="B.T"/>
      <sheetName val="DU&amp;B"/>
      <sheetName val="PROGBLN"/>
      <sheetName val="depan"/>
      <sheetName val="TENGAH"/>
      <sheetName val="CF"/>
      <sheetName val="Rekap "/>
      <sheetName val="Prelim"/>
      <sheetName val="Analisa ME "/>
      <sheetName val="Direct Cost"/>
      <sheetName val="upah bahan "/>
      <sheetName val="bank"/>
      <sheetName val="Sheet3"/>
      <sheetName val="DASAR"/>
      <sheetName val="besi"/>
      <sheetName val="Terbilang"/>
      <sheetName val="basic"/>
      <sheetName val="HDM"/>
      <sheetName val="HDA"/>
      <sheetName val="MTD"/>
      <sheetName val="HDU"/>
      <sheetName val="DRUP (ASLI)"/>
      <sheetName val="perkerasan rigid"/>
      <sheetName val="an.dmpu"/>
      <sheetName val="Rencana vs Realisasi"/>
      <sheetName val="Kurs"/>
      <sheetName val="Upah &amp; Bahan"/>
      <sheetName val="BoQ(APBN)"/>
      <sheetName val="Divisi1"/>
      <sheetName val="metode.pu"/>
      <sheetName val="CTSB"/>
      <sheetName val="BQ-1A"/>
      <sheetName val="4"/>
      <sheetName val="Kuantitas-Jbt"/>
      <sheetName val="DaftarHarga"/>
      <sheetName val="Analisa Hrg Sat "/>
      <sheetName val="di2"/>
      <sheetName val="nama PT."/>
      <sheetName val="Hsatbahan"/>
      <sheetName val="D &amp; W sizes"/>
      <sheetName val="Markup"/>
      <sheetName val="PEKERJAAN PERSIAPAN"/>
      <sheetName val="Ans Kom Precast"/>
      <sheetName val="PJ"/>
      <sheetName val="UPAH &amp; BHN"/>
      <sheetName val="3Div10a"/>
      <sheetName val="3Div10c"/>
      <sheetName val="3Div2"/>
      <sheetName val="3Div3"/>
      <sheetName val="3Div5"/>
      <sheetName val="3Div6"/>
      <sheetName val="3Div7"/>
      <sheetName val="3Div7a"/>
      <sheetName val="3Div8"/>
      <sheetName val="ANALISA ALAT"/>
      <sheetName val="SUMMARY"/>
      <sheetName val="D7"/>
      <sheetName val="Urut kabupaten"/>
      <sheetName val="5-Peralatan"/>
      <sheetName val="TDP"/>
      <sheetName val="U&amp;B"/>
      <sheetName val="persiapan"/>
      <sheetName val="Analisa Upah &amp; Bahan Plum"/>
      <sheetName val="Progress"/>
      <sheetName val="anal_hs"/>
      <sheetName val="Satuan Upah &amp; Bahan"/>
      <sheetName val="reg"/>
      <sheetName val="TIMBUNAN"/>
      <sheetName val="tack coat 1 Kg"/>
      <sheetName val="PENGEC. MARKING"/>
      <sheetName val="GL_Account"/>
      <sheetName val="ANALISA STRIPING"/>
      <sheetName val="Infor Umum"/>
      <sheetName val="Harga S Dasar"/>
      <sheetName val="Harga Dasar"/>
      <sheetName val="D3"/>
      <sheetName val="D6"/>
      <sheetName val="10.1 (1)"/>
      <sheetName val="10.1 (2)"/>
      <sheetName val="10.1 (3)"/>
      <sheetName val="10.1 (4)"/>
      <sheetName val="10.1 (5)"/>
      <sheetName val="ac"/>
      <sheetName val="Grand Rekap"/>
      <sheetName val="IT"/>
      <sheetName val="Pemadam"/>
      <sheetName val="uba"/>
      <sheetName val="Kosong"/>
      <sheetName val="NP"/>
      <sheetName val="Daftar Upah"/>
      <sheetName val="upah bahan"/>
      <sheetName val="Rekap 2017"/>
      <sheetName val="BL"/>
      <sheetName val="4-Quarry"/>
      <sheetName val="Koefisien"/>
      <sheetName val="harga_bahan"/>
      <sheetName val="Harga_S_Dasar"/>
      <sheetName val="Bebandanjenis"/>
      <sheetName val="ppkp"/>
      <sheetName val="ruasdanjembatan"/>
      <sheetName val="3-DIV2"/>
      <sheetName val="LAP   (4)"/>
      <sheetName val="LAP   (11)"/>
      <sheetName val="Analisa 2"/>
      <sheetName val="Calcu 02"/>
      <sheetName val="An-Pek-Arui"/>
      <sheetName val="Owning"/>
      <sheetName val="Bill of Qty"/>
      <sheetName val="galiansal"/>
      <sheetName val="ANAL KOEF"/>
      <sheetName val="SKD"/>
      <sheetName val="An.alat"/>
      <sheetName val="SEDULC"/>
      <sheetName val="AN-ALAT"/>
      <sheetName val="SATUAN DASAR"/>
      <sheetName val="HALO"/>
      <sheetName val="ES STG"/>
      <sheetName val="BQ-E20-02(Rp)"/>
      <sheetName val="COA"/>
      <sheetName val="gvl"/>
      <sheetName val="TJ1Q47"/>
      <sheetName val="Rincian"/>
      <sheetName val="DATA_feed"/>
      <sheetName val="BALANCE"/>
      <sheetName val="CH_FL_YEAR"/>
      <sheetName val="INC_FUN_FIN"/>
      <sheetName val="JADWAL"/>
      <sheetName val="ALT"/>
      <sheetName val="an.el"/>
      <sheetName val="An.AC &amp; Plb"/>
      <sheetName val="Analisa RAP"/>
      <sheetName val="Telusur"/>
      <sheetName val="Analisa RAB"/>
      <sheetName val="HB "/>
      <sheetName val="AN.BIAYA MAKAN"/>
      <sheetName val="Bill 1 - 9"/>
      <sheetName val="Bill 12"/>
      <sheetName val="Bill 10"/>
      <sheetName val="Rekap Prelim"/>
      <sheetName val="Assumption"/>
      <sheetName val="Chart"/>
      <sheetName val="analisa SNI"/>
      <sheetName val="data_val"/>
      <sheetName val="Analisa PDAM smd 2014"/>
      <sheetName val="UPH"/>
      <sheetName val="ANALIS ALAT"/>
      <sheetName val="HOLDING-TB"/>
      <sheetName val="CIVIL"/>
      <sheetName val="Entities"/>
      <sheetName val="NAME"/>
      <sheetName val="SCH"/>
      <sheetName val="Bahan Upah"/>
      <sheetName val="Connections"/>
      <sheetName val="DWTables"/>
      <sheetName val="Hardasar-PSJJ"/>
      <sheetName val="Sat Bah &amp; Up"/>
      <sheetName val="HB me"/>
      <sheetName val="#REF!"/>
      <sheetName val="Harga_MAt7"/>
      <sheetName val="TONG_HOP_VL-NC6"/>
      <sheetName val="DON_GIA6"/>
      <sheetName val="TONGKE3p_6"/>
      <sheetName val="CHITIET_VL-NC6"/>
      <sheetName val="H_Satuan6"/>
      <sheetName val="Fill_this_out_first___13"/>
      <sheetName val="Analisa_ME6"/>
      <sheetName val="REF_ONLY6"/>
      <sheetName val="Bangunan_Utama6"/>
      <sheetName val="Fill_this_out_first___14"/>
      <sheetName val="TE_TS_FA_LAN_MATV6"/>
      <sheetName val="DAFTAR_HARGA6"/>
      <sheetName val="HRG_BHN6"/>
      <sheetName val="Currency_Rate6"/>
      <sheetName val="Analisa_-Baku6"/>
      <sheetName val="Rekap_Direct_Cost6"/>
      <sheetName val="Analisa_Baku_ME6"/>
      <sheetName val="ANALISA_PEK_UMUM6"/>
      <sheetName val="Harga_Satuan6"/>
      <sheetName val="Code_026"/>
      <sheetName val="Code_036"/>
      <sheetName val="Code_046"/>
      <sheetName val="Code_056"/>
      <sheetName val="Code_066"/>
      <sheetName val="Code_076"/>
      <sheetName val="Code_096"/>
      <sheetName val="Hrg_Sat6"/>
      <sheetName val="TH_VL,_NC,_DDHT_Thanhphuoc6"/>
      <sheetName val="Harga_S_Dasar_UNTUK_IDISI6"/>
      <sheetName val="UP_PL6"/>
      <sheetName val="Analisa_Bupati6"/>
      <sheetName val="BQ_ME4"/>
      <sheetName val="DAFTAR_HARGA_SATUAN_MATERIAL6"/>
      <sheetName val="Kontrak_awal6"/>
      <sheetName val="Check_List_LBP6"/>
      <sheetName val="3_g__Ikht_Biaya6"/>
      <sheetName val="Bill_rekap6"/>
      <sheetName val="gabungan_(2)6"/>
      <sheetName val="Unit_Rate6"/>
      <sheetName val="Bill_sipil6"/>
      <sheetName val="Soil_factor6"/>
      <sheetName val="Smry_Wk_(P_I)6"/>
      <sheetName val="UPAH-BAHAN_6"/>
      <sheetName val="REKAP_ARSITEKTUR4"/>
      <sheetName val="surfacing_&amp;_point___4"/>
      <sheetName val="stone_mas_ARE4"/>
      <sheetName val="Eval_TW_I_20144"/>
      <sheetName val="Prognosa_20144"/>
      <sheetName val="an__struktur4"/>
      <sheetName val="ANALISA_-_PGRKAN4"/>
      <sheetName val="REKAP_AHS_Lansekap4"/>
      <sheetName val="OFFICE_2_LT4"/>
      <sheetName val="S_System4"/>
      <sheetName val="daftar_timbngn_percoba_marshal4"/>
      <sheetName val="clg_fin4"/>
      <sheetName val="flr_fin4"/>
      <sheetName val="timber_frame4"/>
      <sheetName val="Wall_Qty4"/>
      <sheetName val="roof_fin4"/>
      <sheetName val="Flr,_Rf_Bm4"/>
      <sheetName val="Flr_Slb,_stair4"/>
      <sheetName val="Gd_Bm4"/>
      <sheetName val="PC,_G_Slab4"/>
      <sheetName val="wall_fin4"/>
      <sheetName val="UNIT_01,02,03,044"/>
      <sheetName val="Isolasi_Luar_Dalam4"/>
      <sheetName val="FORM_X_COST4"/>
      <sheetName val="Isolasi_Luar4"/>
      <sheetName val="CATU_DAYA_LISTRIK_PLB4"/>
      <sheetName val="PERALATAN_UTAMA_PK4"/>
      <sheetName val="CATU_DAYA_LISTRIK_PK4"/>
      <sheetName val="PERALATAN_&amp;_KATUP2_PK4"/>
      <sheetName val="PERALATAN_UTAMA_PLB4"/>
      <sheetName val="PERALATAN_&amp;_KATUP2_PLB4"/>
      <sheetName val="PEMIPAAN_PK4"/>
      <sheetName val="PEMIPAAN_PLB4"/>
      <sheetName val="material_4"/>
      <sheetName val="_R_A_B4"/>
      <sheetName val="Rekap_dpb_114"/>
      <sheetName val="LB_014"/>
      <sheetName val="Cash_in4"/>
      <sheetName val="Mat_Elk4"/>
      <sheetName val="P_LS4"/>
      <sheetName val="Single_line_AC4"/>
      <sheetName val="P_AC4"/>
      <sheetName val="rekap_panel4"/>
      <sheetName val="MTO_REV_04"/>
      <sheetName val="Lab,_Mat_&amp;_Plant_Splits4"/>
      <sheetName val="District_Loading4"/>
      <sheetName val="RINCIAN_HK_DIVISI4"/>
      <sheetName val="custom_check4"/>
      <sheetName val="A+Supl_4"/>
      <sheetName val="tunj_1"/>
      <sheetName val="trf_d-i1"/>
      <sheetName val="610_61"/>
      <sheetName val="rpp_1-51"/>
      <sheetName val="rpp_1-61"/>
      <sheetName val="struktur_tdk_dipakai"/>
      <sheetName val="ARS_ADM"/>
      <sheetName val="ANALISA_2010"/>
      <sheetName val="4-Basic_Price"/>
      <sheetName val="DAF_ALAT"/>
      <sheetName val="UBA_RAB"/>
      <sheetName val="Harga_ME_"/>
      <sheetName val="PT_"/>
      <sheetName val="ANALISA_ALAT"/>
      <sheetName val="bahan_2004"/>
      <sheetName val="UPAH_"/>
      <sheetName val="ES_STG"/>
      <sheetName val="HARGA_MATERIAL"/>
      <sheetName val="KOEFISIEN_TEKNIS"/>
      <sheetName val="Harsat_Elektrikal_"/>
      <sheetName val="Daf_1"/>
      <sheetName val="REKAP_FS"/>
      <sheetName val="REKAP_TOTAL"/>
      <sheetName val="REKAP_FD"/>
      <sheetName val="Analisa_Upah___Bahan_Plum"/>
      <sheetName val="Grand_Rekap"/>
      <sheetName val="Sat_Bah_&amp;_Up"/>
      <sheetName val="HB_me"/>
      <sheetName val="Rekap_"/>
      <sheetName val="GASATAGG_XLS"/>
      <sheetName val="HSUMUM_XLS"/>
      <sheetName val="HSDRAIN_XLS"/>
      <sheetName val="HSMISC_XLS"/>
      <sheetName val="nama_PT_"/>
      <sheetName val="D_&amp;_W_sizes"/>
      <sheetName val="PEKERJAAN_PERSIAPAN"/>
      <sheetName val="Ans_Kom_Precast"/>
      <sheetName val="UPAH_&amp;_BHN"/>
      <sheetName val="ah_sanitary"/>
      <sheetName val="Analisa_ME_"/>
      <sheetName val="Direct_Cost"/>
      <sheetName val="Jrnl_Kas"/>
      <sheetName val="Div. 4"/>
      <sheetName val="25"/>
      <sheetName val="PEK-HARIAN"/>
      <sheetName val="Kuantitas &amp; Harga"/>
      <sheetName val="MAKER (E)"/>
      <sheetName val="Contract-Data"/>
      <sheetName val="Analisa HSP"/>
      <sheetName val="Met1"/>
      <sheetName val="Met2"/>
      <sheetName val="Breakdown Architecture"/>
      <sheetName val="Breakdown Structure"/>
      <sheetName val="MAP"/>
      <sheetName val="Analisa K"/>
      <sheetName val="earth"/>
      <sheetName val="concrete&amp;fw"/>
      <sheetName val="massonry"/>
      <sheetName val="HARGA SAT"/>
      <sheetName val="res200"/>
      <sheetName val="bhn_tng"/>
      <sheetName val="Quarry-rangas"/>
      <sheetName val="PNT-QUOT-#3"/>
      <sheetName val="COAT&amp;WRAP-QIOT-#3"/>
      <sheetName val="ANalat"/>
      <sheetName val="Inclusions"/>
      <sheetName val="Overall Summary"/>
      <sheetName val="HSD"/>
      <sheetName val="MAPDC"/>
      <sheetName val="D1"/>
      <sheetName val="div-7"/>
      <sheetName val="div-3"/>
      <sheetName val="div-5"/>
      <sheetName val="div-8"/>
      <sheetName val="div-2"/>
      <sheetName val="Basic Price"/>
      <sheetName val="Rutin"/>
      <sheetName val="anal pake"/>
      <sheetName val="BIAYA BAHAN"/>
      <sheetName val="BIAYA ALAT"/>
      <sheetName val="Analisa Harga Satuan"/>
      <sheetName val="O&amp;O-Alat"/>
      <sheetName val="Sheet15"/>
      <sheetName val="PO2"/>
      <sheetName val="Cash DP Lapangan"/>
      <sheetName val="Cash Wilayah"/>
      <sheetName val="Hutang Lap"/>
      <sheetName val="Hutang-Wil"/>
      <sheetName val="Ana"/>
      <sheetName val="GVL§CT"/>
      <sheetName val="bu alat"/>
      <sheetName val="bu mat"/>
      <sheetName val="bu tenaga"/>
      <sheetName val="PRY01-1"/>
      <sheetName val="E_TRIKAL"/>
      <sheetName val="E_TRONIK"/>
      <sheetName val="MEK"/>
      <sheetName val="ANAL_HPS"/>
      <sheetName val="Rekap1"/>
      <sheetName val="ARSITEK"/>
      <sheetName val="Volume 1"/>
      <sheetName val="Stn_Upah"/>
      <sheetName val="H.BAHAN"/>
      <sheetName val="Sloof"/>
      <sheetName val="XL4Test5"/>
      <sheetName val="Harsat Bahan"/>
      <sheetName val="Harsat Upah"/>
      <sheetName val="SAT UPH BHN"/>
      <sheetName val="ANA 1"/>
      <sheetName val="SAT PIPA-ACC"/>
      <sheetName val="DT PENDUKUNG"/>
      <sheetName val="2.7"/>
      <sheetName val="2.6"/>
      <sheetName val="841"/>
      <sheetName val="21"/>
      <sheetName val="311"/>
      <sheetName val="715"/>
      <sheetName val="811"/>
      <sheetName val="harga bahan"/>
      <sheetName val="KELOMPOK CODE"/>
      <sheetName val="Bt.Kosong"/>
      <sheetName val="D7(2)"/>
      <sheetName val="Scedule CCO"/>
      <sheetName val="D8(2)"/>
      <sheetName val="Lalu Lintas"/>
      <sheetName val="Peralatan (2)"/>
      <sheetName val="das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refreshError="1"/>
      <sheetData sheetId="184"/>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sheetData sheetId="1092"/>
      <sheetData sheetId="1093"/>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sheetData sheetId="1131"/>
      <sheetData sheetId="1132"/>
      <sheetData sheetId="1133"/>
      <sheetData sheetId="1134"/>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mar98 electronic"/>
    </sheetNames>
    <sheetDataSet>
      <sheetData sheetId="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k List"/>
      <sheetName val="Rekap"/>
      <sheetName val="Rab"/>
      <sheetName val="Subkont"/>
      <sheetName val="MPI"/>
      <sheetName val="Upah Bahan"/>
      <sheetName val="Analisa"/>
      <sheetName val="Amos"/>
      <sheetName val="Jadual"/>
      <sheetName val="Bagan Alir"/>
    </sheetNames>
    <sheetDataSet>
      <sheetData sheetId="0"/>
      <sheetData sheetId="1">
        <row r="28">
          <cell r="G28" t="str">
            <v>Palu, 01 Juli 2010</v>
          </cell>
        </row>
        <row r="30">
          <cell r="G30" t="str">
            <v>CV. RIFAT TRI MEMBANGUN</v>
          </cell>
        </row>
        <row r="34">
          <cell r="G34" t="str">
            <v>MOH. IHSAN PATALAU</v>
          </cell>
        </row>
        <row r="35">
          <cell r="G35" t="str">
            <v>Direktur</v>
          </cell>
        </row>
      </sheetData>
      <sheetData sheetId="2"/>
      <sheetData sheetId="3"/>
      <sheetData sheetId="4"/>
      <sheetData sheetId="5">
        <row r="91">
          <cell r="F91">
            <v>300000</v>
          </cell>
        </row>
      </sheetData>
      <sheetData sheetId="6"/>
      <sheetData sheetId="7"/>
      <sheetData sheetId="8"/>
      <sheetData sheetId="9"/>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Analisa"/>
      <sheetName val="Upah Bahan"/>
      <sheetName val="Jadwal"/>
    </sheetNames>
    <sheetDataSet>
      <sheetData sheetId="0" refreshError="1"/>
      <sheetData sheetId="1"/>
      <sheetData sheetId="2" refreshError="1"/>
      <sheetData sheetId="3" refreshError="1"/>
      <sheetData sheetId="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Data"/>
      <sheetName val="B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4">
          <cell r="H4">
            <v>1</v>
          </cell>
          <cell r="I4" t="str">
            <v>15 ~ 19 Mei 2002</v>
          </cell>
          <cell r="J4">
            <v>0</v>
          </cell>
          <cell r="K4">
            <v>0</v>
          </cell>
        </row>
        <row r="5">
          <cell r="H5">
            <v>2</v>
          </cell>
          <cell r="I5" t="str">
            <v>20 ~ 26 Mei 2002</v>
          </cell>
          <cell r="J5">
            <v>0.16400000000000001</v>
          </cell>
          <cell r="K5">
            <v>0.16400000000000001</v>
          </cell>
        </row>
        <row r="6">
          <cell r="H6">
            <v>3</v>
          </cell>
          <cell r="I6" t="str">
            <v>27 Mei ~ 2 Juni 2002</v>
          </cell>
          <cell r="J6">
            <v>0.74700000000000011</v>
          </cell>
          <cell r="K6">
            <v>0.58300000000000007</v>
          </cell>
        </row>
        <row r="7">
          <cell r="H7">
            <v>4</v>
          </cell>
          <cell r="I7" t="str">
            <v>3 ~ 9 Juni 2002</v>
          </cell>
          <cell r="J7">
            <v>1.9850000000000001</v>
          </cell>
          <cell r="K7">
            <v>1.2380000000000002</v>
          </cell>
        </row>
        <row r="8">
          <cell r="H8">
            <v>5</v>
          </cell>
          <cell r="I8" t="str">
            <v>10 ~ 16 Juni 2002</v>
          </cell>
          <cell r="J8">
            <v>3.2230000000000008</v>
          </cell>
          <cell r="K8">
            <v>1.2380000000000002</v>
          </cell>
        </row>
        <row r="9">
          <cell r="H9">
            <v>6</v>
          </cell>
          <cell r="I9" t="str">
            <v>17 ~ 23 Juni 2002</v>
          </cell>
          <cell r="J9">
            <v>4.4610000000000012</v>
          </cell>
          <cell r="K9">
            <v>1.2380000000000002</v>
          </cell>
        </row>
        <row r="10">
          <cell r="H10">
            <v>7</v>
          </cell>
          <cell r="I10" t="str">
            <v>24 ~ 30 Juni 2002</v>
          </cell>
          <cell r="J10">
            <v>5.6990000000000016</v>
          </cell>
          <cell r="K10">
            <v>1.2380000000000002</v>
          </cell>
        </row>
        <row r="11">
          <cell r="H11">
            <v>8</v>
          </cell>
          <cell r="I11" t="str">
            <v>1 ~ 7 Juli 2002</v>
          </cell>
          <cell r="J11">
            <v>7.2190000000000021</v>
          </cell>
          <cell r="K11">
            <v>1.52</v>
          </cell>
        </row>
        <row r="12">
          <cell r="H12">
            <v>9</v>
          </cell>
          <cell r="I12" t="str">
            <v>8 ~ 14 Juli 2002</v>
          </cell>
          <cell r="J12">
            <v>8.7390000000000025</v>
          </cell>
          <cell r="K12">
            <v>1.52</v>
          </cell>
        </row>
        <row r="13">
          <cell r="H13">
            <v>10</v>
          </cell>
          <cell r="I13" t="str">
            <v>15 ~ 21 Juli 2002</v>
          </cell>
          <cell r="J13">
            <v>10.259000000000002</v>
          </cell>
          <cell r="K13">
            <v>1.52</v>
          </cell>
        </row>
        <row r="14">
          <cell r="H14">
            <v>11</v>
          </cell>
          <cell r="I14" t="str">
            <v>22 ~ 28 Juli 2002</v>
          </cell>
          <cell r="J14">
            <v>13.217000000000002</v>
          </cell>
          <cell r="K14">
            <v>2.9579999999999993</v>
          </cell>
        </row>
        <row r="15">
          <cell r="H15">
            <v>12</v>
          </cell>
          <cell r="I15" t="str">
            <v>29 Juli ~ 4 Agustus 2002</v>
          </cell>
          <cell r="J15">
            <v>15.587000000000003</v>
          </cell>
          <cell r="K15">
            <v>2.37</v>
          </cell>
        </row>
        <row r="16">
          <cell r="H16">
            <v>13</v>
          </cell>
          <cell r="I16" t="str">
            <v>5 ~ 11 Agustus 2002</v>
          </cell>
          <cell r="J16">
            <v>19.389000000000003</v>
          </cell>
          <cell r="K16">
            <v>3.8020000000000005</v>
          </cell>
        </row>
        <row r="17">
          <cell r="H17">
            <v>14</v>
          </cell>
          <cell r="I17" t="str">
            <v>12 ~ 18 Agustus 2002</v>
          </cell>
          <cell r="J17">
            <v>23.191000000000003</v>
          </cell>
          <cell r="K17">
            <v>3.8020000000000005</v>
          </cell>
        </row>
        <row r="18">
          <cell r="H18">
            <v>15</v>
          </cell>
          <cell r="I18" t="str">
            <v>19 ~ 25 Agustus 2002</v>
          </cell>
          <cell r="J18">
            <v>26.993000000000002</v>
          </cell>
          <cell r="K18">
            <v>3.8020000000000005</v>
          </cell>
        </row>
        <row r="19">
          <cell r="H19">
            <v>16</v>
          </cell>
          <cell r="I19" t="str">
            <v>26 Agustus ~ 1 September 2002</v>
          </cell>
          <cell r="J19">
            <v>30.795000000000002</v>
          </cell>
          <cell r="K19">
            <v>3.8020000000000005</v>
          </cell>
        </row>
        <row r="20">
          <cell r="H20">
            <v>17</v>
          </cell>
          <cell r="I20" t="str">
            <v>2 ~ 8 September 2002</v>
          </cell>
          <cell r="J20">
            <v>34.597000000000001</v>
          </cell>
          <cell r="K20">
            <v>3.8020000000000005</v>
          </cell>
        </row>
        <row r="21">
          <cell r="H21">
            <v>18</v>
          </cell>
          <cell r="I21" t="str">
            <v>9 ~ 15 September 2002</v>
          </cell>
          <cell r="J21">
            <v>39.231999999999999</v>
          </cell>
          <cell r="K21">
            <v>4.6349999999999998</v>
          </cell>
        </row>
        <row r="22">
          <cell r="H22">
            <v>19</v>
          </cell>
          <cell r="I22" t="str">
            <v>16 ~ 22 September 2002</v>
          </cell>
          <cell r="J22">
            <v>43.866999999999997</v>
          </cell>
          <cell r="K22">
            <v>4.6349999999999998</v>
          </cell>
        </row>
        <row r="23">
          <cell r="H23">
            <v>20</v>
          </cell>
          <cell r="I23" t="str">
            <v>23 ~ 29 September 2002</v>
          </cell>
          <cell r="J23">
            <v>49.335999999999999</v>
          </cell>
          <cell r="K23">
            <v>5.4690000000000003</v>
          </cell>
        </row>
        <row r="24">
          <cell r="H24">
            <v>21</v>
          </cell>
          <cell r="I24" t="str">
            <v>30 September ~ 6 Oktober 2002</v>
          </cell>
          <cell r="J24">
            <v>54.805</v>
          </cell>
          <cell r="K24">
            <v>5.4690000000000003</v>
          </cell>
        </row>
        <row r="25">
          <cell r="H25">
            <v>22</v>
          </cell>
          <cell r="I25" t="str">
            <v>7 ~ 13 Oktober 2002</v>
          </cell>
          <cell r="J25">
            <v>60.274000000000001</v>
          </cell>
          <cell r="K25">
            <v>5.4690000000000003</v>
          </cell>
        </row>
        <row r="26">
          <cell r="H26">
            <v>23</v>
          </cell>
          <cell r="I26" t="str">
            <v>14 ~ 20 Oktober 2002</v>
          </cell>
          <cell r="J26">
            <v>65.742999999999995</v>
          </cell>
          <cell r="K26">
            <v>5.4690000000000003</v>
          </cell>
        </row>
        <row r="27">
          <cell r="H27">
            <v>24</v>
          </cell>
          <cell r="I27" t="str">
            <v>21 ~ 27 Oktober 2002</v>
          </cell>
          <cell r="J27">
            <v>71.212999999999994</v>
          </cell>
          <cell r="K27">
            <v>5.4699999999999935</v>
          </cell>
        </row>
        <row r="28">
          <cell r="H28">
            <v>25</v>
          </cell>
          <cell r="I28" t="str">
            <v>28 Oktober ~ 3 November 2002</v>
          </cell>
          <cell r="J28">
            <v>76.31</v>
          </cell>
          <cell r="K28">
            <v>5.0970000000000004</v>
          </cell>
        </row>
        <row r="29">
          <cell r="H29">
            <v>26</v>
          </cell>
          <cell r="I29" t="str">
            <v>4 ~ 10 November 2002</v>
          </cell>
          <cell r="J29">
            <v>81.605000000000004</v>
          </cell>
          <cell r="K29">
            <v>5.2949999999999999</v>
          </cell>
        </row>
        <row r="30">
          <cell r="H30">
            <v>27</v>
          </cell>
          <cell r="I30" t="str">
            <v>11 ~ 17 November 2002</v>
          </cell>
          <cell r="J30">
            <v>87.715000000000003</v>
          </cell>
          <cell r="K30">
            <v>6.11</v>
          </cell>
        </row>
        <row r="31">
          <cell r="H31">
            <v>28</v>
          </cell>
          <cell r="I31" t="str">
            <v>18 ~ 24 November 2002</v>
          </cell>
          <cell r="J31">
            <v>93.825000000000003</v>
          </cell>
          <cell r="K31">
            <v>6.11</v>
          </cell>
        </row>
        <row r="32">
          <cell r="H32">
            <v>29</v>
          </cell>
          <cell r="I32" t="str">
            <v>25 November ~ 1 Desember 2002</v>
          </cell>
          <cell r="J32">
            <v>98.436999999999983</v>
          </cell>
          <cell r="K32">
            <v>4.6119999999999992</v>
          </cell>
        </row>
        <row r="33">
          <cell r="H33">
            <v>30</v>
          </cell>
          <cell r="I33" t="str">
            <v>2 ~ 8 Desember 2002</v>
          </cell>
          <cell r="J33">
            <v>99.993999999999986</v>
          </cell>
          <cell r="K33">
            <v>1.5570000000000002</v>
          </cell>
        </row>
        <row r="34">
          <cell r="H34">
            <v>31</v>
          </cell>
          <cell r="I34" t="str">
            <v>9 ~ 10 Desember 2002</v>
          </cell>
          <cell r="J34">
            <v>100</v>
          </cell>
          <cell r="K34">
            <v>6.0000000000000608E-3</v>
          </cell>
        </row>
      </sheetData>
      <sheetData sheetId="33"/>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Data"/>
      <sheetName val="B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s>
    <sheetDataSet>
      <sheetData sheetId="0" refreshError="1">
        <row r="10">
          <cell r="O10">
            <v>6</v>
          </cell>
        </row>
        <row r="12">
          <cell r="O12">
            <v>30</v>
          </cell>
        </row>
        <row r="13">
          <cell r="O13">
            <v>1</v>
          </cell>
        </row>
        <row r="14">
          <cell r="O14">
            <v>0</v>
          </cell>
        </row>
        <row r="15">
          <cell r="O15">
            <v>0.05</v>
          </cell>
        </row>
        <row r="16">
          <cell r="O16">
            <v>0.3</v>
          </cell>
        </row>
        <row r="17">
          <cell r="O17">
            <v>0.2</v>
          </cell>
        </row>
        <row r="18">
          <cell r="O18">
            <v>1</v>
          </cell>
        </row>
        <row r="19">
          <cell r="O19">
            <v>2</v>
          </cell>
        </row>
        <row r="20">
          <cell r="O20">
            <v>1</v>
          </cell>
        </row>
        <row r="23">
          <cell r="O23">
            <v>1</v>
          </cell>
        </row>
        <row r="24">
          <cell r="O24">
            <v>3</v>
          </cell>
        </row>
        <row r="25">
          <cell r="O25">
            <v>2</v>
          </cell>
        </row>
        <row r="26">
          <cell r="O26">
            <v>1</v>
          </cell>
        </row>
        <row r="27">
          <cell r="O27">
            <v>1</v>
          </cell>
        </row>
        <row r="28">
          <cell r="O28">
            <v>0.5</v>
          </cell>
        </row>
        <row r="29">
          <cell r="O29">
            <v>1</v>
          </cell>
        </row>
        <row r="30">
          <cell r="O30">
            <v>2</v>
          </cell>
        </row>
        <row r="34">
          <cell r="O34">
            <v>1</v>
          </cell>
        </row>
        <row r="35">
          <cell r="O35">
            <v>1</v>
          </cell>
        </row>
        <row r="36">
          <cell r="O36">
            <v>1</v>
          </cell>
        </row>
        <row r="37">
          <cell r="O37">
            <v>1</v>
          </cell>
        </row>
        <row r="38">
          <cell r="O38">
            <v>1</v>
          </cell>
        </row>
        <row r="39">
          <cell r="O39">
            <v>1</v>
          </cell>
        </row>
        <row r="42">
          <cell r="O42">
            <v>0</v>
          </cell>
        </row>
        <row r="43">
          <cell r="O43">
            <v>1</v>
          </cell>
        </row>
        <row r="44">
          <cell r="O44">
            <v>1</v>
          </cell>
        </row>
      </sheetData>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Sheet1"/>
      <sheetName val="RAB"/>
      <sheetName val="ANALISA"/>
      <sheetName val="BAHANUPAH"/>
      <sheetName val="SCEDUL"/>
    </sheetNames>
    <sheetDataSet>
      <sheetData sheetId="0" refreshError="1"/>
      <sheetData sheetId="1" refreshError="1"/>
      <sheetData sheetId="2" refreshError="1">
        <row r="148">
          <cell r="N148">
            <v>1390727887.8147283</v>
          </cell>
        </row>
        <row r="180">
          <cell r="I180">
            <v>7329633.3000000007</v>
          </cell>
        </row>
      </sheetData>
      <sheetData sheetId="3" refreshError="1"/>
      <sheetData sheetId="4" refreshError="1"/>
      <sheetData sheetId="5" refreshError="1">
        <row r="135">
          <cell r="J135">
            <v>4.3867697293294927E-2</v>
          </cell>
        </row>
      </sheetData>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Beton"/>
      <sheetName val="Besi"/>
      <sheetName val="Batukali"/>
      <sheetName val="Timbunan"/>
      <sheetName val="Analisa"/>
      <sheetName val="RAB"/>
      <sheetName val="Hsatbahan"/>
    </sheetNames>
    <sheetDataSet>
      <sheetData sheetId="0">
        <row r="5">
          <cell r="K5">
            <v>2.5</v>
          </cell>
        </row>
        <row r="7">
          <cell r="L7">
            <v>4.3999999999999995</v>
          </cell>
        </row>
        <row r="8">
          <cell r="K8">
            <v>9</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sheetName val="RAB"/>
      <sheetName val="RAB pnwrN"/>
      <sheetName val="Rekap"/>
      <sheetName val="Sheet1"/>
    </sheetNames>
    <sheetDataSet>
      <sheetData sheetId="0">
        <row r="20">
          <cell r="J20">
            <v>110000</v>
          </cell>
        </row>
        <row r="35">
          <cell r="J35">
            <v>2250</v>
          </cell>
        </row>
        <row r="40">
          <cell r="J40">
            <v>3650</v>
          </cell>
        </row>
        <row r="42">
          <cell r="J42">
            <v>1150000</v>
          </cell>
        </row>
        <row r="51">
          <cell r="J51">
            <v>75000</v>
          </cell>
        </row>
        <row r="69">
          <cell r="J69">
            <v>130000</v>
          </cell>
        </row>
        <row r="75">
          <cell r="J75">
            <v>17250</v>
          </cell>
        </row>
      </sheetData>
      <sheetData sheetId="1"/>
      <sheetData sheetId="2"/>
      <sheetData sheetId="3"/>
      <sheetData sheetId="4"/>
      <sheetData sheetId="5"/>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a32"/>
      <sheetName val="BM PROJECT '03. 1-3"/>
      <sheetName val="TASPEN PROJECT '03. 4"/>
      <sheetName val="PAJAK PROJECT '03.5"/>
      <sheetName val="BC PROJECT '03. 6-7"/>
      <sheetName val="DEPKEU PROJECT '03. 8-9"/>
      <sheetName val="PUSDATIN '03. 10"/>
      <sheetName val="LAIN-LAIN '03. 11"/>
      <sheetName val="Cara Baru"/>
      <sheetName val="Gun"/>
      <sheetName val="Pisah-Pisah"/>
      <sheetName val="PROJECT '03. 12"/>
      <sheetName val="Grafik 2003 (Rp). 13"/>
      <sheetName val="PROSPECT '03. 14"/>
      <sheetName val="SUMMARY '03. 15"/>
      <sheetName val="PROJECT '03 (US $). 16"/>
      <sheetName val="Grafik 2003 (US$). 17"/>
      <sheetName val="PROSPECT '03 (US $). 18"/>
      <sheetName val="SUMMARY '03 (US $). 19"/>
      <sheetName val="Cover"/>
      <sheetName val="PROJECT '03 (US $) konversi. 20"/>
      <sheetName val="PROJECT '03 (Rp+US$). 21"/>
      <sheetName val="Grafik 2003 (Rp+US$). 22"/>
    </sheetNames>
    <sheetDataSet>
      <sheetData sheetId="0" refreshError="1">
        <row r="18">
          <cell r="B18">
            <v>21.908948148148141</v>
          </cell>
          <cell r="F18">
            <v>35.637777629629632</v>
          </cell>
        </row>
        <row r="23">
          <cell r="H23">
            <v>40.497079629629631</v>
          </cell>
        </row>
        <row r="33">
          <cell r="D33">
            <v>78.352651851851846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TAMBAHAN"/>
      <sheetName val="DISAIN RDS"/>
      <sheetName val="KOEFESIEN"/>
      <sheetName val="Rekap Biaya"/>
      <sheetName val="Kuantitas &amp; Harga"/>
      <sheetName val="Pekerjaan Utama"/>
      <sheetName val="%"/>
      <sheetName val="Informasi"/>
      <sheetName val="Peta Quarry"/>
      <sheetName val="Mobilisasi"/>
      <sheetName val="Perhitungan Mobilisasi Alat"/>
      <sheetName val="Lalu Lintas"/>
      <sheetName val="Jembatan Sementara"/>
      <sheetName val="Additional"/>
      <sheetName val="3-DIV2"/>
      <sheetName val="3-DIV3"/>
      <sheetName val="3-DIV3 (2)"/>
      <sheetName val="3-DIV3 (3)"/>
      <sheetName val="3-DIV3 (4)"/>
      <sheetName val="3-DIV4"/>
      <sheetName val="3-DIV5"/>
      <sheetName val="3-DIV5-LPAS"/>
      <sheetName val="Lean Concr"/>
      <sheetName val="Sand-Bedding"/>
      <sheetName val="3-DIV6"/>
      <sheetName val="3-DIV6 Lasbutag"/>
      <sheetName val="3-DIV7"/>
      <sheetName val="3-DIV7.1"/>
      <sheetName val="3-DIV8"/>
      <sheetName val="3-DIV9"/>
      <sheetName val="3-DIV10 LS-Rutin"/>
      <sheetName val="3-DIV10 Kuantitas"/>
      <sheetName val="3-DIV10 Analisa HSP"/>
      <sheetName val="SPESIFIKASI"/>
      <sheetName val="4-Basic Price"/>
      <sheetName val="4-formulir harga bahan"/>
      <sheetName val="4-Analisa Quarry"/>
      <sheetName val="5-Peralatan"/>
      <sheetName val="5-Peralatan (2)"/>
      <sheetName val="6-Agregat Halus &amp; Kasar"/>
      <sheetName val="6-Agregat Kelas A"/>
      <sheetName val="6-Agregat Kelas B"/>
      <sheetName val="6-Agregat Kelas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3">
          <cell r="AW13">
            <v>47472.058636363639</v>
          </cell>
        </row>
        <row r="16">
          <cell r="AW16">
            <v>70230.073977639215</v>
          </cell>
        </row>
        <row r="24">
          <cell r="AW24">
            <v>293927.19306224468</v>
          </cell>
        </row>
      </sheetData>
      <sheetData sheetId="38"/>
      <sheetData sheetId="39"/>
      <sheetData sheetId="40"/>
      <sheetData sheetId="41"/>
      <sheetData sheetId="42"/>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ilisasi"/>
      <sheetName val="Lalu Lintas"/>
      <sheetName val="Jembatan Sementara"/>
    </sheetNames>
    <sheetDataSet>
      <sheetData sheetId="0" refreshError="1">
        <row r="30">
          <cell r="I30">
            <v>3500000</v>
          </cell>
        </row>
        <row r="31">
          <cell r="I31">
            <v>36000000</v>
          </cell>
        </row>
        <row r="32">
          <cell r="I32">
            <v>6000000</v>
          </cell>
        </row>
        <row r="33">
          <cell r="I33">
            <v>2500000</v>
          </cell>
        </row>
        <row r="37">
          <cell r="I37">
            <v>100000</v>
          </cell>
        </row>
        <row r="38">
          <cell r="I38">
            <v>3500000</v>
          </cell>
        </row>
        <row r="39">
          <cell r="I39">
            <v>2500000</v>
          </cell>
        </row>
      </sheetData>
      <sheetData sheetId="1" refreshError="1"/>
      <sheetData sheetId="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REKAPITULASI"/>
      <sheetName val="PER METER PERSEGI BANGUNAN"/>
      <sheetName val="TOTAL ANGGARAN BIAYA"/>
      <sheetName val="ALKES"/>
      <sheetName val="Sheet1"/>
      <sheetName val="TOTAL "/>
      <sheetName val="TOTAL ARSITEK SAJA"/>
      <sheetName val="RAB (2)"/>
      <sheetName val="TOTAL ANGGARAN BIAYA (2)"/>
      <sheetName val="AN_ARSITEKTUR"/>
      <sheetName val="MATERIAL "/>
      <sheetName val="AN_KOSEN"/>
      <sheetName val="PO-2"/>
      <sheetName val="Resume"/>
      <sheetName val="Daf Harga"/>
      <sheetName val="Sub"/>
    </sheetNames>
    <sheetDataSet>
      <sheetData sheetId="0" refreshError="1"/>
      <sheetData sheetId="1">
        <row r="2">
          <cell r="B2" t="str">
            <v>RENCANA ANGGARAN BIAYA</v>
          </cell>
        </row>
      </sheetData>
      <sheetData sheetId="2">
        <row r="18">
          <cell r="K18">
            <v>9538601177.4800014</v>
          </cell>
        </row>
      </sheetData>
      <sheetData sheetId="3" refreshError="1"/>
      <sheetData sheetId="4">
        <row r="55">
          <cell r="I55">
            <v>3287000000</v>
          </cell>
        </row>
      </sheetData>
      <sheetData sheetId="5" refreshError="1"/>
      <sheetData sheetId="6" refreshError="1"/>
      <sheetData sheetId="7">
        <row r="9">
          <cell r="B9" t="str">
            <v>PROYEK PEMBANGUNAN GEDUNG BALAI KESEHATAN PENERBANGAN DAN NOF</v>
          </cell>
        </row>
      </sheetData>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tolo"/>
      <sheetName val="piyungan-gading"/>
      <sheetName val="sampakan"/>
      <sheetName val="BIAYA 2"/>
      <sheetName val="HSD"/>
      <sheetName val="ANAL"/>
      <sheetName val="SEWA ALAT"/>
      <sheetName val="met"/>
      <sheetName val="metode sentolo"/>
      <sheetName val="metode piyungan"/>
      <sheetName val="Sbarani"/>
    </sheetNames>
    <sheetDataSet>
      <sheetData sheetId="0" refreshError="1"/>
      <sheetData sheetId="1" refreshError="1"/>
      <sheetData sheetId="2" refreshError="1"/>
      <sheetData sheetId="3" refreshError="1"/>
      <sheetData sheetId="4" refreshError="1">
        <row r="28">
          <cell r="H28">
            <v>84700</v>
          </cell>
        </row>
        <row r="34">
          <cell r="H34">
            <v>39500</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Q"/>
      <sheetName val="BQ"/>
      <sheetName val="Analisa Mob-Demob"/>
      <sheetName val="Analisa"/>
      <sheetName val="Harga Satuan"/>
      <sheetName val="Equipment"/>
      <sheetName val="Material On Site"/>
      <sheetName val="Pembayaran Utama"/>
      <sheetName val="Disubkontrakan"/>
      <sheetName val="Schedule"/>
      <sheetName val="Peralatan"/>
      <sheetName val="Lamp 10"/>
      <sheetName val="Data personil inti"/>
      <sheetName val="g-Peralatan"/>
      <sheetName val="GALIAN  BATU opname"/>
      <sheetName val="anal_hs"/>
      <sheetName val="rekap"/>
      <sheetName val="4-Basic Price"/>
      <sheetName val="Harga"/>
      <sheetName val="INPUT"/>
      <sheetName val="Pengalaman"/>
      <sheetName val="MAP"/>
      <sheetName val="Besi"/>
      <sheetName val="Bhn"/>
    </sheetNames>
    <sheetDataSet>
      <sheetData sheetId="0"/>
      <sheetData sheetId="1"/>
      <sheetData sheetId="2"/>
      <sheetData sheetId="3"/>
      <sheetData sheetId="4">
        <row r="38">
          <cell r="G38">
            <v>152000</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DAH"/>
      <sheetName val="ANALISA"/>
      <sheetName val="HARGA"/>
    </sheetNames>
    <sheetDataSet>
      <sheetData sheetId="0" refreshError="1"/>
      <sheetData sheetId="1" refreshError="1"/>
      <sheetData sheetId="2" refreshError="1">
        <row r="7">
          <cell r="E7">
            <v>59740</v>
          </cell>
        </row>
        <row r="61">
          <cell r="E61">
            <v>15000</v>
          </cell>
        </row>
      </sheetData>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1May03"/>
      <sheetName val="4 lokasi"/>
      <sheetName val="data &amp; power (25%)"/>
      <sheetName val="data &amp; power (UPS) (25%)"/>
      <sheetName val="data &amp; power"/>
      <sheetName val="data &amp; power (UPS)"/>
      <sheetName val="Power"/>
      <sheetName val="SPEC"/>
      <sheetName val="Sheet1"/>
      <sheetName val="Cabling Data&amp;Power"/>
      <sheetName val="sh no fo(MIS-2)"/>
      <sheetName val="Elektronik"/>
      <sheetName val="Lokasi-Final"/>
      <sheetName val="Transport"/>
      <sheetName val="hardware"/>
      <sheetName val="Lokasi"/>
      <sheetName val="KONTRAK(MIS-1)"/>
      <sheetName val="GENSET-AC"/>
      <sheetName val="Elektronik (rev)"/>
      <sheetName val="kilo-power"/>
      <sheetName val="Transport (2)"/>
      <sheetName val="Ser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UMMARY (4)"/>
      <sheetName val="BQ DWG"/>
      <sheetName val="BQ DWG (2)"/>
      <sheetName val="BQ DWG (3)"/>
      <sheetName val="GENERAL"/>
      <sheetName val="DRAINAGE"/>
      <sheetName val="EARTH WORK"/>
      <sheetName val="SUBGRADE"/>
      <sheetName val="SHOULDER"/>
      <sheetName val="SUB BASE"/>
      <sheetName val="SURFACING"/>
      <sheetName val="STRUCTURE"/>
      <sheetName val="MISCELLANEOUS"/>
      <sheetName val="O-O COST"/>
      <sheetName val="BASIC"/>
      <sheetName val="Sheet2"/>
      <sheetName val="Sheet3"/>
      <sheetName val="lap-bulan"/>
      <sheetName val="Lap-Minggu"/>
      <sheetName val="GALIAN  BATU opname"/>
      <sheetName val="Informasi"/>
      <sheetName val="Alat (1)"/>
      <sheetName val="HRG.DSR_ALAT"/>
      <sheetName val="L"/>
      <sheetName val="D2"/>
      <sheetName val="SUMMARY_(4)"/>
      <sheetName val="BQ_DWG"/>
      <sheetName val="BQ_DWG_(2)"/>
      <sheetName val="BQ_DWG_(3)"/>
      <sheetName val="EARTH_WORK"/>
      <sheetName val="SUB_BASE"/>
      <sheetName val="O-O_COST"/>
      <sheetName val="GALIAN__BATU_opname"/>
      <sheetName val="SUMMARY_(4)1"/>
      <sheetName val="BQ_DWG1"/>
      <sheetName val="BQ_DWG_(2)1"/>
      <sheetName val="BQ_DWG_(3)1"/>
      <sheetName val="EARTH_WORK1"/>
      <sheetName val="SUB_BASE1"/>
      <sheetName val="O-O_COST1"/>
      <sheetName val="GALIAN__BATU_opname1"/>
      <sheetName val="SUMMARY_(4)2"/>
      <sheetName val="BQ_DWG2"/>
      <sheetName val="BQ_DWG_(2)2"/>
      <sheetName val="BQ_DWG_(3)2"/>
      <sheetName val="EARTH_WORK2"/>
      <sheetName val="SUB_BASE2"/>
      <sheetName val="O-O_COST2"/>
      <sheetName val="GALIAN__BATU_opname2"/>
      <sheetName val="SUMMARY_(4)3"/>
      <sheetName val="BQ_DWG3"/>
      <sheetName val="BQ_DWG_(2)3"/>
      <sheetName val="BQ_DWG_(3)3"/>
      <sheetName val="EARTH_WORK3"/>
      <sheetName val="SUB_BASE3"/>
      <sheetName val="O-O_COST3"/>
      <sheetName val="GALIAN__BATU_opname3"/>
      <sheetName val="SUMMARY_(4)4"/>
      <sheetName val="BQ_DWG4"/>
      <sheetName val="BQ_DWG_(2)4"/>
      <sheetName val="BQ_DWG_(3)4"/>
      <sheetName val="EARTH_WORK4"/>
      <sheetName val="SUB_BASE4"/>
      <sheetName val="O-O_COST4"/>
      <sheetName val="GALIAN__BATU_opname4"/>
      <sheetName val="SUMMARY_(4)5"/>
      <sheetName val="BQ_DWG5"/>
      <sheetName val="BQ_DWG_(2)5"/>
      <sheetName val="BQ_DWG_(3)5"/>
      <sheetName val="EARTH_WORK5"/>
      <sheetName val="SUB_BASE5"/>
      <sheetName val="O-O_COST5"/>
      <sheetName val="GALIAN__BATU_opname5"/>
      <sheetName val="SUMMARY_(4)6"/>
      <sheetName val="BQ_DWG6"/>
      <sheetName val="BQ_DWG_(2)6"/>
      <sheetName val="BQ_DWG_(3)6"/>
      <sheetName val="EARTH_WORK6"/>
      <sheetName val="SUB_BASE6"/>
      <sheetName val="O-O_COST6"/>
      <sheetName val="GALIAN__BATU_opname6"/>
      <sheetName val="SUMMARY_(4)7"/>
      <sheetName val="BQ_DWG7"/>
      <sheetName val="BQ_DWG_(2)7"/>
      <sheetName val="BQ_DWG_(3)7"/>
      <sheetName val="EARTH_WORK7"/>
      <sheetName val="SUB_BASE7"/>
      <sheetName val="O-O_COST7"/>
      <sheetName val="GALIAN__BATU_opname7"/>
      <sheetName val="SUMMARY_(4)8"/>
      <sheetName val="BQ_DWG8"/>
      <sheetName val="BQ_DWG_(2)8"/>
      <sheetName val="BQ_DWG_(3)8"/>
      <sheetName val="EARTH_WORK8"/>
      <sheetName val="SUB_BASE8"/>
      <sheetName val="O-O_COST8"/>
      <sheetName val="GALIAN__BATU_opname8"/>
      <sheetName val="SUMMARY_(4)9"/>
      <sheetName val="BQ_DWG9"/>
      <sheetName val="BQ_DWG_(2)9"/>
      <sheetName val="BQ_DWG_(3)9"/>
      <sheetName val="EARTH_WORK9"/>
      <sheetName val="SUB_BASE9"/>
      <sheetName val="O-O_COST9"/>
      <sheetName val="GALIAN__BATU_opname9"/>
      <sheetName val="TS MINGGUAN"/>
      <sheetName val="Perm. Test"/>
      <sheetName val="EQ_an"/>
      <sheetName val="EQ"/>
      <sheetName val="H.Satuan"/>
      <sheetName val="Daftar Harga"/>
      <sheetName val="Daftar Upah"/>
      <sheetName val="SATUAN"/>
      <sheetName val="HARGA SAT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0">
          <cell r="D10">
            <v>5625</v>
          </cell>
        </row>
        <row r="41">
          <cell r="D41">
            <v>1200000</v>
          </cell>
        </row>
      </sheetData>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B-B"/>
      <sheetName val="Srt-Pen (2)"/>
      <sheetName val="rekap"/>
      <sheetName val="Polewali Tabone"/>
      <sheetName val="mob.1"/>
      <sheetName val="anls"/>
      <sheetName val="Div. 2"/>
      <sheetName val="Div. 3"/>
      <sheetName val="Div. 4"/>
      <sheetName val="div. 5"/>
      <sheetName val="Div. 6"/>
      <sheetName val="Div. 7"/>
      <sheetName val="Div. 8"/>
      <sheetName val="PEK-HARIAN"/>
      <sheetName val="25"/>
      <sheetName val="24"/>
      <sheetName val="HARDAS"/>
      <sheetName val="MOS"/>
      <sheetName val="Alat Anls"/>
      <sheetName val="SCH"/>
      <sheetName val="MJITM"/>
      <sheetName val="subkontrak"/>
      <sheetName val="X"/>
      <sheetName val="K225-3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rice"/>
      <sheetName val="Concrete"/>
      <sheetName val="Plaster"/>
      <sheetName val="Brick&amp; Ceramic"/>
      <sheetName val="P-Conc"/>
    </sheetNames>
    <sheetDataSet>
      <sheetData sheetId="0"/>
      <sheetData sheetId="1">
        <row r="96">
          <cell r="G96">
            <v>246295</v>
          </cell>
        </row>
        <row r="137">
          <cell r="G137">
            <v>5078.8</v>
          </cell>
        </row>
        <row r="148">
          <cell r="G148">
            <v>65607.070000000007</v>
          </cell>
        </row>
        <row r="159">
          <cell r="G159">
            <v>50782.07</v>
          </cell>
        </row>
        <row r="170">
          <cell r="G170">
            <v>54782.07</v>
          </cell>
        </row>
      </sheetData>
      <sheetData sheetId="2"/>
      <sheetData sheetId="3"/>
      <sheetData sheetId="4"/>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ITULASI"/>
      <sheetName val="RAB KORPRI"/>
      <sheetName val="VOL. KORPRI"/>
      <sheetName val="hit.VOL IGD"/>
      <sheetName val="LANTAI ANAK"/>
      <sheetName val="INFRA STRUKTUR"/>
      <sheetName val="Sheet3"/>
      <sheetName val="AnalisaSNILT.ANAK"/>
      <sheetName val="Analisa SK-SNI (new)"/>
      <sheetName val="BAHAN-UPAH lantai anak"/>
      <sheetName val="BAHAN-UPAH"/>
      <sheetName val="cover (2)"/>
      <sheetName val="RINCIAN VOLUME"/>
      <sheetName val="hit.VOL LANTAI ANAK"/>
      <sheetName val="Sheet1"/>
      <sheetName val="Sheet2"/>
    </sheetNames>
    <sheetDataSet>
      <sheetData sheetId="0"/>
      <sheetData sheetId="1"/>
      <sheetData sheetId="2"/>
      <sheetData sheetId="3"/>
      <sheetData sheetId="4"/>
      <sheetData sheetId="5"/>
      <sheetData sheetId="6"/>
      <sheetData sheetId="7"/>
      <sheetData sheetId="8"/>
      <sheetData sheetId="9"/>
      <sheetData sheetId="10">
        <row r="33">
          <cell r="G33">
            <v>18000</v>
          </cell>
        </row>
        <row r="36">
          <cell r="G36">
            <v>150</v>
          </cell>
        </row>
        <row r="38">
          <cell r="G38">
            <v>25000</v>
          </cell>
        </row>
        <row r="40">
          <cell r="G40">
            <v>125</v>
          </cell>
        </row>
        <row r="47">
          <cell r="G47">
            <v>2000000</v>
          </cell>
        </row>
        <row r="81">
          <cell r="G81">
            <v>105000</v>
          </cell>
        </row>
      </sheetData>
      <sheetData sheetId="11"/>
      <sheetData sheetId="12"/>
      <sheetData sheetId="13"/>
      <sheetData sheetId="14"/>
      <sheetData sheetId="15"/>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sheetName val="RAB"/>
    </sheetNames>
    <sheetDataSet>
      <sheetData sheetId="0" refreshError="1">
        <row r="33">
          <cell r="J33">
            <v>1150000</v>
          </cell>
        </row>
      </sheetData>
      <sheetData sheetId="1" refreshError="1"/>
      <sheetData sheetId="2"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H.Satuan"/>
      <sheetName val="rab me (by owner) "/>
      <sheetName val="BQ (by owner)"/>
      <sheetName val="rab me (fisik)"/>
      <sheetName val="Bill Of Quantity"/>
      <sheetName val="PC"/>
      <sheetName val="Balok"/>
      <sheetName val="L-Mechanical"/>
      <sheetName val="KODE REK"/>
      <sheetName val="STR"/>
      <sheetName val="Upah+Bahan"/>
      <sheetName val="GLP-DISCOUNT"/>
      <sheetName val="GLP 2001"/>
      <sheetName val="EE-PROP"/>
      <sheetName val="harsat"/>
      <sheetName val="Panel,feeder,elek"/>
      <sheetName val="GE_1_2"/>
      <sheetName val="DAF-1"/>
      <sheetName val="SITE-E"/>
      <sheetName val="Infrastruktur"/>
      <sheetName val="Persiapan"/>
      <sheetName val="AC"/>
      <sheetName val="Mekanikal"/>
      <sheetName val="01A- RAB"/>
      <sheetName val="G_SUMMARY"/>
      <sheetName val="Analisa"/>
      <sheetName val="WT-LIST"/>
      <sheetName val="A"/>
      <sheetName val="Cover"/>
      <sheetName val="SAT"/>
      <sheetName val="DAFTAR HARGA"/>
      <sheetName val="anal_hs"/>
      <sheetName val="rekap"/>
      <sheetName val="Master 1.0"/>
      <sheetName val="GB"/>
      <sheetName val="Anl.+"/>
      <sheetName val="112-885"/>
      <sheetName val="AHS"/>
      <sheetName val="boq"/>
      <sheetName val="HS Alat"/>
      <sheetName val="REF.ONLY"/>
      <sheetName val="Har Sat"/>
      <sheetName val="5.1.ELEKTRIKAL-ELEKTRONIK"/>
      <sheetName val="metode"/>
      <sheetName val="K"/>
      <sheetName val="ELEC STIS"/>
      <sheetName val="HB "/>
      <sheetName val="BAG-2"/>
      <sheetName val="Bill of Qty MEP"/>
      <sheetName val="PL-Office"/>
      <sheetName val="BoQ STR"/>
      <sheetName val="Finishing (2)"/>
      <sheetName val="AN_Kusen"/>
      <sheetName val="BQ_ARS"/>
      <sheetName val="Finishing"/>
      <sheetName val="DAF_2"/>
      <sheetName val="Fin-Bengkel"/>
      <sheetName val="Fin-Showroom"/>
      <sheetName val="Hal_Pagar"/>
      <sheetName val="Str-Bengkel"/>
      <sheetName val="Str-Showroom"/>
      <sheetName val="ｺﾝY条件BD"/>
      <sheetName val="Man_Power_Const"/>
      <sheetName val="DAF-5"/>
      <sheetName val="rab - persiapan &amp; lantai-1"/>
      <sheetName val="FLAF&amp;PARTSI"/>
      <sheetName val="ANALISA-A"/>
      <sheetName val="HRG BHN"/>
      <sheetName val="RATE&amp;FCTR"/>
      <sheetName val="ANLS 2009"/>
      <sheetName val="Harga Bahan &amp; Upah "/>
      <sheetName val="analisa pagar"/>
      <sheetName val="Analis Kusen 1 ESKALASI"/>
      <sheetName val="Analisa ME"/>
      <sheetName val="NP (4)"/>
      <sheetName val="Plambing"/>
      <sheetName val="BQ Arsitektur"/>
      <sheetName val="Pro(E)_"/>
      <sheetName val="MAKER_(E)"/>
      <sheetName val="Bill_Of_Quantity"/>
      <sheetName val="H_Satuan"/>
      <sheetName val="rab_me_(by_owner)_"/>
      <sheetName val="BQ_(by_owner)"/>
      <sheetName val="rab_me_(fisik)"/>
      <sheetName val="GLP_2001"/>
      <sheetName val="Anl_+"/>
      <sheetName val="DAF_3.1"/>
      <sheetName val="DAF_3.11"/>
      <sheetName val="NS GD.UTAMA"/>
      <sheetName val="anal"/>
      <sheetName val="BAHAN"/>
      <sheetName val="Isolasi Luar Dalam"/>
      <sheetName val="Isolasi Luar"/>
      <sheetName val="KK"/>
      <sheetName val="struktur"/>
      <sheetName val="Roofing2"/>
      <sheetName val="TOEC"/>
      <sheetName val="name"/>
      <sheetName val="analis"/>
      <sheetName val="Tata Udara"/>
      <sheetName val="Plumbing"/>
      <sheetName val="3-DIV4"/>
      <sheetName val="NP"/>
      <sheetName val="L3 An H Sat Mob"/>
      <sheetName val="DRUP (ASLI)"/>
      <sheetName val="ahs_utama"/>
      <sheetName val="daf isi (xref)"/>
      <sheetName val="Currency Rate"/>
      <sheetName val="FAK"/>
      <sheetName val="Data"/>
      <sheetName val="Pipe"/>
      <sheetName val="tuong"/>
      <sheetName val="AO-UMUM"/>
      <sheetName val="BOQ INTERN"/>
      <sheetName val="gtrinh"/>
      <sheetName val="bukan PNS"/>
      <sheetName val="BASIC"/>
      <sheetName val="Daftar Upah"/>
      <sheetName val="RAB"/>
      <sheetName val="Divisi1"/>
      <sheetName val="SDM"/>
      <sheetName val="MAP"/>
      <sheetName val="4-Basic Price"/>
      <sheetName val="5-ALAT(1)"/>
      <sheetName val="UPAH&amp;BAHAN"/>
      <sheetName val="Estimate"/>
      <sheetName val="dasar"/>
      <sheetName val="부하계산서"/>
      <sheetName val="finalisasi"/>
      <sheetName val="Analisa Upah &amp; Bahan Plum"/>
      <sheetName val="AN. TAMPL"/>
      <sheetName val="PileCap"/>
      <sheetName val="Tie Beam GN"/>
      <sheetName val="Tangga GN"/>
      <sheetName val="Bronjong_Geoteks"/>
      <sheetName val="FORM X COST"/>
      <sheetName val="Transfer Pump"/>
      <sheetName val="Material"/>
      <sheetName val="ANALISA PEK.UMUM"/>
      <sheetName val="Factors"/>
      <sheetName val="附表4-辅助工程"/>
      <sheetName val="附表4-公用工程项目"/>
      <sheetName val="附表2"/>
      <sheetName val="Piping"/>
      <sheetName val="BGNN.UTILITAS"/>
      <sheetName val="villa"/>
      <sheetName val="Rek Tot"/>
      <sheetName val="LISTRIK"/>
      <sheetName val="BANGUNAN PENUNJANG"/>
      <sheetName val="an. struktur"/>
      <sheetName val="Dashboard"/>
      <sheetName val="D &amp; W sizes"/>
      <sheetName val="Upah"/>
      <sheetName val="dATA pc"/>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itungan Balok"/>
      <sheetName val="KOLOM"/>
      <sheetName val="SLAB"/>
      <sheetName val="RASIO SLAB"/>
      <sheetName val="TANGGA"/>
      <sheetName val="PIT LIFT"/>
      <sheetName val="saluran"/>
      <sheetName val="c"/>
      <sheetName val="f"/>
      <sheetName val="K Lead"/>
      <sheetName val="HSD"/>
      <sheetName val="RAB AR&amp;STR"/>
      <sheetName val="M &amp; E"/>
      <sheetName val="Student"/>
      <sheetName val="Cover (x)"/>
      <sheetName val="Cor Apt"/>
      <sheetName val="PT."/>
      <sheetName val="AnaAlat"/>
      <sheetName val="struktur tdk dipakai"/>
      <sheetName val="Item7"/>
      <sheetName val="Ｎｏ.13"/>
      <sheetName val="SK MIgas toilet lt-40, R-2"/>
      <sheetName val="SK MIgas toilet lt-40, R-0 (P'a"/>
      <sheetName val="p_fb01"/>
      <sheetName val="p_fb02"/>
      <sheetName val="PLINT 3.1.G"/>
      <sheetName val="s_v13"/>
      <sheetName val="s_v14"/>
      <sheetName val="s_v16"/>
      <sheetName val="Man Power"/>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ME"/>
      <sheetName val="GE-1-2"/>
      <sheetName val="Power_BLK"/>
      <sheetName val="RKP PLUMBING"/>
      <sheetName val="RATE_FCTR"/>
      <sheetName val="경비2내역"/>
      <sheetName val="TL"/>
      <sheetName val="영업소실적"/>
      <sheetName val="Pengalaman Per"/>
      <sheetName val="CONSUMABLES-PRICE"/>
      <sheetName val="BOQ EM"/>
      <sheetName val="Urai_Galian Tanah"/>
      <sheetName val="Pekerjaan Harian"/>
      <sheetName val="Mahasiswa 2 lantai"/>
      <sheetName val="3-DIV3"/>
      <sheetName val="Baja"/>
      <sheetName val="Beton K-250"/>
      <sheetName val="CapExpAppForm"/>
      <sheetName val="DIV7-BM"/>
      <sheetName val="prog-mgu"/>
      <sheetName val="GENERAL"/>
      <sheetName val="Pricing"/>
      <sheetName val="Ref"/>
      <sheetName val="Mat.Mek"/>
      <sheetName val="a.2"/>
      <sheetName val="lt. dasar"/>
      <sheetName val="concept cost code"/>
      <sheetName val="summary cost code"/>
      <sheetName val="SPK"/>
      <sheetName val="kas proyek"/>
      <sheetName val="lain lain"/>
      <sheetName val="tifico"/>
      <sheetName val="Input monthly capex"/>
      <sheetName val="3-DIV2"/>
      <sheetName val="TPI"/>
      <sheetName val="Harga Dasar"/>
      <sheetName val="Div2"/>
      <sheetName val="Basic Price"/>
      <sheetName val="O&amp;O-Alat"/>
      <sheetName val="Unit Rate"/>
      <sheetName val="Kuantitas &amp; Harga"/>
      <sheetName val="Group"/>
      <sheetName val="sheet 2"/>
      <sheetName val="RAB ME"/>
      <sheetName val="Analisa Mob. 3"/>
      <sheetName val="Analisa Mob.1"/>
      <sheetName val="Analisa-Harga"/>
      <sheetName val="Analisa Alat"/>
      <sheetName val="Analisa Mob. 2"/>
      <sheetName val="data-pendukung"/>
      <sheetName val="Terbilang"/>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BQE"/>
      <sheetName val="3-DIV5"/>
      <sheetName val="SATUAN "/>
      <sheetName val="BANG TONG HOP (2)"/>
      <sheetName val="Analisa Harga"/>
      <sheetName val="BHN"/>
      <sheetName val="Manpower"/>
      <sheetName val="Equipt,Tools&amp;Cons"/>
      <sheetName val="Analisa Harga Satuan"/>
      <sheetName val="Bill No 2.1 "/>
      <sheetName val="MUA"/>
      <sheetName val="APT _ BALCONIES"/>
      <sheetName val="AC_C"/>
      <sheetName val="Data Tower"/>
      <sheetName val="Rekap Biaya"/>
      <sheetName val="Alat"/>
      <sheetName val="Sub"/>
      <sheetName val="MARK UP"/>
      <sheetName val="DES 15"/>
      <sheetName val="PERFORM"/>
      <sheetName val="BOOQ"/>
      <sheetName val="AHSP"/>
      <sheetName val="Peralatan Utama"/>
      <sheetName val="BasicPrice"/>
      <sheetName val="INPUT"/>
      <sheetName val="Div26 - Elect"/>
      <sheetName val="SUM-AIR-Submit"/>
      <sheetName val="A+Supl."/>
      <sheetName val="7"/>
      <sheetName val="Stden center"/>
      <sheetName val="7.1(3)"/>
      <sheetName val="3-DIV7.B"/>
      <sheetName val="Rekap Prelim"/>
      <sheetName val="BU"/>
      <sheetName val="Index"/>
      <sheetName val="Bank"/>
      <sheetName val="Bunga"/>
      <sheetName val="RAB_DURI"/>
      <sheetName val="Mark-up"/>
      <sheetName val="5-ALAT"/>
      <sheetName val="HS_Alat"/>
      <sheetName val="Analisa_ME"/>
      <sheetName val="L3_An_H_Sat_Mob"/>
      <sheetName val="DRUP_(ASLI)"/>
      <sheetName val="NP_(4)"/>
      <sheetName val="HRG_BHN"/>
      <sheetName val="Isolasi_Luar_Dalam"/>
      <sheetName val="Isolasi_Luar"/>
      <sheetName val="ELEC_STIS"/>
      <sheetName val="Master_1_0"/>
      <sheetName val="BOQ_INTERN"/>
      <sheetName val="Transfer_Pump"/>
      <sheetName val="ANLS_2009"/>
      <sheetName val="Harga_Bahan_&amp;_Upah_"/>
      <sheetName val="analisa_pagar"/>
      <sheetName val="KODE_REK"/>
      <sheetName val="RAB_AR&amp;STR"/>
      <sheetName val="Har_Sat"/>
      <sheetName val="DAFTAR_HARGA"/>
      <sheetName val="K_Lead"/>
      <sheetName val="PT_"/>
      <sheetName val="Urai_Galian_Tanah"/>
      <sheetName val="Pekerjaan_Harian"/>
      <sheetName val="Mahasiswa_2_lantai"/>
      <sheetName val="Tata_Udara"/>
      <sheetName val="ANALISA_PEK_UMUM"/>
      <sheetName val="RKP_PLUMBING"/>
      <sheetName val="Analisa_Upah_&amp;_Bahan_Plum"/>
      <sheetName val="8410(Kerb)"/>
      <sheetName val="Harsat.Alat"/>
      <sheetName val="MAPP"/>
      <sheetName val="PConsCS"/>
      <sheetName val="dia-in"/>
      <sheetName val="DAF-UPAH"/>
      <sheetName val="Elektrikal"/>
      <sheetName val="Analisa Upah _ Bahan Plum"/>
      <sheetName val="Perm. Test"/>
      <sheetName val="Galian 1"/>
      <sheetName val="LOADDAT"/>
      <sheetName val="prd01-5"/>
      <sheetName val="DATA2009"/>
      <sheetName val="RP PROD 09"/>
      <sheetName val="Sumber Daya"/>
      <sheetName val="HS-DASAR"/>
      <sheetName val="PRD 01-6(I-II)"/>
      <sheetName val="PRD 01-7 alat"/>
      <sheetName val="Mobilisasi"/>
      <sheetName val="Anls Hrg Sat"/>
      <sheetName val="HARGA"/>
      <sheetName val="BEDAH"/>
      <sheetName val="Sat Bah _ Up"/>
      <sheetName val="ANAL-1"/>
      <sheetName val="PriceList"/>
      <sheetName val="SCHEDULE"/>
      <sheetName val="An_pdkg"/>
      <sheetName val="DKH-S3"/>
      <sheetName val="RinciBab1"/>
      <sheetName val="SDMTA"/>
      <sheetName val="HS"/>
      <sheetName val="ANTEK"/>
      <sheetName val="SEC-6"/>
      <sheetName val="BOQ ADD-12"/>
      <sheetName val="Hrg Sat"/>
      <sheetName val="1.B"/>
      <sheetName val="HD UPAH"/>
      <sheetName val="DG "/>
      <sheetName val="UPH,BHN,ALT"/>
      <sheetName val="Gia"/>
      <sheetName val="Met_ Minor"/>
      <sheetName val="NS GD.UGD"/>
      <sheetName val="STD GD.UGD"/>
      <sheetName val="AnalisaSIPIL RIIL RAP"/>
      <sheetName val="h.sat-bbm"/>
      <sheetName val="MAPDC"/>
      <sheetName val="PO-2"/>
      <sheetName val="Agregat Halus &amp; Kasar"/>
      <sheetName val="dc"/>
      <sheetName val="Rate"/>
      <sheetName val="Master Dat"/>
      <sheetName val="sd"/>
      <sheetName val="boq2"/>
      <sheetName val="Lamp-4"/>
      <sheetName val="Markup"/>
      <sheetName val="Daftar berat"/>
      <sheetName val="sat-Harga"/>
    </sheetNames>
    <sheetDataSet>
      <sheetData sheetId="0">
        <row r="7">
          <cell r="P7" t="str">
            <v xml:space="preserve">B U D G E T A R Y </v>
          </cell>
        </row>
      </sheetData>
      <sheetData sheetId="1"/>
      <sheetData sheetId="2"/>
      <sheetData sheetId="3"/>
      <sheetData sheetId="4"/>
      <sheetData sheetId="5"/>
      <sheetData sheetId="6"/>
      <sheetData sheetId="7"/>
      <sheetData sheetId="8"/>
      <sheetData sheetId="9"/>
      <sheetData sheetId="10">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sheetData sheetId="263" refreshError="1"/>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HARGA"/>
      <sheetName val="RAB. OE"/>
      <sheetName val="Rab."/>
      <sheetName val="REKAP"/>
      <sheetName val="ANALISA"/>
    </sheetNames>
    <sheetDataSet>
      <sheetData sheetId="0" refreshError="1">
        <row r="17">
          <cell r="H17">
            <v>18000</v>
          </cell>
        </row>
      </sheetData>
      <sheetData sheetId="1" refreshError="1"/>
      <sheetData sheetId="2" refreshError="1"/>
      <sheetData sheetId="3" refreshError="1"/>
      <sheetData sheetId="4"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1.0"/>
      <sheetName val="Master 1.0 (2)"/>
      <sheetName val="Master Sch 1.0-sro2.Adari diske"/>
      <sheetName val="LO"/>
      <sheetName val="HB "/>
    </sheetNames>
    <sheetDataSet>
      <sheetData sheetId="0" refreshError="1"/>
      <sheetData sheetId="1" refreshError="1"/>
      <sheetData sheetId="2" refreshError="1"/>
      <sheetData sheetId="3" refreshError="1"/>
      <sheetData sheetId="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Analisa"/>
      <sheetName val="bahan"/>
      <sheetName val="tabel besi"/>
      <sheetName val="volume"/>
    </sheetNames>
    <sheetDataSet>
      <sheetData sheetId="0"/>
      <sheetData sheetId="1"/>
      <sheetData sheetId="2">
        <row r="85">
          <cell r="F85">
            <v>37450</v>
          </cell>
        </row>
      </sheetData>
      <sheetData sheetId="3"/>
      <sheetData sheetId="4"/>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DN"/>
      <sheetName val="Rekap"/>
      <sheetName val="RAB"/>
      <sheetName val="Analisa Teknis"/>
      <sheetName val="TS"/>
      <sheetName val="JADWAL ALAT (2)"/>
      <sheetName val="JADWAL BAHAN (2)"/>
      <sheetName val="TS BAHAN"/>
      <sheetName val="JADWAL BAHAN"/>
      <sheetName val="JADWAL PERSONIL"/>
      <sheetName val="JADWAL ALAT"/>
      <sheetName val="STRUKTUR"/>
      <sheetName val="SUBKONT"/>
      <sheetName val="Upah Bahan"/>
      <sheetName val="Analisa"/>
      <sheetName val="Sheet1"/>
    </sheetNames>
    <sheetDataSet>
      <sheetData sheetId="0"/>
      <sheetData sheetId="1">
        <row r="22">
          <cell r="H22">
            <v>472994000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
      <sheetName val="ANALISA"/>
      <sheetName val="RAB"/>
      <sheetName val="HARGA"/>
    </sheetNames>
    <sheetDataSet>
      <sheetData sheetId="0" refreshError="1"/>
      <sheetData sheetId="1" refreshError="1"/>
      <sheetData sheetId="2" refreshError="1"/>
      <sheetData sheetId="3" refreshError="1">
        <row r="52">
          <cell r="F52">
            <v>5000</v>
          </cell>
        </row>
      </sheetData>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
      <sheetName val="REKAP"/>
      <sheetName val="RAB"/>
      <sheetName val="Scdule"/>
      <sheetName val="ANALISA-SNI"/>
      <sheetName val="Daftar Upah"/>
      <sheetName val="cOVER"/>
      <sheetName val="SAMPU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2)"/>
      <sheetName val="B(2)"/>
      <sheetName val="M(8)"/>
      <sheetName val="M(7)"/>
      <sheetName val="M(6)"/>
      <sheetName val="M(5)"/>
      <sheetName val="ts(1)"/>
      <sheetName val="B(1)"/>
      <sheetName val="M(4)"/>
      <sheetName val="M(3)"/>
      <sheetName val="M(2)"/>
      <sheetName val="M(1)"/>
      <sheetName val="Rekap"/>
      <sheetName val="Analisa"/>
      <sheetName val="har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4">
          <cell r="B14">
            <v>1</v>
          </cell>
          <cell r="C14" t="str">
            <v>Pekerja</v>
          </cell>
          <cell r="F14" t="str">
            <v>Hari</v>
          </cell>
          <cell r="G14">
            <v>22000</v>
          </cell>
        </row>
        <row r="15">
          <cell r="B15">
            <v>2</v>
          </cell>
          <cell r="C15" t="str">
            <v>Tukang</v>
          </cell>
          <cell r="F15" t="str">
            <v>Hari</v>
          </cell>
          <cell r="G15">
            <v>27000</v>
          </cell>
        </row>
        <row r="16">
          <cell r="B16">
            <v>3</v>
          </cell>
          <cell r="C16" t="str">
            <v>Kepala Tukang</v>
          </cell>
          <cell r="F16" t="str">
            <v>Hari</v>
          </cell>
          <cell r="G16">
            <v>30000</v>
          </cell>
        </row>
        <row r="17">
          <cell r="B17">
            <v>4</v>
          </cell>
          <cell r="C17" t="str">
            <v>Mandor</v>
          </cell>
          <cell r="F17" t="str">
            <v>Hari</v>
          </cell>
          <cell r="G17">
            <v>29000</v>
          </cell>
        </row>
        <row r="19">
          <cell r="B19" t="str">
            <v>II.</v>
          </cell>
          <cell r="C19" t="str">
            <v>BAHAN</v>
          </cell>
        </row>
        <row r="20">
          <cell r="B20">
            <v>1</v>
          </cell>
          <cell r="C20" t="str">
            <v>Batu Kali/Batu Belah</v>
          </cell>
          <cell r="F20" t="str">
            <v>M3</v>
          </cell>
          <cell r="G20">
            <v>70000</v>
          </cell>
        </row>
        <row r="21">
          <cell r="B21">
            <v>2</v>
          </cell>
          <cell r="C21" t="str">
            <v>Kerikil</v>
          </cell>
          <cell r="F21" t="str">
            <v>M3</v>
          </cell>
          <cell r="G21">
            <v>65000</v>
          </cell>
        </row>
        <row r="22">
          <cell r="B22">
            <v>3</v>
          </cell>
          <cell r="C22" t="str">
            <v>Pasir Pasang</v>
          </cell>
          <cell r="F22" t="str">
            <v>M3</v>
          </cell>
          <cell r="G22">
            <v>60000</v>
          </cell>
        </row>
        <row r="23">
          <cell r="B23">
            <v>4</v>
          </cell>
          <cell r="C23" t="str">
            <v>Pasir Urug</v>
          </cell>
          <cell r="F23" t="str">
            <v>M3</v>
          </cell>
          <cell r="G23">
            <v>50000</v>
          </cell>
        </row>
        <row r="24">
          <cell r="B24">
            <v>5</v>
          </cell>
          <cell r="C24" t="str">
            <v>Pasir Plester</v>
          </cell>
          <cell r="F24" t="str">
            <v>M3</v>
          </cell>
          <cell r="G24">
            <v>50000</v>
          </cell>
        </row>
        <row r="25">
          <cell r="B25">
            <v>6</v>
          </cell>
          <cell r="C25" t="str">
            <v>Tanah Urug</v>
          </cell>
          <cell r="F25" t="str">
            <v>M3</v>
          </cell>
          <cell r="G25">
            <v>50000</v>
          </cell>
        </row>
        <row r="26">
          <cell r="B26">
            <v>7</v>
          </cell>
          <cell r="C26" t="str">
            <v>Batu Bata</v>
          </cell>
          <cell r="F26" t="str">
            <v>Buah</v>
          </cell>
          <cell r="G26">
            <v>350</v>
          </cell>
        </row>
        <row r="27">
          <cell r="B27">
            <v>8</v>
          </cell>
          <cell r="C27" t="str">
            <v>Kapur</v>
          </cell>
          <cell r="F27" t="str">
            <v>Kg</v>
          </cell>
          <cell r="G27">
            <v>4500</v>
          </cell>
        </row>
        <row r="28">
          <cell r="B28">
            <v>9</v>
          </cell>
          <cell r="C28" t="str">
            <v>Semen Portland</v>
          </cell>
          <cell r="F28" t="str">
            <v>Zak</v>
          </cell>
          <cell r="G28">
            <v>31000</v>
          </cell>
        </row>
        <row r="29">
          <cell r="B29">
            <v>10</v>
          </cell>
          <cell r="C29" t="str">
            <v>Semen Warna</v>
          </cell>
          <cell r="F29" t="str">
            <v>Zak</v>
          </cell>
          <cell r="G29">
            <v>48500</v>
          </cell>
        </row>
        <row r="30">
          <cell r="B30">
            <v>11</v>
          </cell>
          <cell r="C30" t="str">
            <v>Seng Gelombang BJLS.20</v>
          </cell>
          <cell r="F30" t="str">
            <v>Lbr</v>
          </cell>
          <cell r="G30">
            <v>30000</v>
          </cell>
        </row>
        <row r="31">
          <cell r="B31">
            <v>12</v>
          </cell>
          <cell r="C31" t="str">
            <v>Seng Plat BJLS.22</v>
          </cell>
          <cell r="F31" t="str">
            <v>Lbr</v>
          </cell>
          <cell r="G31">
            <v>10000</v>
          </cell>
        </row>
        <row r="32">
          <cell r="B32">
            <v>13</v>
          </cell>
          <cell r="C32" t="str">
            <v>Kayu Kelas II</v>
          </cell>
          <cell r="F32" t="str">
            <v>M3</v>
          </cell>
          <cell r="G32">
            <v>1300000</v>
          </cell>
        </row>
        <row r="33">
          <cell r="B33">
            <v>14</v>
          </cell>
          <cell r="C33" t="str">
            <v>Kayu Kelas III</v>
          </cell>
          <cell r="F33" t="str">
            <v>M3</v>
          </cell>
          <cell r="G33">
            <v>900000</v>
          </cell>
        </row>
        <row r="34">
          <cell r="B34">
            <v>15</v>
          </cell>
          <cell r="C34" t="str">
            <v>Teakwood</v>
          </cell>
          <cell r="F34" t="str">
            <v>Lbr</v>
          </cell>
          <cell r="G34">
            <v>54450</v>
          </cell>
        </row>
        <row r="35">
          <cell r="B35">
            <v>16</v>
          </cell>
          <cell r="C35" t="str">
            <v>Tripleks 3 mm</v>
          </cell>
          <cell r="F35" t="str">
            <v>Lbr</v>
          </cell>
          <cell r="G35">
            <v>36000</v>
          </cell>
        </row>
        <row r="36">
          <cell r="B36">
            <v>17</v>
          </cell>
          <cell r="C36" t="str">
            <v>Tripleks Lapis Aluminium</v>
          </cell>
          <cell r="F36" t="str">
            <v>Lbr</v>
          </cell>
          <cell r="G36">
            <v>72600</v>
          </cell>
        </row>
        <row r="37">
          <cell r="B37">
            <v>18</v>
          </cell>
          <cell r="C37" t="str">
            <v>Besi Beton</v>
          </cell>
          <cell r="F37" t="str">
            <v>Kg</v>
          </cell>
          <cell r="G37">
            <v>6000</v>
          </cell>
        </row>
        <row r="38">
          <cell r="B38">
            <v>19</v>
          </cell>
          <cell r="C38" t="str">
            <v>Besi Strip</v>
          </cell>
          <cell r="F38" t="str">
            <v>Kg</v>
          </cell>
          <cell r="G38">
            <v>7500</v>
          </cell>
        </row>
        <row r="39">
          <cell r="B39">
            <v>20</v>
          </cell>
          <cell r="C39" t="str">
            <v>Kawat Beton (Bendrat)</v>
          </cell>
          <cell r="F39" t="str">
            <v>Kg</v>
          </cell>
          <cell r="G39">
            <v>9000</v>
          </cell>
        </row>
        <row r="40">
          <cell r="B40">
            <v>21</v>
          </cell>
          <cell r="C40" t="str">
            <v>Paku Tripleks</v>
          </cell>
          <cell r="F40" t="str">
            <v>Kg</v>
          </cell>
          <cell r="G40">
            <v>15000</v>
          </cell>
        </row>
        <row r="41">
          <cell r="B41">
            <v>22</v>
          </cell>
          <cell r="C41" t="str">
            <v>Paku Biasa</v>
          </cell>
          <cell r="F41" t="str">
            <v>Kg</v>
          </cell>
          <cell r="G41">
            <v>9500</v>
          </cell>
        </row>
        <row r="42">
          <cell r="B42">
            <v>23</v>
          </cell>
          <cell r="C42" t="str">
            <v>Paku Seng</v>
          </cell>
          <cell r="F42" t="str">
            <v>Kg</v>
          </cell>
          <cell r="G42">
            <v>15000</v>
          </cell>
        </row>
        <row r="43">
          <cell r="B43">
            <v>24</v>
          </cell>
          <cell r="C43" t="str">
            <v>Kunci Tanam 2 Slaag</v>
          </cell>
          <cell r="F43" t="str">
            <v>Buah</v>
          </cell>
          <cell r="G43">
            <v>40000</v>
          </cell>
        </row>
        <row r="44">
          <cell r="B44">
            <v>25</v>
          </cell>
          <cell r="C44" t="str">
            <v>Kunci Pintu Biasa</v>
          </cell>
          <cell r="F44" t="str">
            <v>Buah</v>
          </cell>
          <cell r="G44">
            <v>25500</v>
          </cell>
        </row>
        <row r="45">
          <cell r="B45">
            <v>26</v>
          </cell>
          <cell r="C45" t="str">
            <v>Hak Angin</v>
          </cell>
          <cell r="F45" t="str">
            <v>Buah</v>
          </cell>
          <cell r="G45">
            <v>6500</v>
          </cell>
        </row>
        <row r="46">
          <cell r="B46">
            <v>27</v>
          </cell>
          <cell r="C46" t="str">
            <v>Engsel Pintu</v>
          </cell>
          <cell r="F46" t="str">
            <v>Pasang</v>
          </cell>
          <cell r="G46">
            <v>9500</v>
          </cell>
        </row>
        <row r="47">
          <cell r="B47">
            <v>28</v>
          </cell>
          <cell r="C47" t="str">
            <v>Grendel Pintu</v>
          </cell>
          <cell r="F47" t="str">
            <v>Buah</v>
          </cell>
          <cell r="G47">
            <v>4500</v>
          </cell>
        </row>
        <row r="48">
          <cell r="B48">
            <v>29</v>
          </cell>
          <cell r="C48" t="str">
            <v>Engsel Jendela</v>
          </cell>
          <cell r="F48" t="str">
            <v>Pasang</v>
          </cell>
          <cell r="G48">
            <v>7500</v>
          </cell>
        </row>
        <row r="49">
          <cell r="B49">
            <v>30</v>
          </cell>
          <cell r="C49" t="str">
            <v>Grendel Jendela</v>
          </cell>
          <cell r="F49" t="str">
            <v>Buah</v>
          </cell>
          <cell r="G49">
            <v>4500</v>
          </cell>
        </row>
        <row r="50">
          <cell r="B50">
            <v>31</v>
          </cell>
          <cell r="C50" t="str">
            <v>Tarikan Jendela</v>
          </cell>
          <cell r="F50" t="str">
            <v>Buah</v>
          </cell>
          <cell r="G50">
            <v>4500</v>
          </cell>
        </row>
        <row r="51">
          <cell r="B51">
            <v>32</v>
          </cell>
          <cell r="C51" t="str">
            <v>Kaca Bening (5 mm)</v>
          </cell>
          <cell r="F51" t="str">
            <v>M2</v>
          </cell>
          <cell r="G51">
            <v>95000</v>
          </cell>
        </row>
        <row r="52">
          <cell r="B52">
            <v>33</v>
          </cell>
          <cell r="C52" t="str">
            <v>Sekring Kast Kosong DN 3 G</v>
          </cell>
          <cell r="F52" t="str">
            <v>Set</v>
          </cell>
          <cell r="G52">
            <v>70000</v>
          </cell>
        </row>
        <row r="53">
          <cell r="B53">
            <v>34</v>
          </cell>
          <cell r="C53" t="str">
            <v>Lampu Pijar 40 Watt</v>
          </cell>
          <cell r="F53" t="str">
            <v>Buah</v>
          </cell>
          <cell r="G53">
            <v>7500</v>
          </cell>
        </row>
        <row r="54">
          <cell r="B54">
            <v>35</v>
          </cell>
          <cell r="C54" t="str">
            <v>Lampu TL 20 Watt</v>
          </cell>
          <cell r="F54" t="str">
            <v>Buah</v>
          </cell>
          <cell r="G54">
            <v>45000</v>
          </cell>
        </row>
        <row r="55">
          <cell r="B55">
            <v>36</v>
          </cell>
          <cell r="C55" t="str">
            <v>Stop Kontak</v>
          </cell>
          <cell r="F55" t="str">
            <v>Buah</v>
          </cell>
          <cell r="G55">
            <v>12500</v>
          </cell>
        </row>
        <row r="56">
          <cell r="B56">
            <v>37</v>
          </cell>
          <cell r="C56" t="str">
            <v>Saklar Tunggal</v>
          </cell>
          <cell r="F56" t="str">
            <v>Buah</v>
          </cell>
          <cell r="G56">
            <v>9500</v>
          </cell>
        </row>
        <row r="57">
          <cell r="B57">
            <v>38</v>
          </cell>
          <cell r="C57" t="str">
            <v>Saklar Ganda</v>
          </cell>
          <cell r="F57" t="str">
            <v>Buah</v>
          </cell>
          <cell r="G57">
            <v>10500</v>
          </cell>
        </row>
        <row r="58">
          <cell r="B58">
            <v>39</v>
          </cell>
          <cell r="C58" t="str">
            <v>Kabel NYM 2x2 1/2 mm Panjang 50 m</v>
          </cell>
          <cell r="F58" t="str">
            <v>Roll</v>
          </cell>
          <cell r="G58">
            <v>160000</v>
          </cell>
        </row>
        <row r="59">
          <cell r="B59">
            <v>40</v>
          </cell>
          <cell r="C59" t="str">
            <v>Boks Sekring 6 Grup</v>
          </cell>
          <cell r="F59" t="str">
            <v>Set</v>
          </cell>
          <cell r="G59">
            <v>75000</v>
          </cell>
        </row>
        <row r="60">
          <cell r="B60">
            <v>41</v>
          </cell>
          <cell r="C60" t="str">
            <v>Kertas Pasir</v>
          </cell>
          <cell r="F60" t="str">
            <v>Lbr</v>
          </cell>
          <cell r="G60">
            <v>3000</v>
          </cell>
        </row>
        <row r="61">
          <cell r="B61">
            <v>42</v>
          </cell>
          <cell r="C61" t="str">
            <v>Plamir Kayu</v>
          </cell>
          <cell r="F61" t="str">
            <v>Kg</v>
          </cell>
          <cell r="G61">
            <v>15000</v>
          </cell>
        </row>
        <row r="62">
          <cell r="B62">
            <v>43</v>
          </cell>
          <cell r="C62" t="str">
            <v>Meni Kayu</v>
          </cell>
          <cell r="F62" t="str">
            <v>Kg</v>
          </cell>
          <cell r="G62">
            <v>15500</v>
          </cell>
        </row>
        <row r="63">
          <cell r="B63">
            <v>44</v>
          </cell>
          <cell r="C63" t="str">
            <v>Cat Tembok</v>
          </cell>
          <cell r="F63" t="str">
            <v>Kg</v>
          </cell>
          <cell r="G63">
            <v>6000</v>
          </cell>
        </row>
        <row r="64">
          <cell r="B64">
            <v>45</v>
          </cell>
          <cell r="C64" t="str">
            <v>Cat Atap</v>
          </cell>
          <cell r="F64" t="str">
            <v>Kg</v>
          </cell>
          <cell r="G64">
            <v>15000</v>
          </cell>
        </row>
        <row r="65">
          <cell r="B65">
            <v>46</v>
          </cell>
          <cell r="C65" t="str">
            <v>Cat Kayu</v>
          </cell>
          <cell r="F65" t="str">
            <v>Kg</v>
          </cell>
          <cell r="G65">
            <v>28000</v>
          </cell>
        </row>
        <row r="66">
          <cell r="B66">
            <v>47</v>
          </cell>
          <cell r="C66" t="str">
            <v>Plamir Tembok</v>
          </cell>
          <cell r="F66" t="str">
            <v>Kg</v>
          </cell>
          <cell r="G66">
            <v>15000</v>
          </cell>
        </row>
        <row r="67">
          <cell r="B67">
            <v>48</v>
          </cell>
          <cell r="C67" t="str">
            <v>Minyak Cat</v>
          </cell>
          <cell r="F67" t="str">
            <v>Ltr</v>
          </cell>
          <cell r="G67">
            <v>7500</v>
          </cell>
        </row>
        <row r="68">
          <cell r="B68">
            <v>49</v>
          </cell>
          <cell r="C68" t="str">
            <v>Politur/Teak Oil</v>
          </cell>
          <cell r="F68" t="str">
            <v>Kg</v>
          </cell>
          <cell r="G68">
            <v>24500</v>
          </cell>
        </row>
        <row r="69">
          <cell r="B69">
            <v>50</v>
          </cell>
          <cell r="C69" t="str">
            <v>Teer/Residu</v>
          </cell>
          <cell r="F69" t="str">
            <v>Kg</v>
          </cell>
          <cell r="G69">
            <v>3750</v>
          </cell>
        </row>
        <row r="70">
          <cell r="B70">
            <v>51</v>
          </cell>
          <cell r="C70" t="str">
            <v>Minyak Bekisting</v>
          </cell>
          <cell r="F70" t="str">
            <v>Ltr</v>
          </cell>
          <cell r="G70">
            <v>2000</v>
          </cell>
        </row>
        <row r="71">
          <cell r="B71">
            <v>52</v>
          </cell>
          <cell r="C71" t="str">
            <v>List Kaca</v>
          </cell>
          <cell r="F71" t="str">
            <v>Btg</v>
          </cell>
          <cell r="G71">
            <v>4000</v>
          </cell>
        </row>
        <row r="72">
          <cell r="B72">
            <v>53</v>
          </cell>
          <cell r="C72" t="str">
            <v>List Kayu</v>
          </cell>
          <cell r="F72" t="str">
            <v>Btg</v>
          </cell>
          <cell r="G72">
            <v>4000</v>
          </cell>
        </row>
        <row r="73">
          <cell r="B73">
            <v>54</v>
          </cell>
          <cell r="C73" t="str">
            <v>Kawat Ram Harmonika 2 Inchi</v>
          </cell>
          <cell r="F73" t="str">
            <v>M2</v>
          </cell>
          <cell r="G73">
            <v>12500</v>
          </cell>
        </row>
        <row r="74">
          <cell r="B74">
            <v>55</v>
          </cell>
          <cell r="C74" t="str">
            <v>Pipa Penghawaan</v>
          </cell>
          <cell r="F74" t="str">
            <v>Buah</v>
          </cell>
          <cell r="G74">
            <v>12500</v>
          </cell>
        </row>
        <row r="75">
          <cell r="B75">
            <v>56</v>
          </cell>
          <cell r="C75" t="str">
            <v>Cawat, Beugel, Angker dan Baut</v>
          </cell>
          <cell r="F75" t="str">
            <v>Kg</v>
          </cell>
          <cell r="G75">
            <v>12500</v>
          </cell>
        </row>
        <row r="76">
          <cell r="B76">
            <v>57</v>
          </cell>
          <cell r="C76" t="str">
            <v>Lem Kayu</v>
          </cell>
          <cell r="F76" t="str">
            <v>Kg</v>
          </cell>
          <cell r="G76">
            <v>20500</v>
          </cell>
        </row>
      </sheetData>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Harga Satuan2007"/>
      <sheetName val="REKAP TOTAL"/>
      <sheetName val="Rekab WC"/>
      <sheetName val="PEMB. WC"/>
      <sheetName val="Rekab REHAB KELAS"/>
      <sheetName val="REHAB KELAS"/>
      <sheetName val="Rekab REHAB rumah"/>
      <sheetName val="REHAB ruma"/>
      <sheetName val="Rekapitulasi Total"/>
      <sheetName val="Operasional"/>
      <sheetName val="Fasilita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rt_perny"/>
      <sheetName val="f1"/>
      <sheetName val="Fom_1"/>
      <sheetName val="F3"/>
      <sheetName val="Fon_2"/>
      <sheetName val="Dt1"/>
      <sheetName val="Nrc"/>
      <sheetName val="STO"/>
      <sheetName val="Pers"/>
      <sheetName val="Alat"/>
      <sheetName val="Pengalaman"/>
      <sheetName val="Modal"/>
      <sheetName val="SK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sheetName val="Rumus Terbilang"/>
      <sheetName val="Harga satuan"/>
    </sheetNames>
    <sheetDataSet>
      <sheetData sheetId="0">
        <row r="37">
          <cell r="E37">
            <v>49970000</v>
          </cell>
        </row>
      </sheetData>
      <sheetData sheetId="1"/>
      <sheetData sheetId="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Rekapitulasi"/>
      <sheetName val="Rab"/>
      <sheetName val="SRT_Penawaran1"/>
      <sheetName val="SRT_Penawaran2"/>
      <sheetName val="SRT_Penawaran3"/>
      <sheetName val="peng -PER"/>
      <sheetName val="Data Alat"/>
      <sheetName val="Jadwal Pelak."/>
      <sheetName val="Jadwal_Penugasan"/>
      <sheetName val="personalia"/>
      <sheetName val="NyataSedia"/>
    </sheetNames>
    <sheetDataSet>
      <sheetData sheetId="0">
        <row r="3">
          <cell r="D3" t="str">
            <v>CV. MASULU CONSULINDO</v>
          </cell>
        </row>
        <row r="6">
          <cell r="D6" t="str">
            <v>A  M  I  N,  ST</v>
          </cell>
        </row>
        <row r="7">
          <cell r="D7" t="str">
            <v>Direktur</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2)"/>
      <sheetName val="Sbarani"/>
      <sheetName val="Bungku"/>
      <sheetName val="bahan"/>
    </sheetNames>
    <sheetDataSet>
      <sheetData sheetId="0"/>
      <sheetData sheetId="1"/>
      <sheetData sheetId="2"/>
      <sheetData sheetId="3"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sheetName val="RAB"/>
      <sheetName val="RAB pnwrN"/>
      <sheetName val="Rekap"/>
      <sheetName val="Sheet1"/>
    </sheetNames>
    <sheetDataSet>
      <sheetData sheetId="0" refreshError="1">
        <row r="15">
          <cell r="J15">
            <v>28500</v>
          </cell>
        </row>
        <row r="36">
          <cell r="J36">
            <v>45250</v>
          </cell>
        </row>
        <row r="37">
          <cell r="J37">
            <v>45750</v>
          </cell>
        </row>
        <row r="71">
          <cell r="J71">
            <v>13500</v>
          </cell>
        </row>
      </sheetData>
      <sheetData sheetId="1" refreshError="1"/>
      <sheetData sheetId="2" refreshError="1"/>
      <sheetData sheetId="3" refreshError="1"/>
      <sheetData sheetId="4" refreshError="1"/>
      <sheetData sheetId="5"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GGUAN"/>
      <sheetName val="BULANAN"/>
      <sheetName val="SERTIFIKAT ( MC )"/>
      <sheetName val="TIME SCHEDULE"/>
    </sheetNames>
    <sheetDataSet>
      <sheetData sheetId="0" refreshError="1">
        <row r="5">
          <cell r="D5" t="str">
            <v>PROYEK</v>
          </cell>
          <cell r="E5" t="str">
            <v>:</v>
          </cell>
          <cell r="F5" t="str">
            <v>PENGEMBANGAN FASILITAS PELABUHAN LAUT SULAWESI TENGAH</v>
          </cell>
        </row>
        <row r="6">
          <cell r="D6" t="str">
            <v>PEKERJAAN</v>
          </cell>
          <cell r="E6" t="str">
            <v>:</v>
          </cell>
          <cell r="F6" t="str">
            <v>PEMBANGUNAN TERMINAL PENUMPANG  = 250 M² DI PELABUHAN WANI</v>
          </cell>
        </row>
        <row r="7">
          <cell r="D7" t="str">
            <v>L O K A S I</v>
          </cell>
          <cell r="E7" t="str">
            <v>:</v>
          </cell>
          <cell r="F7" t="str">
            <v>PELABUHAN LAUT WANI</v>
          </cell>
        </row>
        <row r="8">
          <cell r="D8" t="str">
            <v>KONTRAKTOR</v>
          </cell>
          <cell r="E8" t="str">
            <v>:</v>
          </cell>
          <cell r="F8" t="str">
            <v>CV.  RESKI PRATAMA INDAH</v>
          </cell>
        </row>
        <row r="9">
          <cell r="D9" t="str">
            <v>KONSULTAN PENGAWAS</v>
          </cell>
          <cell r="E9" t="str">
            <v>:</v>
          </cell>
          <cell r="F9" t="str">
            <v>CV.   INDY GITA PERSADA</v>
          </cell>
        </row>
        <row r="10">
          <cell r="D10" t="str">
            <v>TAHUN ANGGARAN</v>
          </cell>
          <cell r="E10" t="str">
            <v>:</v>
          </cell>
          <cell r="F10" t="str">
            <v>2003</v>
          </cell>
        </row>
        <row r="12">
          <cell r="B12" t="str">
            <v>No.</v>
          </cell>
          <cell r="C12" t="str">
            <v>JENIS  KEGIATAN</v>
          </cell>
          <cell r="F12" t="str">
            <v>SAT.</v>
          </cell>
          <cell r="G12" t="str">
            <v>VOL</v>
          </cell>
          <cell r="H12" t="str">
            <v>VOLUME YG. SUDAH DIKERJAKAN</v>
          </cell>
          <cell r="I12" t="str">
            <v>VOLUME YG. AKAN DIKERJAKAN</v>
          </cell>
          <cell r="J12" t="str">
            <v>HARGA SATUAN</v>
          </cell>
          <cell r="K12" t="str">
            <v>BOBOT</v>
          </cell>
          <cell r="L12" t="str">
            <v>MINGGU</v>
          </cell>
        </row>
        <row r="13">
          <cell r="J13" t="str">
            <v>(Rp.)</v>
          </cell>
          <cell r="K13" t="str">
            <v>%</v>
          </cell>
          <cell r="L13" t="str">
            <v>LALU</v>
          </cell>
        </row>
        <row r="14">
          <cell r="L14" t="str">
            <v>VOL</v>
          </cell>
          <cell r="M14" t="str">
            <v>BOBOT</v>
          </cell>
        </row>
        <row r="15">
          <cell r="B15" t="str">
            <v>01</v>
          </cell>
          <cell r="C15" t="str">
            <v>02</v>
          </cell>
          <cell r="F15" t="str">
            <v>03</v>
          </cell>
          <cell r="G15" t="str">
            <v>04</v>
          </cell>
          <cell r="H15" t="str">
            <v>05</v>
          </cell>
          <cell r="I15" t="str">
            <v>06</v>
          </cell>
          <cell r="J15" t="str">
            <v>05</v>
          </cell>
          <cell r="K15" t="str">
            <v>06.</v>
          </cell>
          <cell r="L15" t="str">
            <v>07</v>
          </cell>
          <cell r="M15" t="str">
            <v>08</v>
          </cell>
        </row>
        <row r="16">
          <cell r="B16" t="str">
            <v>A</v>
          </cell>
          <cell r="D16" t="str">
            <v>PEKERJAAN PERSIAPAN</v>
          </cell>
        </row>
        <row r="17">
          <cell r="B17">
            <v>1</v>
          </cell>
          <cell r="D17" t="str">
            <v>Pembersihan Lokasi</v>
          </cell>
          <cell r="F17" t="str">
            <v>ls</v>
          </cell>
          <cell r="G17">
            <v>1</v>
          </cell>
          <cell r="J17">
            <v>250000</v>
          </cell>
          <cell r="K17">
            <v>8.8120373568386659E-2</v>
          </cell>
          <cell r="L17">
            <v>0</v>
          </cell>
          <cell r="M17">
            <v>0</v>
          </cell>
        </row>
        <row r="18">
          <cell r="B18">
            <v>2</v>
          </cell>
          <cell r="D18" t="str">
            <v>Pengukuran/Pemasangan Patok/Bouwplank</v>
          </cell>
          <cell r="F18" t="str">
            <v>ls</v>
          </cell>
          <cell r="G18">
            <v>1</v>
          </cell>
          <cell r="J18">
            <v>200000</v>
          </cell>
          <cell r="K18">
            <v>7.049629885470933E-2</v>
          </cell>
          <cell r="L18">
            <v>0</v>
          </cell>
          <cell r="M18">
            <v>0</v>
          </cell>
        </row>
        <row r="19">
          <cell r="B19">
            <v>3</v>
          </cell>
          <cell r="D19" t="str">
            <v>Pembuatan Direksi Keet/Barak kerja</v>
          </cell>
          <cell r="F19" t="str">
            <v>ls</v>
          </cell>
          <cell r="G19">
            <v>1</v>
          </cell>
          <cell r="J19">
            <v>800000</v>
          </cell>
          <cell r="K19">
            <v>0.28198519541883732</v>
          </cell>
          <cell r="L19">
            <v>0</v>
          </cell>
          <cell r="M19">
            <v>0</v>
          </cell>
        </row>
        <row r="20">
          <cell r="B20">
            <v>4</v>
          </cell>
          <cell r="D20" t="str">
            <v>Pembuatan Papan Nama Proyek</v>
          </cell>
          <cell r="F20" t="str">
            <v>ls</v>
          </cell>
          <cell r="G20">
            <v>1</v>
          </cell>
          <cell r="J20">
            <v>250000</v>
          </cell>
          <cell r="K20">
            <v>8.8120373568386659E-2</v>
          </cell>
          <cell r="L20">
            <v>0</v>
          </cell>
          <cell r="M20">
            <v>0</v>
          </cell>
        </row>
        <row r="21">
          <cell r="D21" t="str">
            <v>Jumlah</v>
          </cell>
          <cell r="K21">
            <v>0.52872224141031998</v>
          </cell>
        </row>
        <row r="22">
          <cell r="B22" t="str">
            <v>B</v>
          </cell>
          <cell r="D22" t="str">
            <v>PEKERJAAN TANAH/PASIR</v>
          </cell>
        </row>
        <row r="23">
          <cell r="B23">
            <v>1</v>
          </cell>
          <cell r="D23" t="str">
            <v>Galian Tanah</v>
          </cell>
          <cell r="F23" t="str">
            <v>M³</v>
          </cell>
          <cell r="G23">
            <v>76.599999999999994</v>
          </cell>
          <cell r="J23">
            <v>15675</v>
          </cell>
          <cell r="K23">
            <v>0.42322629258171884</v>
          </cell>
          <cell r="L23">
            <v>0</v>
          </cell>
          <cell r="M23">
            <v>0</v>
          </cell>
        </row>
        <row r="24">
          <cell r="B24">
            <v>2</v>
          </cell>
          <cell r="D24" t="str">
            <v>Urugan Bekas Galian</v>
          </cell>
          <cell r="F24" t="str">
            <v>M³</v>
          </cell>
          <cell r="G24">
            <v>20.45</v>
          </cell>
          <cell r="J24">
            <v>3918.75</v>
          </cell>
          <cell r="K24">
            <v>2.8247316198747225E-2</v>
          </cell>
          <cell r="L24">
            <v>0</v>
          </cell>
          <cell r="M24">
            <v>0</v>
          </cell>
        </row>
        <row r="25">
          <cell r="B25">
            <v>3</v>
          </cell>
          <cell r="D25" t="str">
            <v>Urugan Pasir Bawah Lantai/Pondasi</v>
          </cell>
          <cell r="F25" t="str">
            <v>M³</v>
          </cell>
          <cell r="G25">
            <v>38.1</v>
          </cell>
          <cell r="J25">
            <v>68670</v>
          </cell>
          <cell r="K25">
            <v>0.92220685046822548</v>
          </cell>
          <cell r="L25">
            <v>0</v>
          </cell>
          <cell r="M25">
            <v>0</v>
          </cell>
        </row>
        <row r="26">
          <cell r="D26" t="str">
            <v>Urugan tanah Bawah Lantai</v>
          </cell>
          <cell r="F26" t="str">
            <v>M³</v>
          </cell>
          <cell r="G26">
            <v>61.2</v>
          </cell>
          <cell r="J26">
            <v>56070</v>
          </cell>
          <cell r="K26">
            <v>1.2095346078957669</v>
          </cell>
          <cell r="L26">
            <v>0</v>
          </cell>
          <cell r="M26">
            <v>0</v>
          </cell>
        </row>
        <row r="27">
          <cell r="B27">
            <v>4</v>
          </cell>
          <cell r="D27" t="str">
            <v>Urugan tanah Bawah Selasar</v>
          </cell>
          <cell r="F27" t="str">
            <v>M³</v>
          </cell>
          <cell r="G27">
            <v>11.6</v>
          </cell>
          <cell r="J27">
            <v>56070</v>
          </cell>
          <cell r="K27">
            <v>0.22925819365344605</v>
          </cell>
          <cell r="L27">
            <v>0</v>
          </cell>
          <cell r="M27">
            <v>0</v>
          </cell>
        </row>
        <row r="28">
          <cell r="D28" t="str">
            <v>Jumlah</v>
          </cell>
          <cell r="K28">
            <v>2.8124732607979044</v>
          </cell>
        </row>
        <row r="29">
          <cell r="B29" t="str">
            <v>C</v>
          </cell>
          <cell r="D29" t="str">
            <v>PEK. PASANGAN, PLESTERAN DAN ACIAN</v>
          </cell>
        </row>
        <row r="30">
          <cell r="B30">
            <v>1</v>
          </cell>
          <cell r="D30" t="str">
            <v>Pas. Batu kosong</v>
          </cell>
          <cell r="F30" t="str">
            <v>M³</v>
          </cell>
          <cell r="G30">
            <v>16.34</v>
          </cell>
          <cell r="J30">
            <v>124625</v>
          </cell>
          <cell r="K30">
            <v>0.71778362169755794</v>
          </cell>
          <cell r="L30">
            <v>0</v>
          </cell>
          <cell r="M30">
            <v>0</v>
          </cell>
        </row>
        <row r="31">
          <cell r="B31">
            <v>2</v>
          </cell>
          <cell r="D31" t="str">
            <v>Pas. Pondasi Batu Kali 1:5</v>
          </cell>
          <cell r="F31" t="str">
            <v>M³</v>
          </cell>
          <cell r="G31">
            <v>42.35</v>
          </cell>
          <cell r="J31">
            <v>322416</v>
          </cell>
          <cell r="K31">
            <v>4.8128942709335867</v>
          </cell>
          <cell r="L31">
            <v>0</v>
          </cell>
          <cell r="M31">
            <v>0</v>
          </cell>
        </row>
        <row r="32">
          <cell r="B32">
            <v>3</v>
          </cell>
          <cell r="D32" t="str">
            <v>Pas. Pondasi Batu Bata Trasram 1:2</v>
          </cell>
          <cell r="F32" t="str">
            <v>M³</v>
          </cell>
          <cell r="G32">
            <v>4.4800000000000004</v>
          </cell>
          <cell r="J32">
            <v>447189</v>
          </cell>
          <cell r="K32">
            <v>0.70616379430326492</v>
          </cell>
          <cell r="L32">
            <v>0</v>
          </cell>
          <cell r="M32">
            <v>0</v>
          </cell>
        </row>
        <row r="33">
          <cell r="B33">
            <v>4</v>
          </cell>
          <cell r="D33" t="str">
            <v>Pas. 1/2  Batu Bata Trasram 1:3</v>
          </cell>
          <cell r="F33" t="str">
            <v>M³</v>
          </cell>
          <cell r="G33">
            <v>10.6</v>
          </cell>
          <cell r="J33">
            <v>419919</v>
          </cell>
          <cell r="K33">
            <v>1.5689449718948461</v>
          </cell>
          <cell r="L33">
            <v>0</v>
          </cell>
          <cell r="M33">
            <v>0</v>
          </cell>
        </row>
        <row r="34">
          <cell r="B34">
            <v>5</v>
          </cell>
          <cell r="D34" t="str">
            <v>Pas. 1/2 Batu Bata 1:5</v>
          </cell>
          <cell r="F34" t="str">
            <v>M³</v>
          </cell>
          <cell r="G34">
            <v>51.35</v>
          </cell>
          <cell r="J34">
            <v>392599</v>
          </cell>
          <cell r="K34">
            <v>7.1060123494449119</v>
          </cell>
          <cell r="L34">
            <v>0</v>
          </cell>
          <cell r="M34">
            <v>0</v>
          </cell>
        </row>
        <row r="35">
          <cell r="B35">
            <v>6</v>
          </cell>
          <cell r="D35" t="str">
            <v>Pas. Keramik 30 x 30  cm</v>
          </cell>
          <cell r="F35" t="str">
            <v>M²</v>
          </cell>
          <cell r="G35">
            <v>230</v>
          </cell>
          <cell r="J35">
            <v>84006.5</v>
          </cell>
          <cell r="K35">
            <v>6.8104694291988608</v>
          </cell>
          <cell r="L35">
            <v>0</v>
          </cell>
          <cell r="M35">
            <v>0</v>
          </cell>
        </row>
        <row r="36">
          <cell r="B36">
            <v>7</v>
          </cell>
          <cell r="D36" t="str">
            <v>Pas.  Keramik 20 x 20  cm</v>
          </cell>
          <cell r="F36" t="str">
            <v>M²</v>
          </cell>
          <cell r="G36">
            <v>22</v>
          </cell>
          <cell r="J36">
            <v>91459.5</v>
          </cell>
          <cell r="K36">
            <v>0.70923118696125165</v>
          </cell>
          <cell r="L36">
            <v>0</v>
          </cell>
          <cell r="M36">
            <v>0</v>
          </cell>
        </row>
        <row r="37">
          <cell r="B37">
            <v>8</v>
          </cell>
          <cell r="D37" t="str">
            <v>Pas. Dinding  Keramik 20 x 20 cm</v>
          </cell>
          <cell r="F37" t="str">
            <v>M²</v>
          </cell>
          <cell r="G37">
            <v>57</v>
          </cell>
          <cell r="J37">
            <v>91459.5</v>
          </cell>
          <cell r="K37">
            <v>1.8375535298541519</v>
          </cell>
          <cell r="L37">
            <v>0</v>
          </cell>
          <cell r="M37">
            <v>0</v>
          </cell>
        </row>
        <row r="38">
          <cell r="B38">
            <v>9</v>
          </cell>
          <cell r="D38" t="str">
            <v>Pas. Plint   Keramik  10 x 30 cm</v>
          </cell>
          <cell r="F38" t="str">
            <v>M²</v>
          </cell>
          <cell r="G38">
            <v>12.92</v>
          </cell>
          <cell r="J38">
            <v>94924.5</v>
          </cell>
          <cell r="K38">
            <v>0.4322919544729471</v>
          </cell>
          <cell r="L38">
            <v>0</v>
          </cell>
          <cell r="M38">
            <v>0</v>
          </cell>
        </row>
        <row r="39">
          <cell r="B39">
            <v>10</v>
          </cell>
          <cell r="D39" t="str">
            <v>Plesteran  1 :  2</v>
          </cell>
          <cell r="F39" t="str">
            <v>M²</v>
          </cell>
          <cell r="G39">
            <v>164.6</v>
          </cell>
          <cell r="J39">
            <v>21666</v>
          </cell>
          <cell r="K39">
            <v>1.257027823441587</v>
          </cell>
          <cell r="L39">
            <v>0</v>
          </cell>
          <cell r="M39">
            <v>0</v>
          </cell>
        </row>
        <row r="40">
          <cell r="B40">
            <v>11</v>
          </cell>
          <cell r="D40" t="str">
            <v>Plesteran  1  :  5</v>
          </cell>
          <cell r="F40" t="str">
            <v>M²</v>
          </cell>
          <cell r="G40">
            <v>742.6</v>
          </cell>
          <cell r="J40">
            <v>20347.5</v>
          </cell>
          <cell r="K40">
            <v>5.3260142362332337</v>
          </cell>
          <cell r="L40">
            <v>0</v>
          </cell>
          <cell r="M40">
            <v>0</v>
          </cell>
        </row>
        <row r="41">
          <cell r="B41">
            <v>12</v>
          </cell>
          <cell r="D41" t="str">
            <v>Acian Air Semen Beton dan Kaki Pondasi</v>
          </cell>
          <cell r="F41" t="str">
            <v>M²</v>
          </cell>
          <cell r="G41">
            <v>164.6</v>
          </cell>
          <cell r="J41">
            <v>6364</v>
          </cell>
          <cell r="K41">
            <v>0.36922944098505761</v>
          </cell>
          <cell r="L41">
            <v>0</v>
          </cell>
          <cell r="M41">
            <v>0</v>
          </cell>
        </row>
        <row r="42">
          <cell r="B42">
            <v>13</v>
          </cell>
          <cell r="D42" t="str">
            <v>Acian Dinding   1 Pc.   :  7  Kpr.</v>
          </cell>
          <cell r="F42" t="str">
            <v>M²</v>
          </cell>
          <cell r="G42">
            <v>742.6</v>
          </cell>
          <cell r="J42">
            <v>5597.5</v>
          </cell>
          <cell r="K42">
            <v>1.4651610609320813</v>
          </cell>
          <cell r="L42">
            <v>0</v>
          </cell>
          <cell r="M42">
            <v>0</v>
          </cell>
        </row>
        <row r="43">
          <cell r="D43" t="str">
            <v>Jumlah</v>
          </cell>
          <cell r="K43">
            <v>33.118777670353339</v>
          </cell>
        </row>
        <row r="44">
          <cell r="B44" t="str">
            <v>D</v>
          </cell>
          <cell r="D44" t="str">
            <v>PEKERJAAN BETON</v>
          </cell>
        </row>
        <row r="45">
          <cell r="B45">
            <v>1</v>
          </cell>
          <cell r="D45" t="str">
            <v>Cor Lantai Tebal 7 cm.  ( 1  :  3  :  5 )</v>
          </cell>
          <cell r="F45" t="str">
            <v>M³</v>
          </cell>
          <cell r="G45">
            <v>17.64</v>
          </cell>
          <cell r="J45">
            <v>385812.5</v>
          </cell>
          <cell r="K45">
            <v>2.3988947612260403</v>
          </cell>
          <cell r="L45">
            <v>0</v>
          </cell>
          <cell r="M45">
            <v>0</v>
          </cell>
        </row>
        <row r="46">
          <cell r="B46">
            <v>2</v>
          </cell>
          <cell r="D46" t="str">
            <v>Cor Selasar Tbl. 5 cm. ( 1 : 3 : 5 )</v>
          </cell>
          <cell r="F46" t="str">
            <v>M³</v>
          </cell>
          <cell r="G46">
            <v>2.9</v>
          </cell>
          <cell r="J46">
            <v>385812.5</v>
          </cell>
          <cell r="K46">
            <v>0.3943761228772969</v>
          </cell>
          <cell r="L46">
            <v>0</v>
          </cell>
          <cell r="M46">
            <v>0</v>
          </cell>
        </row>
        <row r="47">
          <cell r="B47">
            <v>3</v>
          </cell>
          <cell r="D47" t="str">
            <v>Sloof  15 x 20 cm.  ( BB= 106,94 )</v>
          </cell>
          <cell r="F47" t="str">
            <v>M³</v>
          </cell>
          <cell r="G47">
            <v>4.32</v>
          </cell>
          <cell r="J47">
            <v>1876064.69</v>
          </cell>
          <cell r="K47">
            <v>2.8567213284313646</v>
          </cell>
          <cell r="L47">
            <v>0</v>
          </cell>
          <cell r="M47">
            <v>0</v>
          </cell>
        </row>
        <row r="48">
          <cell r="B48">
            <v>4</v>
          </cell>
          <cell r="D48" t="str">
            <v>Kolom Beton 15 x 20 cm. ( BB =  148,03 )</v>
          </cell>
          <cell r="F48" t="str">
            <v>M³</v>
          </cell>
          <cell r="G48">
            <v>1.88</v>
          </cell>
          <cell r="J48">
            <v>2248975.69</v>
          </cell>
          <cell r="K48">
            <v>1.4903179461766316</v>
          </cell>
          <cell r="L48">
            <v>0</v>
          </cell>
          <cell r="M48">
            <v>0</v>
          </cell>
        </row>
        <row r="49">
          <cell r="B49">
            <v>5</v>
          </cell>
          <cell r="D49" t="str">
            <v>Kolom Praktis 15 x 15  ( BB = 135,93 )</v>
          </cell>
          <cell r="F49" t="str">
            <v>M³</v>
          </cell>
          <cell r="G49">
            <v>3.42</v>
          </cell>
          <cell r="J49">
            <v>2139162.2799999998</v>
          </cell>
          <cell r="K49">
            <v>2.5787316999621837</v>
          </cell>
          <cell r="L49">
            <v>0</v>
          </cell>
          <cell r="M49">
            <v>0</v>
          </cell>
        </row>
        <row r="50">
          <cell r="B50">
            <v>6</v>
          </cell>
          <cell r="D50" t="str">
            <v>Ring Balk  15 x 15  ( BB = 135,93 )</v>
          </cell>
          <cell r="F50" t="str">
            <v>M³</v>
          </cell>
          <cell r="G50">
            <v>3.46</v>
          </cell>
          <cell r="J50">
            <v>2139162.2799999998</v>
          </cell>
          <cell r="K50">
            <v>2.6088923046401038</v>
          </cell>
          <cell r="L50">
            <v>0</v>
          </cell>
          <cell r="M50">
            <v>0</v>
          </cell>
        </row>
        <row r="51">
          <cell r="D51" t="str">
            <v>Jumlah</v>
          </cell>
          <cell r="K51">
            <v>12.327934163313621</v>
          </cell>
        </row>
        <row r="52">
          <cell r="B52" t="str">
            <v>E</v>
          </cell>
          <cell r="D52" t="str">
            <v>PEK. KAYU, PLAFON DAN ATAP</v>
          </cell>
        </row>
        <row r="53">
          <cell r="B53">
            <v>1</v>
          </cell>
          <cell r="D53" t="str">
            <v>Kosen Pintu, Jendela dan Fentilasi</v>
          </cell>
          <cell r="F53" t="str">
            <v>M³</v>
          </cell>
          <cell r="G53">
            <v>3.03</v>
          </cell>
          <cell r="J53">
            <v>2109485</v>
          </cell>
          <cell r="K53">
            <v>2.2529699075913268</v>
          </cell>
          <cell r="L53">
            <v>0</v>
          </cell>
          <cell r="M53">
            <v>0</v>
          </cell>
        </row>
        <row r="54">
          <cell r="B54">
            <v>2</v>
          </cell>
          <cell r="D54" t="str">
            <v>Daun Pintu Panel</v>
          </cell>
          <cell r="F54" t="str">
            <v>M²</v>
          </cell>
          <cell r="G54">
            <v>16.54</v>
          </cell>
          <cell r="J54">
            <v>309741</v>
          </cell>
          <cell r="K54">
            <v>1.8058036323641242</v>
          </cell>
          <cell r="L54">
            <v>0</v>
          </cell>
          <cell r="M54">
            <v>0</v>
          </cell>
        </row>
        <row r="55">
          <cell r="B55">
            <v>3</v>
          </cell>
          <cell r="D55" t="str">
            <v>Daun Pintu Triplex Lap. Aluminium</v>
          </cell>
          <cell r="F55" t="str">
            <v>M²</v>
          </cell>
          <cell r="G55">
            <v>4.9000000000000004</v>
          </cell>
          <cell r="J55">
            <v>263471</v>
          </cell>
          <cell r="K55">
            <v>0.45505639371095352</v>
          </cell>
          <cell r="L55">
            <v>0</v>
          </cell>
          <cell r="M55">
            <v>0</v>
          </cell>
        </row>
        <row r="56">
          <cell r="B56">
            <v>4</v>
          </cell>
          <cell r="D56" t="str">
            <v>Jendelah Jungkit Kaca Rayben 5 mm</v>
          </cell>
          <cell r="F56" t="str">
            <v>M²</v>
          </cell>
          <cell r="G56">
            <v>14.7</v>
          </cell>
          <cell r="J56">
            <v>327635</v>
          </cell>
          <cell r="K56">
            <v>1.6976335333318078</v>
          </cell>
          <cell r="L56">
            <v>0</v>
          </cell>
          <cell r="M56">
            <v>0</v>
          </cell>
        </row>
        <row r="57">
          <cell r="B57">
            <v>5</v>
          </cell>
          <cell r="D57" t="str">
            <v>Jendelah Kaca Mati Rayben 5 mm</v>
          </cell>
          <cell r="F57" t="str">
            <v>M²</v>
          </cell>
          <cell r="G57">
            <v>24.25</v>
          </cell>
          <cell r="J57">
            <v>127807</v>
          </cell>
          <cell r="K57">
            <v>1.092452856711515</v>
          </cell>
          <cell r="L57">
            <v>0</v>
          </cell>
          <cell r="M57">
            <v>0</v>
          </cell>
        </row>
        <row r="58">
          <cell r="B58">
            <v>6</v>
          </cell>
          <cell r="D58" t="str">
            <v>Jalusi Ventilasi</v>
          </cell>
          <cell r="F58" t="str">
            <v>M²</v>
          </cell>
          <cell r="G58">
            <v>34.200000000000003</v>
          </cell>
          <cell r="J58">
            <v>107275</v>
          </cell>
          <cell r="K58">
            <v>1.2931858685982593</v>
          </cell>
          <cell r="L58">
            <v>0</v>
          </cell>
          <cell r="M58">
            <v>0</v>
          </cell>
        </row>
        <row r="59">
          <cell r="B59">
            <v>7</v>
          </cell>
          <cell r="D59" t="str">
            <v>Rangka Plafond + Triplex 3 mm</v>
          </cell>
          <cell r="F59" t="str">
            <v>M²</v>
          </cell>
          <cell r="G59">
            <v>306.99</v>
          </cell>
          <cell r="J59">
            <v>59932.9</v>
          </cell>
          <cell r="K59">
            <v>6.4852368590996603</v>
          </cell>
          <cell r="L59">
            <v>0</v>
          </cell>
          <cell r="M59">
            <v>0</v>
          </cell>
        </row>
        <row r="60">
          <cell r="B60">
            <v>8</v>
          </cell>
          <cell r="D60" t="str">
            <v>List Plafond Kayu</v>
          </cell>
          <cell r="F60" t="str">
            <v>M'</v>
          </cell>
          <cell r="G60">
            <v>262</v>
          </cell>
          <cell r="J60">
            <v>6968.25</v>
          </cell>
          <cell r="K60">
            <v>0.64351894318756997</v>
          </cell>
          <cell r="L60">
            <v>0</v>
          </cell>
          <cell r="M60">
            <v>0</v>
          </cell>
        </row>
        <row r="61">
          <cell r="B61">
            <v>9</v>
          </cell>
          <cell r="D61" t="str">
            <v>List Papan</v>
          </cell>
          <cell r="F61" t="str">
            <v>M²</v>
          </cell>
          <cell r="G61">
            <v>30.06</v>
          </cell>
          <cell r="J61">
            <v>57828</v>
          </cell>
          <cell r="K61">
            <v>0.61272199351657064</v>
          </cell>
          <cell r="L61">
            <v>0</v>
          </cell>
          <cell r="M61">
            <v>0</v>
          </cell>
        </row>
        <row r="62">
          <cell r="B62">
            <v>10</v>
          </cell>
          <cell r="D62" t="str">
            <v>Rangka Kap dan Kuda - Kuda ( &gt; 7 m )</v>
          </cell>
          <cell r="F62" t="str">
            <v>M³</v>
          </cell>
          <cell r="G62">
            <v>9.61</v>
          </cell>
          <cell r="J62">
            <v>2269800</v>
          </cell>
          <cell r="K62">
            <v>7.6886005836971441</v>
          </cell>
          <cell r="L62">
            <v>0</v>
          </cell>
          <cell r="M62">
            <v>0</v>
          </cell>
        </row>
        <row r="63">
          <cell r="B63">
            <v>11</v>
          </cell>
          <cell r="D63" t="str">
            <v>Rangka Kap dan Kuda - Kuda ( &lt; 7 m )</v>
          </cell>
          <cell r="F63" t="str">
            <v>M³</v>
          </cell>
          <cell r="G63">
            <v>1.01</v>
          </cell>
          <cell r="J63">
            <v>1937800</v>
          </cell>
          <cell r="K63">
            <v>0.68986902599931144</v>
          </cell>
          <cell r="L63">
            <v>0</v>
          </cell>
          <cell r="M63">
            <v>0</v>
          </cell>
        </row>
        <row r="64">
          <cell r="B64">
            <v>12</v>
          </cell>
          <cell r="D64" t="str">
            <v>Pas. Atap Seng BJLS No. 20</v>
          </cell>
          <cell r="F64" t="str">
            <v>M²</v>
          </cell>
          <cell r="G64">
            <v>375.09</v>
          </cell>
          <cell r="J64">
            <v>30632.3</v>
          </cell>
          <cell r="K64">
            <v>4.0499663375872696</v>
          </cell>
          <cell r="L64">
            <v>0</v>
          </cell>
          <cell r="M64">
            <v>0</v>
          </cell>
        </row>
        <row r="65">
          <cell r="B65">
            <v>13</v>
          </cell>
          <cell r="D65" t="str">
            <v>Bumbungan Atap</v>
          </cell>
          <cell r="F65" t="str">
            <v>M'</v>
          </cell>
          <cell r="G65">
            <v>51.8</v>
          </cell>
          <cell r="J65">
            <v>15014.85</v>
          </cell>
          <cell r="K65">
            <v>0.27414926039038578</v>
          </cell>
          <cell r="L65">
            <v>0</v>
          </cell>
          <cell r="M65">
            <v>0</v>
          </cell>
        </row>
        <row r="66">
          <cell r="B66">
            <v>14</v>
          </cell>
          <cell r="D66" t="str">
            <v>Talang / Kil Got</v>
          </cell>
          <cell r="F66" t="str">
            <v>M'</v>
          </cell>
          <cell r="G66">
            <v>18.399999999999999</v>
          </cell>
          <cell r="J66">
            <v>15014.85</v>
          </cell>
          <cell r="K66">
            <v>9.7381204462994184E-2</v>
          </cell>
          <cell r="L66">
            <v>0</v>
          </cell>
          <cell r="M66">
            <v>0</v>
          </cell>
        </row>
        <row r="67">
          <cell r="D67" t="str">
            <v>Jumlah</v>
          </cell>
          <cell r="K67">
            <v>29.138546400248892</v>
          </cell>
        </row>
        <row r="68">
          <cell r="D68" t="str">
            <v>PEKERJAAN KUNCI/ALAT PENGGANTUNG</v>
          </cell>
        </row>
        <row r="69">
          <cell r="B69">
            <v>1</v>
          </cell>
          <cell r="D69" t="str">
            <v>Pas. Kunci Tanam 2 Slaag + Pasang</v>
          </cell>
          <cell r="F69" t="str">
            <v>Bh.</v>
          </cell>
          <cell r="G69">
            <v>14</v>
          </cell>
          <cell r="J69">
            <v>90937.5</v>
          </cell>
          <cell r="K69">
            <v>0.44875300239700905</v>
          </cell>
          <cell r="L69">
            <v>0</v>
          </cell>
          <cell r="M69">
            <v>0</v>
          </cell>
        </row>
        <row r="70">
          <cell r="B70">
            <v>2</v>
          </cell>
          <cell r="D70" t="str">
            <v>Pas. Engsel Pintu  + Pasang</v>
          </cell>
          <cell r="F70" t="str">
            <v>Psg.</v>
          </cell>
          <cell r="G70">
            <v>14</v>
          </cell>
          <cell r="J70">
            <v>20171.25</v>
          </cell>
          <cell r="K70">
            <v>9.9539892779113875E-2</v>
          </cell>
          <cell r="L70">
            <v>0</v>
          </cell>
          <cell r="M70">
            <v>0</v>
          </cell>
        </row>
        <row r="71">
          <cell r="B71">
            <v>3</v>
          </cell>
          <cell r="D71" t="str">
            <v>Pas. Gerendel Pintu + Pasang</v>
          </cell>
          <cell r="F71" t="str">
            <v>Bh.</v>
          </cell>
          <cell r="G71">
            <v>14</v>
          </cell>
          <cell r="J71">
            <v>16187.5</v>
          </cell>
          <cell r="K71">
            <v>7.988111863974251E-2</v>
          </cell>
          <cell r="L71">
            <v>0</v>
          </cell>
          <cell r="M71">
            <v>0</v>
          </cell>
        </row>
        <row r="72">
          <cell r="B72">
            <v>4</v>
          </cell>
          <cell r="D72" t="str">
            <v>Pas. Engsel Jendela + Pasang</v>
          </cell>
          <cell r="F72" t="str">
            <v>Psg.</v>
          </cell>
          <cell r="G72">
            <v>21</v>
          </cell>
          <cell r="J72">
            <v>14421.25</v>
          </cell>
          <cell r="K72">
            <v>0.10674769873514009</v>
          </cell>
          <cell r="L72">
            <v>0</v>
          </cell>
          <cell r="M72">
            <v>0</v>
          </cell>
        </row>
        <row r="73">
          <cell r="B73">
            <v>5</v>
          </cell>
          <cell r="D73" t="str">
            <v>Pas. Gerendel Jendela  + Pasang</v>
          </cell>
          <cell r="F73" t="str">
            <v>Bh.</v>
          </cell>
          <cell r="G73">
            <v>21</v>
          </cell>
          <cell r="J73">
            <v>8187.5</v>
          </cell>
          <cell r="K73">
            <v>6.0604786921657931E-2</v>
          </cell>
          <cell r="L73">
            <v>0</v>
          </cell>
          <cell r="M73">
            <v>0</v>
          </cell>
        </row>
        <row r="74">
          <cell r="B74">
            <v>6</v>
          </cell>
          <cell r="D74" t="str">
            <v>Pas. Haq Kait Angin + Pasang</v>
          </cell>
          <cell r="F74" t="str">
            <v>Psg.</v>
          </cell>
          <cell r="G74">
            <v>21</v>
          </cell>
          <cell r="J74">
            <v>18972.5</v>
          </cell>
          <cell r="K74">
            <v>0.14043655815220213</v>
          </cell>
          <cell r="L74">
            <v>0</v>
          </cell>
          <cell r="M74">
            <v>0</v>
          </cell>
        </row>
        <row r="75">
          <cell r="D75" t="str">
            <v>Jumlah</v>
          </cell>
          <cell r="K75">
            <v>0.93596305762486554</v>
          </cell>
        </row>
        <row r="76">
          <cell r="B76" t="str">
            <v>01</v>
          </cell>
          <cell r="C76" t="str">
            <v>02</v>
          </cell>
          <cell r="F76" t="str">
            <v>03</v>
          </cell>
          <cell r="G76" t="str">
            <v>04</v>
          </cell>
          <cell r="H76" t="str">
            <v>05</v>
          </cell>
          <cell r="I76" t="str">
            <v>06</v>
          </cell>
          <cell r="J76" t="str">
            <v>05</v>
          </cell>
          <cell r="K76" t="str">
            <v>06.</v>
          </cell>
          <cell r="L76" t="str">
            <v>07</v>
          </cell>
          <cell r="M76" t="str">
            <v>08</v>
          </cell>
        </row>
        <row r="77">
          <cell r="B77" t="str">
            <v>F</v>
          </cell>
          <cell r="D77" t="str">
            <v>PEKERJAAN PENGECATAN</v>
          </cell>
        </row>
        <row r="78">
          <cell r="B78">
            <v>1</v>
          </cell>
          <cell r="D78" t="str">
            <v>Pengecatan Tembok</v>
          </cell>
          <cell r="F78" t="str">
            <v>M²</v>
          </cell>
          <cell r="G78">
            <v>907.2</v>
          </cell>
          <cell r="J78">
            <v>13305.85</v>
          </cell>
          <cell r="K78">
            <v>4.2548277759338777</v>
          </cell>
          <cell r="L78">
            <v>0</v>
          </cell>
          <cell r="M78">
            <v>0</v>
          </cell>
        </row>
        <row r="79">
          <cell r="B79">
            <v>2</v>
          </cell>
          <cell r="D79" t="str">
            <v>Pengecatan Kayu / Pintu</v>
          </cell>
          <cell r="F79" t="str">
            <v>M²</v>
          </cell>
          <cell r="G79">
            <v>286.64999999999998</v>
          </cell>
          <cell r="J79">
            <v>30450.25</v>
          </cell>
          <cell r="K79">
            <v>3.0766573388605281</v>
          </cell>
          <cell r="L79">
            <v>0</v>
          </cell>
          <cell r="M79">
            <v>0</v>
          </cell>
        </row>
        <row r="80">
          <cell r="B80">
            <v>3</v>
          </cell>
          <cell r="D80" t="str">
            <v>Politur  Pintu</v>
          </cell>
          <cell r="F80" t="str">
            <v>M²</v>
          </cell>
          <cell r="G80">
            <v>4.9000000000000004</v>
          </cell>
          <cell r="J80">
            <v>4860.25</v>
          </cell>
          <cell r="K80">
            <v>8.3944260944607257E-3</v>
          </cell>
          <cell r="L80">
            <v>0</v>
          </cell>
          <cell r="M80">
            <v>0</v>
          </cell>
        </row>
        <row r="81">
          <cell r="B81">
            <v>4</v>
          </cell>
          <cell r="D81" t="str">
            <v>Pengecetan Plafond</v>
          </cell>
          <cell r="F81" t="str">
            <v>M²</v>
          </cell>
          <cell r="G81">
            <v>306.99</v>
          </cell>
          <cell r="J81">
            <v>13305.85</v>
          </cell>
          <cell r="K81">
            <v>1.4398033277490532</v>
          </cell>
          <cell r="L81">
            <v>0</v>
          </cell>
          <cell r="M81">
            <v>0</v>
          </cell>
        </row>
        <row r="82">
          <cell r="B82">
            <v>5</v>
          </cell>
          <cell r="D82" t="str">
            <v>Pengecetan  Atap Seng</v>
          </cell>
          <cell r="F82" t="str">
            <v>M²</v>
          </cell>
          <cell r="G82">
            <v>375.09</v>
          </cell>
          <cell r="J82">
            <v>15263.5</v>
          </cell>
          <cell r="K82">
            <v>2.0180221920575105</v>
          </cell>
          <cell r="L82">
            <v>0</v>
          </cell>
          <cell r="M82">
            <v>0</v>
          </cell>
        </row>
        <row r="83">
          <cell r="B83">
            <v>6</v>
          </cell>
          <cell r="D83" t="str">
            <v>Residu Kap/Kuda-kuda/Gording/Nok</v>
          </cell>
          <cell r="F83" t="str">
            <v>M²</v>
          </cell>
          <cell r="G83">
            <v>429.73</v>
          </cell>
          <cell r="J83">
            <v>5555</v>
          </cell>
          <cell r="K83">
            <v>0.84142625192732101</v>
          </cell>
          <cell r="L83">
            <v>0</v>
          </cell>
          <cell r="M83">
            <v>0</v>
          </cell>
        </row>
        <row r="84">
          <cell r="D84" t="str">
            <v>Jumlah</v>
          </cell>
          <cell r="K84">
            <v>11.639131312622752</v>
          </cell>
        </row>
        <row r="85">
          <cell r="B85" t="str">
            <v>H</v>
          </cell>
          <cell r="D85" t="str">
            <v>PEKERJAAN  ELEKTRIKAL</v>
          </cell>
        </row>
        <row r="86">
          <cell r="B86">
            <v>1</v>
          </cell>
          <cell r="D86" t="str">
            <v>Pas. Instalasi Titik Lampu</v>
          </cell>
          <cell r="F86" t="str">
            <v>Ttk</v>
          </cell>
          <cell r="G86">
            <v>27</v>
          </cell>
          <cell r="J86">
            <v>85000</v>
          </cell>
          <cell r="K86">
            <v>0.80894502935778956</v>
          </cell>
          <cell r="L86">
            <v>0</v>
          </cell>
          <cell r="M86">
            <v>0</v>
          </cell>
        </row>
        <row r="87">
          <cell r="B87">
            <v>2</v>
          </cell>
          <cell r="D87" t="str">
            <v>Pas. Instalisi Stop Kontak Standar</v>
          </cell>
          <cell r="F87" t="str">
            <v>Ttk</v>
          </cell>
          <cell r="G87">
            <v>6</v>
          </cell>
          <cell r="J87">
            <v>85000</v>
          </cell>
          <cell r="K87">
            <v>0.17976556207950878</v>
          </cell>
          <cell r="L87">
            <v>0</v>
          </cell>
          <cell r="M87">
            <v>0</v>
          </cell>
        </row>
        <row r="88">
          <cell r="B88">
            <v>3</v>
          </cell>
          <cell r="D88" t="str">
            <v>Pas. Instalasi Stop Kontak Computer</v>
          </cell>
          <cell r="F88" t="str">
            <v>Ttk</v>
          </cell>
          <cell r="G88">
            <v>4</v>
          </cell>
          <cell r="J88">
            <v>150000</v>
          </cell>
          <cell r="K88">
            <v>0.21148889656412798</v>
          </cell>
          <cell r="L88">
            <v>0</v>
          </cell>
          <cell r="M88">
            <v>0</v>
          </cell>
        </row>
        <row r="89">
          <cell r="B89">
            <v>4</v>
          </cell>
          <cell r="D89" t="str">
            <v>Pas. Instalasi Stop Kontak AC</v>
          </cell>
          <cell r="F89" t="str">
            <v>Ttk</v>
          </cell>
          <cell r="G89">
            <v>2</v>
          </cell>
          <cell r="J89">
            <v>350000</v>
          </cell>
          <cell r="K89">
            <v>0.24673704599148266</v>
          </cell>
          <cell r="L89">
            <v>0</v>
          </cell>
          <cell r="M89">
            <v>0</v>
          </cell>
        </row>
        <row r="90">
          <cell r="B90">
            <v>5</v>
          </cell>
          <cell r="D90" t="str">
            <v>Sub. Distribusi Panel 1 Phase ( 12 Group ) Include</v>
          </cell>
          <cell r="F90" t="str">
            <v>Unit</v>
          </cell>
          <cell r="G90">
            <v>1</v>
          </cell>
          <cell r="J90">
            <v>925000</v>
          </cell>
          <cell r="K90">
            <v>0.32604538220303064</v>
          </cell>
          <cell r="L90">
            <v>0</v>
          </cell>
          <cell r="M90">
            <v>0</v>
          </cell>
        </row>
        <row r="91">
          <cell r="B91">
            <v>6</v>
          </cell>
          <cell r="D91" t="str">
            <v>Pas. Sakelar seri</v>
          </cell>
          <cell r="F91" t="str">
            <v>Bh</v>
          </cell>
          <cell r="G91">
            <v>6</v>
          </cell>
          <cell r="J91">
            <v>25000</v>
          </cell>
          <cell r="K91">
            <v>5.2872224141031994E-2</v>
          </cell>
          <cell r="L91">
            <v>0</v>
          </cell>
          <cell r="M91">
            <v>0</v>
          </cell>
        </row>
        <row r="92">
          <cell r="B92">
            <v>7</v>
          </cell>
          <cell r="D92" t="str">
            <v>Pas. Saklar Tunggal</v>
          </cell>
          <cell r="F92" t="str">
            <v>Bh</v>
          </cell>
          <cell r="G92">
            <v>15</v>
          </cell>
          <cell r="J92">
            <v>15000</v>
          </cell>
          <cell r="K92">
            <v>7.9308336211547995E-2</v>
          </cell>
          <cell r="L92">
            <v>0</v>
          </cell>
          <cell r="M92">
            <v>0</v>
          </cell>
        </row>
        <row r="93">
          <cell r="B93">
            <v>8</v>
          </cell>
          <cell r="D93" t="str">
            <v>Lampu TKI. TL 2 X 40 Watt Include</v>
          </cell>
          <cell r="F93" t="str">
            <v>Bh</v>
          </cell>
          <cell r="G93">
            <v>6</v>
          </cell>
          <cell r="J93">
            <v>225000</v>
          </cell>
          <cell r="K93">
            <v>0.47585001726928799</v>
          </cell>
          <cell r="L93">
            <v>0</v>
          </cell>
          <cell r="M93">
            <v>0</v>
          </cell>
        </row>
        <row r="94">
          <cell r="B94">
            <v>9</v>
          </cell>
          <cell r="D94" t="str">
            <v>Lampu TKI. TL 1 X 40 Watt Include</v>
          </cell>
          <cell r="F94" t="str">
            <v>Bh</v>
          </cell>
          <cell r="G94">
            <v>11</v>
          </cell>
          <cell r="J94">
            <v>135000</v>
          </cell>
          <cell r="K94">
            <v>0.52343501899621681</v>
          </cell>
          <cell r="L94">
            <v>0</v>
          </cell>
          <cell r="M94">
            <v>0</v>
          </cell>
        </row>
        <row r="95">
          <cell r="B95">
            <v>10</v>
          </cell>
          <cell r="D95" t="str">
            <v>Lampu Pijar 25 Watt Include</v>
          </cell>
          <cell r="F95" t="str">
            <v>Bh</v>
          </cell>
          <cell r="G95">
            <v>10</v>
          </cell>
          <cell r="J95">
            <v>15000</v>
          </cell>
          <cell r="K95">
            <v>5.2872224141031994E-2</v>
          </cell>
          <cell r="L95">
            <v>0</v>
          </cell>
          <cell r="M95">
            <v>0</v>
          </cell>
        </row>
        <row r="96">
          <cell r="B96">
            <v>11</v>
          </cell>
          <cell r="D96" t="str">
            <v>Pengadaan + Pas. Sound System</v>
          </cell>
          <cell r="F96" t="str">
            <v>Ls</v>
          </cell>
          <cell r="G96">
            <v>1</v>
          </cell>
          <cell r="J96">
            <v>6000000</v>
          </cell>
          <cell r="K96">
            <v>2.1148889656412799</v>
          </cell>
          <cell r="L96">
            <v>0</v>
          </cell>
        </row>
        <row r="97">
          <cell r="D97" t="str">
            <v>Jumlah</v>
          </cell>
          <cell r="K97">
            <v>5.0722087025963365</v>
          </cell>
        </row>
        <row r="98">
          <cell r="B98" t="str">
            <v>I</v>
          </cell>
          <cell r="D98" t="str">
            <v>PEKERJAAN SANITAIR DAN PEMBUANGAN</v>
          </cell>
        </row>
        <row r="99">
          <cell r="B99">
            <v>1</v>
          </cell>
          <cell r="D99" t="str">
            <v>Pas. Instalasi Air Bersih</v>
          </cell>
          <cell r="F99" t="str">
            <v>Ls</v>
          </cell>
          <cell r="G99">
            <v>1</v>
          </cell>
          <cell r="J99">
            <v>1200000</v>
          </cell>
          <cell r="K99">
            <v>0.42297779312825595</v>
          </cell>
          <cell r="L99">
            <v>0</v>
          </cell>
          <cell r="M99">
            <v>0</v>
          </cell>
        </row>
        <row r="100">
          <cell r="B100">
            <v>2</v>
          </cell>
          <cell r="D100" t="str">
            <v>Pas. Saluran Air Hujan</v>
          </cell>
          <cell r="F100" t="str">
            <v>M¹</v>
          </cell>
          <cell r="G100">
            <v>58</v>
          </cell>
          <cell r="J100">
            <v>72112.350000000006</v>
          </cell>
          <cell r="K100">
            <v>1.4742595952474655</v>
          </cell>
          <cell r="L100">
            <v>0</v>
          </cell>
          <cell r="M100">
            <v>0</v>
          </cell>
        </row>
        <row r="101">
          <cell r="B101">
            <v>3</v>
          </cell>
          <cell r="D101" t="str">
            <v>Pas. Bak Kontrol Saluran Air Hujan</v>
          </cell>
          <cell r="F101" t="str">
            <v>Bh</v>
          </cell>
          <cell r="G101">
            <v>4</v>
          </cell>
          <cell r="J101">
            <v>31195.23</v>
          </cell>
          <cell r="K101">
            <v>4.3982965138427879E-2</v>
          </cell>
          <cell r="L101">
            <v>0</v>
          </cell>
          <cell r="M101">
            <v>0</v>
          </cell>
        </row>
        <row r="102">
          <cell r="B102">
            <v>4</v>
          </cell>
          <cell r="D102" t="str">
            <v>Pas. Closed Jongkok + Pasang</v>
          </cell>
          <cell r="F102" t="str">
            <v>Bh</v>
          </cell>
          <cell r="G102">
            <v>2</v>
          </cell>
          <cell r="J102">
            <v>103375</v>
          </cell>
          <cell r="K102">
            <v>7.2875548941055773E-2</v>
          </cell>
          <cell r="L102">
            <v>0</v>
          </cell>
          <cell r="M102">
            <v>0</v>
          </cell>
        </row>
        <row r="103">
          <cell r="B103">
            <v>5</v>
          </cell>
          <cell r="D103" t="str">
            <v>Pas. Closed Duduk + Pasang</v>
          </cell>
          <cell r="F103" t="str">
            <v>Bh</v>
          </cell>
          <cell r="G103">
            <v>1</v>
          </cell>
          <cell r="J103">
            <v>1531875</v>
          </cell>
          <cell r="K103">
            <v>0.53995758904028934</v>
          </cell>
          <cell r="L103">
            <v>0</v>
          </cell>
          <cell r="M103">
            <v>0</v>
          </cell>
        </row>
        <row r="104">
          <cell r="B104">
            <v>6</v>
          </cell>
          <cell r="D104" t="str">
            <v>Pek. Urinoir + Pasang</v>
          </cell>
          <cell r="F104" t="str">
            <v>Bh</v>
          </cell>
          <cell r="G104">
            <v>2</v>
          </cell>
          <cell r="J104">
            <v>144375</v>
          </cell>
          <cell r="K104">
            <v>0.10177903147148659</v>
          </cell>
          <cell r="L104">
            <v>0</v>
          </cell>
          <cell r="M104">
            <v>0</v>
          </cell>
        </row>
        <row r="105">
          <cell r="B105">
            <v>7</v>
          </cell>
          <cell r="D105" t="str">
            <v>Pas. Floor Drain + Pasang</v>
          </cell>
          <cell r="F105" t="str">
            <v>Bh</v>
          </cell>
          <cell r="G105">
            <v>3</v>
          </cell>
          <cell r="J105">
            <v>18977.5</v>
          </cell>
          <cell r="K105">
            <v>2.0067652672728694E-2</v>
          </cell>
          <cell r="L105">
            <v>0</v>
          </cell>
          <cell r="M105">
            <v>0</v>
          </cell>
        </row>
        <row r="106">
          <cell r="B106">
            <v>8</v>
          </cell>
          <cell r="D106" t="str">
            <v>Pas. Wastafel + Cermin</v>
          </cell>
          <cell r="F106" t="str">
            <v>Bh</v>
          </cell>
          <cell r="G106">
            <v>2</v>
          </cell>
          <cell r="J106">
            <v>175000</v>
          </cell>
          <cell r="K106">
            <v>0.12336852299574133</v>
          </cell>
          <cell r="L106">
            <v>0</v>
          </cell>
          <cell r="M106">
            <v>0</v>
          </cell>
        </row>
        <row r="107">
          <cell r="B107">
            <v>9</v>
          </cell>
          <cell r="D107" t="str">
            <v xml:space="preserve">Pek. Septictank </v>
          </cell>
          <cell r="F107" t="str">
            <v>Unit</v>
          </cell>
          <cell r="G107">
            <v>2</v>
          </cell>
          <cell r="J107">
            <v>1344389.61</v>
          </cell>
          <cell r="K107">
            <v>0.94774491723726129</v>
          </cell>
          <cell r="L107">
            <v>0</v>
          </cell>
          <cell r="M107">
            <v>0</v>
          </cell>
        </row>
        <row r="108">
          <cell r="B108">
            <v>10</v>
          </cell>
          <cell r="D108" t="str">
            <v>Pek.  Peresapan</v>
          </cell>
          <cell r="F108" t="str">
            <v>Unit</v>
          </cell>
          <cell r="G108">
            <v>2</v>
          </cell>
          <cell r="J108">
            <v>328504.73</v>
          </cell>
          <cell r="K108">
            <v>0.23163748296346265</v>
          </cell>
          <cell r="M108">
            <v>0</v>
          </cell>
        </row>
        <row r="109">
          <cell r="D109" t="str">
            <v>Jumlah</v>
          </cell>
          <cell r="K109">
            <v>3.9786510988361754</v>
          </cell>
        </row>
        <row r="110">
          <cell r="B110" t="str">
            <v>J</v>
          </cell>
          <cell r="D110" t="str">
            <v>PEKERJAAN AKHIR</v>
          </cell>
        </row>
        <row r="111">
          <cell r="B111">
            <v>1</v>
          </cell>
          <cell r="D111" t="str">
            <v>Papan Nama Ruang</v>
          </cell>
          <cell r="F111" t="str">
            <v>ls</v>
          </cell>
          <cell r="G111">
            <v>7</v>
          </cell>
          <cell r="J111">
            <v>60000</v>
          </cell>
          <cell r="K111">
            <v>0.14804222759488961</v>
          </cell>
          <cell r="L111">
            <v>0</v>
          </cell>
          <cell r="M111">
            <v>0</v>
          </cell>
        </row>
        <row r="112">
          <cell r="B112">
            <v>2</v>
          </cell>
          <cell r="D112" t="str">
            <v>Administrasi / Dokumentasi  Proyek</v>
          </cell>
          <cell r="F112" t="str">
            <v>ls</v>
          </cell>
          <cell r="G112">
            <v>1</v>
          </cell>
          <cell r="J112">
            <v>500000</v>
          </cell>
          <cell r="K112">
            <v>0.17624074713677332</v>
          </cell>
          <cell r="L112">
            <v>0</v>
          </cell>
          <cell r="M112">
            <v>0</v>
          </cell>
        </row>
        <row r="113">
          <cell r="B113">
            <v>3</v>
          </cell>
          <cell r="D113" t="str">
            <v>Pembersihan Akhir/ Pemeliharaan</v>
          </cell>
          <cell r="F113" t="str">
            <v>ls</v>
          </cell>
          <cell r="G113">
            <v>1</v>
          </cell>
          <cell r="J113">
            <v>350000</v>
          </cell>
          <cell r="K113">
            <v>0.12336852299574133</v>
          </cell>
          <cell r="L113">
            <v>0</v>
          </cell>
          <cell r="M113">
            <v>0</v>
          </cell>
        </row>
        <row r="114">
          <cell r="D114" t="str">
            <v>Jumlah</v>
          </cell>
          <cell r="K114">
            <v>0.4476514977274042</v>
          </cell>
        </row>
      </sheetData>
      <sheetData sheetId="1" refreshError="1"/>
      <sheetData sheetId="2" refreshError="1"/>
      <sheetData sheetId="3"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TOTAL"/>
      <sheetName val="RUANG PERAWATAN"/>
      <sheetName val="RUANG GIZI"/>
      <sheetName val="RUANG LOUNDRY"/>
      <sheetName val="Analisa"/>
      <sheetName val="Harga"/>
    </sheetNames>
    <sheetDataSet>
      <sheetData sheetId="0"/>
      <sheetData sheetId="1"/>
      <sheetData sheetId="2"/>
      <sheetData sheetId="3"/>
      <sheetData sheetId="4">
        <row r="54">
          <cell r="J54">
            <v>66287.75</v>
          </cell>
        </row>
        <row r="376">
          <cell r="J376">
            <v>14039.5</v>
          </cell>
        </row>
        <row r="387">
          <cell r="J387">
            <v>38283.699999999997</v>
          </cell>
        </row>
        <row r="405">
          <cell r="J405">
            <v>7397.579999999999</v>
          </cell>
        </row>
      </sheetData>
      <sheetData sheetId="5">
        <row r="76">
          <cell r="F76">
            <v>7150</v>
          </cell>
        </row>
      </sheetData>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RUT PAKET"/>
      <sheetName val="Jdwal kegiatan"/>
      <sheetName val="REKAP"/>
      <sheetName val="RAB"/>
      <sheetName val="Time Scd"/>
      <sheetName val="ANALISA"/>
      <sheetName val="ANALISA (2)"/>
      <sheetName val="Sheet1"/>
      <sheetName val="HARGA SATUAN"/>
    </sheetNames>
    <sheetDataSet>
      <sheetData sheetId="0"/>
      <sheetData sheetId="1"/>
      <sheetData sheetId="2"/>
      <sheetData sheetId="3"/>
      <sheetData sheetId="4"/>
      <sheetData sheetId="5"/>
      <sheetData sheetId="6"/>
      <sheetData sheetId="7"/>
      <sheetData sheetId="8">
        <row r="19">
          <cell r="E19">
            <v>8000</v>
          </cell>
        </row>
        <row r="25">
          <cell r="E25">
            <v>1500000</v>
          </cell>
        </row>
      </sheetData>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RAT PENAWARAN"/>
      <sheetName val="HARGA"/>
      <sheetName val="ANALISA"/>
      <sheetName val="RAB RAWAT ANAK "/>
      <sheetName val="REKAPITULASI"/>
      <sheetName val="TIME SCHEDULE"/>
      <sheetName val="METODE KERJA"/>
    </sheetNames>
    <sheetDataSet>
      <sheetData sheetId="0"/>
      <sheetData sheetId="1"/>
      <sheetData sheetId="2" refreshError="1">
        <row r="33">
          <cell r="G33">
            <v>12500</v>
          </cell>
        </row>
        <row r="116">
          <cell r="G116">
            <v>37500</v>
          </cell>
        </row>
      </sheetData>
      <sheetData sheetId="3"/>
      <sheetData sheetId="4"/>
      <sheetData sheetId="5"/>
      <sheetData sheetId="6"/>
      <sheetData sheetId="7"/>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asi"/>
      <sheetName val="Struktur"/>
      <sheetName val="rab"/>
      <sheetName val="RAB BAPPEDA"/>
      <sheetName val="analisa SNI"/>
      <sheetName val="UPAH"/>
      <sheetName val="HARGA BARU"/>
      <sheetName val="harga"/>
      <sheetName val="analisa"/>
    </sheetNames>
    <sheetDataSet>
      <sheetData sheetId="0" refreshError="1"/>
      <sheetData sheetId="1" refreshError="1"/>
      <sheetData sheetId="2"/>
      <sheetData sheetId="3" refreshError="1"/>
      <sheetData sheetId="4" refreshError="1"/>
      <sheetData sheetId="5"/>
      <sheetData sheetId="6" refreshError="1"/>
      <sheetData sheetId="7"/>
      <sheetData sheetId="8"/>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i Nelayan"/>
      <sheetName val="Pabrik Es"/>
      <sheetName val="Harga Bahan Survey"/>
      <sheetName val="Harga Bahan"/>
      <sheetName val="Analisa "/>
      <sheetName val="Volume"/>
      <sheetName val="Rab"/>
      <sheetName val="Rekap"/>
    </sheetNames>
    <sheetDataSet>
      <sheetData sheetId="0" refreshError="1"/>
      <sheetData sheetId="1" refreshError="1"/>
      <sheetData sheetId="2" refreshError="1"/>
      <sheetData sheetId="3">
        <row r="114">
          <cell r="H114">
            <v>9200</v>
          </cell>
        </row>
      </sheetData>
      <sheetData sheetId="4" refreshError="1"/>
      <sheetData sheetId="5" refreshError="1"/>
      <sheetData sheetId="6" refreshError="1"/>
      <sheetData sheetId="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sheetName val="RAB"/>
      <sheetName val="REKAP"/>
      <sheetName val="Sheet1"/>
      <sheetName val="porsi"/>
      <sheetName val="ALAT-1"/>
    </sheetNames>
    <sheetDataSet>
      <sheetData sheetId="0" refreshError="1">
        <row r="23">
          <cell r="K23">
            <v>65000</v>
          </cell>
        </row>
        <row r="25">
          <cell r="K25">
            <v>70000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TOTAL"/>
      <sheetName val="RAB "/>
      <sheetName val="Bahan &amp; Upah"/>
      <sheetName val="Poskesdes"/>
      <sheetName val="PUSTU"/>
      <sheetName val="PUSKESMAS"/>
      <sheetName val="Analisa"/>
      <sheetName val="ANALISA "/>
      <sheetName val="DFTR HARGA BAHAN"/>
      <sheetName val="TS"/>
      <sheetName val="Organisasi"/>
      <sheetName val="Surpen"/>
      <sheetName val="Metode"/>
    </sheetNames>
    <sheetDataSet>
      <sheetData sheetId="0"/>
      <sheetData sheetId="1"/>
      <sheetData sheetId="2">
        <row r="16">
          <cell r="H16">
            <v>35000</v>
          </cell>
        </row>
      </sheetData>
      <sheetData sheetId="3"/>
      <sheetData sheetId="4"/>
      <sheetData sheetId="5"/>
      <sheetData sheetId="6"/>
      <sheetData sheetId="7"/>
      <sheetData sheetId="8">
        <row r="16">
          <cell r="L16">
            <v>155000</v>
          </cell>
        </row>
        <row r="20">
          <cell r="L20">
            <v>105000</v>
          </cell>
        </row>
        <row r="26">
          <cell r="L26">
            <v>95000</v>
          </cell>
        </row>
        <row r="28">
          <cell r="L28">
            <v>2500000</v>
          </cell>
        </row>
        <row r="34">
          <cell r="L34">
            <v>30000</v>
          </cell>
        </row>
        <row r="38">
          <cell r="L38">
            <v>215000</v>
          </cell>
        </row>
        <row r="42">
          <cell r="L42">
            <v>55000</v>
          </cell>
        </row>
      </sheetData>
      <sheetData sheetId="9"/>
      <sheetData sheetId="10"/>
      <sheetData sheetId="11"/>
      <sheetData sheetId="12"/>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t"/>
      <sheetName val="upah"/>
      <sheetName val="bahan"/>
      <sheetName val="divII"/>
      <sheetName val="divIII"/>
      <sheetName val="DivIV"/>
      <sheetName val="DivV"/>
      <sheetName val="DivVI"/>
      <sheetName val="DivVII"/>
      <sheetName val="DivVIII"/>
      <sheetName val="DivIX"/>
      <sheetName val="DivX"/>
      <sheetName val="REKTOT"/>
      <sheetName val="rekI"/>
      <sheetName val="bqI"/>
      <sheetName val="rek2"/>
      <sheetName val="bq2"/>
      <sheetName val="rek3"/>
      <sheetName val="bq3"/>
      <sheetName val="rek4"/>
      <sheetName val="bq4"/>
      <sheetName val="umum"/>
      <sheetName val="divI"/>
      <sheetName val="metoda"/>
      <sheetName val="Jadwal"/>
      <sheetName val="anal_alat"/>
      <sheetName val="hsd"/>
      <sheetName val="BASIC"/>
      <sheetName val="Harga Satuan"/>
      <sheetName val="Schedule"/>
      <sheetName val="Anal"/>
      <sheetName val="DHS"/>
      <sheetName val="Analisa"/>
      <sheetName val="an-aspal"/>
      <sheetName val="RAB"/>
      <sheetName val="REKAP"/>
      <sheetName val="an_alat"/>
      <sheetName val="4-Basic Price"/>
      <sheetName val="B - Norelec"/>
      <sheetName val="Metod TWR"/>
      <sheetName val="F-PC"/>
      <sheetName val="DEC-25 ADD4"/>
      <sheetName val="SAT-DAS"/>
      <sheetName val="bau"/>
      <sheetName val="MAPP"/>
      <sheetName val="rek det 1_3"/>
      <sheetName val="HARGA"/>
      <sheetName val="Mobilisasi"/>
      <sheetName val="Informasi"/>
      <sheetName val="H.Satuan"/>
      <sheetName val="RAB Uraian"/>
      <sheetName val="RAB Total"/>
      <sheetName val="DASAR"/>
      <sheetName val="ALAT-hitungan"/>
      <sheetName val="UNIT PRICE"/>
      <sheetName val="Sheet6"/>
      <sheetName val="sleksi"/>
      <sheetName val="TS"/>
      <sheetName val="TS MINGGUAN rev (2)"/>
      <sheetName val="BoQ"/>
      <sheetName val="Harga Satuan (T.P.)"/>
      <sheetName val="Analisa HSP (T.P.)"/>
      <sheetName val="X"/>
      <sheetName val="ANALSUBKON"/>
      <sheetName val="Sheet1"/>
      <sheetName val="Analisa K"/>
      <sheetName val="DATA"/>
      <sheetName val="upah bahan "/>
      <sheetName val="Agregat Halus &amp; Kasar"/>
      <sheetName val="D7"/>
      <sheetName val="upah.bahan.alat"/>
      <sheetName val="analisa.K"/>
      <sheetName val="daftarkuantitas"/>
      <sheetName val="ANALISA GRS TENGAH"/>
      <sheetName val="5-ALAT(1)"/>
      <sheetName val="Du_lieu"/>
      <sheetName val="BAHAN &amp; ALAT"/>
      <sheetName val="J"/>
      <sheetName val="Rekapitulasi"/>
      <sheetName val="B-Price"/>
      <sheetName val="Rekap "/>
      <sheetName val="RAPlenk"/>
    </sheetNames>
    <sheetDataSet>
      <sheetData sheetId="0" refreshError="1"/>
      <sheetData sheetId="1" refreshError="1"/>
      <sheetData sheetId="2" refreshError="1"/>
      <sheetData sheetId="3" refreshError="1">
        <row r="1">
          <cell r="I1">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DULE"/>
      <sheetName val="Upah"/>
      <sheetName val="Analisa"/>
      <sheetName val="RAB"/>
      <sheetName val="REKAP"/>
    </sheetNames>
    <sheetDataSet>
      <sheetData sheetId="0"/>
      <sheetData sheetId="1">
        <row r="20">
          <cell r="J20">
            <v>80000</v>
          </cell>
        </row>
      </sheetData>
      <sheetData sheetId="2"/>
      <sheetData sheetId="3"/>
      <sheetData sheetId="4"/>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SNI1"/>
      <sheetName val="Tanah"/>
      <sheetName val="Pondasi"/>
      <sheetName val="Dinding"/>
      <sheetName val="Plester"/>
      <sheetName val="Beton"/>
      <sheetName val="Lantai"/>
      <sheetName val="Kayu"/>
      <sheetName val="Atap"/>
      <sheetName val="PEK. SANITAIR"/>
      <sheetName val="Cat"/>
      <sheetName val="RG Kelas"/>
      <sheetName val="Mess Guru"/>
      <sheetName val="Gdg.kantor"/>
      <sheetName val="Gdg. Serbaguna"/>
      <sheetName val="Rekap Total"/>
      <sheetName val="rekap Kelas"/>
      <sheetName val="rekap Serbaguna"/>
      <sheetName val="rekap Gdg.kantor"/>
      <sheetName val="rekap Mess Guru"/>
      <sheetName val="Fasilitator"/>
      <sheetName val="Biaya operasional"/>
      <sheetName val="sampul"/>
      <sheetName val="Sheet1"/>
    </sheetNames>
    <sheetDataSet>
      <sheetData sheetId="0" refreshError="1">
        <row r="10">
          <cell r="E10">
            <v>79825</v>
          </cell>
        </row>
        <row r="529">
          <cell r="E529">
            <v>32500</v>
          </cell>
        </row>
        <row r="530">
          <cell r="E530">
            <v>27500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SNI1"/>
      <sheetName val="Tanah"/>
      <sheetName val="Pondasi"/>
      <sheetName val="Dinding"/>
      <sheetName val="Plester"/>
      <sheetName val="Beton"/>
      <sheetName val="Lantai"/>
      <sheetName val="Kayu"/>
      <sheetName val="Atap"/>
      <sheetName val="PEK. SANITAIR"/>
      <sheetName val="Cat"/>
      <sheetName val="RG Kelas"/>
      <sheetName val="Mess Guru"/>
      <sheetName val="Gdg.kantor"/>
      <sheetName val="Gdg. Serbaguna"/>
      <sheetName val="Rekap Total"/>
      <sheetName val="rekap Kelas"/>
      <sheetName val="rekap Serbaguna"/>
      <sheetName val="rekap Gdg.kantor"/>
      <sheetName val="rekap Mess Guru"/>
      <sheetName val="Fasilitator"/>
      <sheetName val="Biaya operasional"/>
      <sheetName val="sampul"/>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ita Acara Lap."/>
      <sheetName val="Berita Acara Periksa"/>
      <sheetName val="PU Set"/>
      <sheetName val="PU SET 02"/>
      <sheetName val="setif.bul"/>
      <sheetName val="Umum"/>
      <sheetName val="drainase"/>
      <sheetName val="tanah"/>
      <sheetName val="Berbutir"/>
      <sheetName val="Asphalt"/>
      <sheetName val="struktur"/>
      <sheetName val="pek.minor"/>
      <sheetName val="pek. lain-lain"/>
      <sheetName val="5-Peralatan"/>
      <sheetName val="RAB ME"/>
      <sheetName val="rekap bul"/>
      <sheetName val="Material"/>
      <sheetName val="Koefisien"/>
      <sheetName val="analisa"/>
      <sheetName val="Basic Price"/>
      <sheetName val="An Biaya.Kons"/>
      <sheetName val="4-Basic Pric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l (2)"/>
      <sheetName val="Sheet1"/>
      <sheetName val="Sampul"/>
      <sheetName val="Daftar Isi"/>
      <sheetName val="FRP-A01"/>
      <sheetName val="FRP-A02"/>
      <sheetName val="FRP-A05"/>
      <sheetName val="FRP-B01"/>
      <sheetName val="FRP-B02"/>
      <sheetName val="FRP-C01"/>
      <sheetName val="SAHAM"/>
      <sheetName val="FRP-C02"/>
      <sheetName val="FRP-C03"/>
      <sheetName val="FRP-C04"/>
      <sheetName val="FRP-D01 "/>
      <sheetName val="FRP-D01-b"/>
      <sheetName val="FRP-ikut"/>
      <sheetName val="FRP-E01"/>
      <sheetName val="FRP-E02"/>
      <sheetName val="FRP-E03"/>
      <sheetName val="FRP-E03-b"/>
      <sheetName val="FRP-E04-1"/>
      <sheetName val="FRP-E05-2"/>
      <sheetName val="FRP-E06"/>
      <sheetName val="FRP-E07"/>
      <sheetName val=" FRP-E08"/>
      <sheetName val="FRP-E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l No. Color"/>
      <sheetName val="Sampul mku"/>
      <sheetName val="Sampul"/>
      <sheetName val="Daftar Isi"/>
      <sheetName val="FRP-A01"/>
      <sheetName val="FRP-A02"/>
      <sheetName val="FRP-A05"/>
      <sheetName val="FRP-B01"/>
      <sheetName val="FRP-B02"/>
      <sheetName val="FRP-C01"/>
      <sheetName val="SAHAM"/>
      <sheetName val="FRP-C02"/>
      <sheetName val="MUKTI ABDULLAH"/>
      <sheetName val="FRP-C03"/>
      <sheetName val="FRP-C04"/>
      <sheetName val="FRP-D01 "/>
      <sheetName val="FRP-D01-b"/>
      <sheetName val="FRP-E01"/>
      <sheetName val="PROFESI"/>
      <sheetName val="FRP-E02"/>
      <sheetName val="FRP-E03"/>
      <sheetName val="FRP-E03-b MKU"/>
      <sheetName val="FRP-E04-1"/>
      <sheetName val="FRP-E05-2"/>
      <sheetName val="FRP-E06"/>
      <sheetName val="FRP-E07"/>
      <sheetName val=" FRP-E08"/>
      <sheetName val="FRP-E09"/>
      <sheetName val="FRP-E04-2"/>
      <sheetName val="FRP-E03-b (2)"/>
      <sheetName val="FRP-E03-b"/>
      <sheetName val="FRP-A03"/>
      <sheetName val="FRP-A04"/>
      <sheetName val="NERACA PT"/>
      <sheetName val="SAHAM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i Nelayan"/>
      <sheetName val="Pabrik Es"/>
      <sheetName val="Mtd"/>
      <sheetName val="sc"/>
      <sheetName val="Surat"/>
      <sheetName val="Harga Bahan"/>
      <sheetName val="Rekap"/>
      <sheetName val="Rab"/>
      <sheetName val="Analisa "/>
      <sheetName val="Pek. Pend, Tanah &amp; Pasir"/>
      <sheetName val="Pek. Pas. &amp; Lantai"/>
      <sheetName val="Pek. Kap Atp &amp; Plafon"/>
      <sheetName val="Pek. Beton"/>
      <sheetName val="Pek. Konsen &amp; Ventilasi"/>
      <sheetName val="Pengecetan"/>
      <sheetName val="Vol. Pek. Pagar"/>
      <sheetName val="Sheet1"/>
      <sheetName val="Sheet2"/>
    </sheetNames>
    <sheetDataSet>
      <sheetData sheetId="0"/>
      <sheetData sheetId="1"/>
      <sheetData sheetId="2"/>
      <sheetData sheetId="3"/>
      <sheetData sheetId="4"/>
      <sheetData sheetId="5">
        <row r="24">
          <cell r="G24">
            <v>900</v>
          </cell>
        </row>
        <row r="83">
          <cell r="G83">
            <v>48875</v>
          </cell>
        </row>
      </sheetData>
      <sheetData sheetId="6"/>
      <sheetData sheetId="7">
        <row r="17">
          <cell r="C17" t="str">
            <v>Gudang / Direksi Keet</v>
          </cell>
        </row>
      </sheetData>
      <sheetData sheetId="8">
        <row r="142">
          <cell r="J142">
            <v>105097.5</v>
          </cell>
        </row>
      </sheetData>
      <sheetData sheetId="9"/>
      <sheetData sheetId="10"/>
      <sheetData sheetId="11"/>
      <sheetData sheetId="12"/>
      <sheetData sheetId="13"/>
      <sheetData sheetId="14"/>
      <sheetData sheetId="15"/>
      <sheetData sheetId="16"/>
      <sheetData sheetId="17"/>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SNI"/>
      <sheetName val="REKAP TOTAL"/>
      <sheetName val="TKDN"/>
      <sheetName val="SP"/>
      <sheetName val="REKAP"/>
      <sheetName val="REKAP LAB K,F,B"/>
      <sheetName val="REKAP LAB BHS,KOM"/>
      <sheetName val="REKAP MULTI"/>
      <sheetName val="REKAP SELASAR"/>
      <sheetName val="REKAP TURAP DRAIN"/>
      <sheetName val="RAB"/>
      <sheetName val="RAB LAB K,F,B"/>
      <sheetName val="RAB LAB BHS,KOM"/>
      <sheetName val="RAB MULTI"/>
      <sheetName val="RAB SELASAR"/>
      <sheetName val="RAB TURAP DRAIN"/>
      <sheetName val="ANALISA"/>
      <sheetName val="DAFTAR HARGA"/>
      <sheetName val="JADWAL"/>
      <sheetName val="SKAF"/>
      <sheetName val="Backup Data Struktur"/>
      <sheetName val="Timbunan"/>
      <sheetName val="Backup Data Pembesian"/>
      <sheetName val="Backup Data Arsitektur"/>
      <sheetName val="Sheet1"/>
      <sheetName val="Peralatan K3"/>
      <sheetName val="Sheet2"/>
    </sheetNames>
    <sheetDataSet>
      <sheetData sheetId="0">
        <row r="31">
          <cell r="A31" t="str">
            <v>ITEM SNI PEKERJAAN TANAH</v>
          </cell>
        </row>
        <row r="56">
          <cell r="A56" t="str">
            <v>ITEM SNI PEKERJAAN PONDASI</v>
          </cell>
        </row>
        <row r="57">
          <cell r="A57" t="str">
            <v>Memasang 1 m3 pondasi batu belah, campuran 1 PC : 3 PP</v>
          </cell>
        </row>
        <row r="58">
          <cell r="A58" t="str">
            <v>Memasang 1 m3 pondasi batu belah, campuran 1 PC : 4 PP</v>
          </cell>
        </row>
        <row r="59">
          <cell r="A59" t="str">
            <v>Memasang 1 m3 pondasi batu belah, campuran 1 PC : 5 PP</v>
          </cell>
        </row>
        <row r="60">
          <cell r="A60" t="str">
            <v>Memasang 1 m3 pondasi batu belah, campuran 1 PC : 6 PP</v>
          </cell>
        </row>
        <row r="61">
          <cell r="A61" t="str">
            <v>Memasang 1 m3 pondasi batu belah, campuran 1 PC : 8 PP</v>
          </cell>
        </row>
        <row r="62">
          <cell r="A62" t="str">
            <v>Memasang 1 m3 pondasi batu belah, campuran 1 KP : 1 SM : 2 PP</v>
          </cell>
        </row>
        <row r="63">
          <cell r="A63" t="str">
            <v>Memasang 1 m3 pondasi batu belah, campuran 1 PC : 3 KP : 10 PP</v>
          </cell>
        </row>
        <row r="64">
          <cell r="A64" t="str">
            <v>Memasang 1 m3 pondasi batu belah, campuran 1/4 PC : 1 KP : 4 PP</v>
          </cell>
        </row>
        <row r="65">
          <cell r="A65" t="str">
            <v>Memasang 1 m3 batu kosong (aanstamping)</v>
          </cell>
        </row>
        <row r="66">
          <cell r="A66" t="str">
            <v>Memasang 1 m3 Pondasi Rollag Bata 1Pc : 4Ps</v>
          </cell>
        </row>
        <row r="67">
          <cell r="A67" t="str">
            <v>Memasang 1 m3 pondasi siklop, 60% beton campuran 1 PC : 2 PB : 3 KR dan 40% batu belah</v>
          </cell>
        </row>
        <row r="68">
          <cell r="A68" t="str">
            <v>Memasang 1 m3 pondasi sumuran, diameter 100 cm</v>
          </cell>
        </row>
        <row r="484">
          <cell r="A484" t="str">
            <v>ITEM SNI PEKERJAAN LANGIT-LANGIT</v>
          </cell>
        </row>
        <row r="485">
          <cell r="A485" t="str">
            <v>Memasang 1 m2 langit-langit tripleks ukuran (120 x 240) cm, tebal 3 mm, 4 mm dan 6 mm</v>
          </cell>
        </row>
        <row r="486">
          <cell r="A486" t="str">
            <v>Memasang 1 m2 langit-langit tripleks tebal 5mm + Rangka Kayu</v>
          </cell>
        </row>
        <row r="487">
          <cell r="A487" t="str">
            <v>Memasang 1 m2 langit-langit lambriziring kayu, tebal 9 mm</v>
          </cell>
        </row>
        <row r="488">
          <cell r="A488" t="str">
            <v>Memasang 1 m2 langit-langit gypsum board ukuran (120x240x9) mm, tebal 9 mm</v>
          </cell>
        </row>
        <row r="489">
          <cell r="A489" t="str">
            <v>Memasang 1 m' langit-langit Gypsum Type Drop Ceiling</v>
          </cell>
        </row>
        <row r="490">
          <cell r="A490" t="str">
            <v>Memasang 1 m2 langit-langit PVC</v>
          </cell>
        </row>
        <row r="491">
          <cell r="A491" t="str">
            <v>Memasang 1 Bh Manhole</v>
          </cell>
        </row>
        <row r="492">
          <cell r="A492" t="str">
            <v>Memasang 1 m’ list langit-langit kayu profil</v>
          </cell>
        </row>
        <row r="493">
          <cell r="A493" t="str">
            <v>Memasang 1 m2 langit-langit gypsum + rangka metal hollow</v>
          </cell>
        </row>
        <row r="494">
          <cell r="A494" t="str">
            <v>Memasang 1 m2 langit-langit kalsiboard + rangka metal hollow</v>
          </cell>
        </row>
        <row r="495">
          <cell r="A495" t="str">
            <v>Memasang 1 m pasang list gypsum langit-langit</v>
          </cell>
        </row>
        <row r="771">
          <cell r="A771" t="str">
            <v>ITEM SNI PEKERJAAN MEKANIKAL</v>
          </cell>
        </row>
        <row r="772">
          <cell r="A772" t="str">
            <v xml:space="preserve">Memasang 1 Set Sentral Automatic Changeover Manifold Oxygen 2 x 8 Cylinder </v>
          </cell>
        </row>
        <row r="773">
          <cell r="A773" t="str">
            <v xml:space="preserve">Memasang 1 Set Sentral Changeover Manifold Oxygen 2 x 6 Cylinder </v>
          </cell>
        </row>
        <row r="774">
          <cell r="A774" t="str">
            <v xml:space="preserve">Memasang 1 Set Sentral Changeover Manifold Oxygen 2 x 5 Cylinder </v>
          </cell>
        </row>
        <row r="775">
          <cell r="A775" t="str">
            <v xml:space="preserve">Memasang 1 Set Sentral Changeover Manifold Oxygen 2 x 4 Cylinder </v>
          </cell>
        </row>
        <row r="776">
          <cell r="A776" t="str">
            <v xml:space="preserve">Memasang 1 Set Sentral Automatic Changeover Manifold N2O 2 x 4 Cylinder </v>
          </cell>
        </row>
        <row r="777">
          <cell r="A777" t="str">
            <v xml:space="preserve">Memasang 1 Set Sentral Automatic Changeover Manifold O2 2 x 4 Cylinder </v>
          </cell>
        </row>
        <row r="778">
          <cell r="A778" t="str">
            <v xml:space="preserve">Memasang 1 Set Sentral Compressed Air </v>
          </cell>
        </row>
        <row r="779">
          <cell r="A779" t="str">
            <v xml:space="preserve">Memasang 1 Set Medical Vacuum </v>
          </cell>
        </row>
        <row r="780">
          <cell r="A780" t="str">
            <v>Memasang 1 Set Sentral Carbon Dioksida 2 x 2 Cylinder</v>
          </cell>
        </row>
        <row r="781">
          <cell r="A781" t="str">
            <v>Memasang 1 Unit Area Alarm for 4 Gases (O, N, A, V)</v>
          </cell>
        </row>
        <row r="782">
          <cell r="A782" t="str">
            <v xml:space="preserve">Memasang 1 Unit Zone Valve for 4 Gases (O,N,A,V)  </v>
          </cell>
        </row>
        <row r="783">
          <cell r="A783" t="str">
            <v xml:space="preserve">Memasang 1 Unit Area Alarm for 2 Gases (O, V) </v>
          </cell>
        </row>
        <row r="784">
          <cell r="A784" t="str">
            <v>Memasang 1 Unit Zone Valve for 2 Gases (O,V)</v>
          </cell>
        </row>
        <row r="785">
          <cell r="A785" t="str">
            <v>Mengerjakan 1 m2 Peredam suara ( Sound Proof ) Ruang Gas</v>
          </cell>
        </row>
        <row r="786">
          <cell r="A786" t="str">
            <v>Memasang 1 Set Alarm  Gas sistem</v>
          </cell>
        </row>
        <row r="787">
          <cell r="A787" t="str">
            <v>Memasang 1 Bh Outlet Gas screw connect c/w wallbox &amp; flushplate</v>
          </cell>
        </row>
        <row r="788">
          <cell r="A788" t="str">
            <v>Memasang 1 Unit Instalasi alarm gas medis lengkap Box (type 2 gas)</v>
          </cell>
        </row>
        <row r="789">
          <cell r="A789" t="str">
            <v>Memasang 1 Unit Instalasi alarm gas medis lengkap Box (type 3 gas)</v>
          </cell>
        </row>
        <row r="790">
          <cell r="A790" t="str">
            <v>Memasang 1 Unit Instalasi alarm gas medis lengkap Box (type 4 gas)</v>
          </cell>
        </row>
        <row r="791">
          <cell r="A791" t="str">
            <v>Memasang 1 Unit Instalasi alarm gas medis lengkap Box (type 5 gas)</v>
          </cell>
        </row>
        <row r="792">
          <cell r="A792" t="str">
            <v>Memasang 1 Lot Perlengkapan Outlet Oksigen</v>
          </cell>
        </row>
        <row r="793">
          <cell r="A793" t="str">
            <v>Memasang 1 Lot Perlengkapan Outlet Vacuum</v>
          </cell>
        </row>
        <row r="794">
          <cell r="A794" t="str">
            <v>Memasang 1 Bh Wall Point Outlet : Oxygen</v>
          </cell>
        </row>
        <row r="795">
          <cell r="A795" t="str">
            <v>Memasang 1 Bh Wall outlet oksigen</v>
          </cell>
        </row>
        <row r="796">
          <cell r="A796" t="str">
            <v>Memasang 1 Bh Wall outlet vacuum</v>
          </cell>
        </row>
        <row r="797">
          <cell r="A797" t="str">
            <v>Memasang 1 Bh Ball Valve Dia. 1/2"</v>
          </cell>
        </row>
        <row r="798">
          <cell r="A798" t="str">
            <v>Memasang 1 Bh Ball Valve Dia. 3/4"</v>
          </cell>
        </row>
        <row r="799">
          <cell r="A799" t="str">
            <v>Memasang 1 Unit Outlet Oksigen,Celling Hose Reel</v>
          </cell>
        </row>
        <row r="800">
          <cell r="A800" t="str">
            <v xml:space="preserve">Memasang 1 Unit Digital Area Alarm 1 Gas </v>
          </cell>
        </row>
        <row r="801">
          <cell r="A801" t="str">
            <v>Memasang 1 Unit Zone Valve with pressure gauge, in box, O2</v>
          </cell>
        </row>
        <row r="802">
          <cell r="A802" t="str">
            <v>Memasang 1 Unit Zone Valve with pressure gauge, in box, for 2 Gases (O,V)</v>
          </cell>
        </row>
        <row r="803">
          <cell r="A803" t="str">
            <v>Memasang 1 Unit Zone Valve with pressure gauge, in box, for 3 Gases (O,V,CO2)</v>
          </cell>
        </row>
        <row r="804">
          <cell r="A804" t="str">
            <v>Memasang 1 Unit Zone Valve with pressure gauge, in box, for 4 Gases (O,N,A,V)</v>
          </cell>
        </row>
        <row r="805">
          <cell r="A805" t="str">
            <v>Memasang 1 Unit Zone Valve with pressure gauge, in box, for 5 Gases (O,N,A,V,CO2)</v>
          </cell>
        </row>
        <row r="806">
          <cell r="A806" t="str">
            <v>Memasang 1 Unit Area Alarm with pressure switch and pressure gauge,in box, for 3 Gases (O,CA,S)</v>
          </cell>
        </row>
        <row r="807">
          <cell r="A807" t="str">
            <v>Memasang 1 Unit Box control valve</v>
          </cell>
        </row>
        <row r="808">
          <cell r="A808" t="str">
            <v>Memasang 1 Unit Sentral oksigen</v>
          </cell>
        </row>
        <row r="809">
          <cell r="A809" t="str">
            <v>Memasang 1 Unit Sentral vacum (suction)</v>
          </cell>
        </row>
        <row r="810">
          <cell r="A810" t="str">
            <v>Memasang 1 Unit Alarm gas medis</v>
          </cell>
        </row>
        <row r="811">
          <cell r="A811" t="str">
            <v>Memasang 1 Unit Head Bed pabrikan ukuran 1200 x 800 x 220mm lengkap matrial bantu</v>
          </cell>
        </row>
        <row r="812">
          <cell r="A812" t="str">
            <v>Memasang 1 Unit Bedhead Aluminium Powder Coating</v>
          </cell>
        </row>
        <row r="813">
          <cell r="A813" t="str">
            <v>Memasang 1 m' Copper Tube Standar ASTM B280/819 Type L  ø 1 5/8"</v>
          </cell>
        </row>
        <row r="814">
          <cell r="A814" t="str">
            <v>Memasang 1 m' Copper Tube Standar ASTM B280/819 Type L  ø 1"</v>
          </cell>
        </row>
        <row r="815">
          <cell r="A815" t="str">
            <v>Memasang 1 m' Copper Tube Standar ASTM B280/819 Type L  ø 7/8"</v>
          </cell>
        </row>
        <row r="816">
          <cell r="A816" t="str">
            <v>Memasang 1 m' Copper Tube Standar ASTM B280/819 Type L  ø 3/4"</v>
          </cell>
        </row>
        <row r="817">
          <cell r="A817" t="str">
            <v>Memasang 1 m' Copper Tube Standar ASTM B280/819 Type L  ø 5/8"</v>
          </cell>
        </row>
        <row r="818">
          <cell r="A818" t="str">
            <v>Memasang 1 m' Copper Tube Standar ASTM B280/819 Type L  ø 1/2"</v>
          </cell>
        </row>
        <row r="819">
          <cell r="A819" t="str">
            <v>Memasang 1 m' Copper Tube Standar ASTM B280/819 Type L  ø 3/8"</v>
          </cell>
        </row>
        <row r="820">
          <cell r="A820" t="str">
            <v>Memasang 1 m' Pipa tembaga Seamless standart ASTM B88 dia. 10 mm</v>
          </cell>
        </row>
        <row r="821">
          <cell r="A821" t="str">
            <v>Memasang 1 m' Pipa tembaga Seamless standart ASTM B88 dia. 12 mm</v>
          </cell>
        </row>
        <row r="822">
          <cell r="A822" t="str">
            <v>Memasang 1 m' Pipa tembaga Seamless standart ASTM B88 dia. 15 mm</v>
          </cell>
        </row>
        <row r="823">
          <cell r="A823" t="str">
            <v>Memasang 1 m' Pipa tembaga Seamless standart ASTM B88 dia. 20 mm</v>
          </cell>
        </row>
        <row r="824">
          <cell r="A824" t="str">
            <v>Memasang 1 m' Pipa tembaga Seamless standart ASTM B88 dia. 25 mm</v>
          </cell>
        </row>
        <row r="825">
          <cell r="A825" t="str">
            <v>Memasang 1 m' Pipa tembaga Seamless standart ASTM B88 dia. 32 mm</v>
          </cell>
        </row>
        <row r="826">
          <cell r="A826" t="str">
            <v>Memasang 1 m' Pipa tembaga Seamless standart ASTM B88 dia. 40 mm</v>
          </cell>
        </row>
        <row r="827">
          <cell r="A827" t="str">
            <v>Memasang 1 m' Twisted Shelded 18,2 PAR + NYM 2 x 2,5 mm2</v>
          </cell>
        </row>
        <row r="828">
          <cell r="A828" t="str">
            <v>Memasang 1 Unit Indoor Unit, kapasitas : 6 613 BTU/h - Wall type</v>
          </cell>
        </row>
        <row r="829">
          <cell r="A829" t="str">
            <v>Memasang 1 Unit Outdoor Unit, kapasitas : 33 065 BTU/h</v>
          </cell>
        </row>
        <row r="830">
          <cell r="A830" t="str">
            <v>Memindahkan 1 Unit Outdoor AC</v>
          </cell>
        </row>
        <row r="831">
          <cell r="A831" t="str">
            <v>Memasang 1 Unit AC, kapasitas : 2 Pk - Standing type</v>
          </cell>
        </row>
        <row r="832">
          <cell r="A832" t="str">
            <v>Memasang 1 Unit AC, kapasitas : 1/2 Pk - Wall Mounted type</v>
          </cell>
        </row>
        <row r="833">
          <cell r="A833" t="str">
            <v>Memasang 1 Unit AC, kapasitas : 1 Pk - Wall Mounted type</v>
          </cell>
        </row>
        <row r="834">
          <cell r="A834" t="str">
            <v>Memasang 1 Unit AC, kapasitas : 1 1/2 Pk - Wall Mounted type</v>
          </cell>
        </row>
        <row r="835">
          <cell r="A835" t="str">
            <v>Memasang 1 Unit AC, kapasitas : 1 Pk - Cassette type</v>
          </cell>
        </row>
        <row r="836">
          <cell r="A836" t="str">
            <v>Memasang 1 Unit AC, kapasitas : 1 1/2 Pk - Cassette type</v>
          </cell>
        </row>
        <row r="837">
          <cell r="A837" t="str">
            <v>Memasang 1 Unit AC, kapasitas : 3 Pk - Cassette type</v>
          </cell>
        </row>
        <row r="838">
          <cell r="A838" t="str">
            <v>Memasang 1 Unit AC, kapasitas : 2 Pk - Cassette type</v>
          </cell>
        </row>
        <row r="839">
          <cell r="A839" t="str">
            <v>Memasang 1 Unit AC, kapasitas : 2 Pk - Type Mini Cassette</v>
          </cell>
        </row>
        <row r="840">
          <cell r="A840" t="str">
            <v>Memasang 1 Unit AC, kapasitas : 2,5 Pk - Type Mini Cassette</v>
          </cell>
        </row>
        <row r="841">
          <cell r="A841" t="str">
            <v>Mengerjakan 1 m Pemipaan Refrigrant berisolasi</v>
          </cell>
        </row>
        <row r="842">
          <cell r="A842" t="str">
            <v>Mengerjakan 1 m Pemipaan Drain / PVC AW berisolasi</v>
          </cell>
        </row>
        <row r="843">
          <cell r="A843" t="str">
            <v>Memasang 1 Unit Exhaust Fan 10 Inch</v>
          </cell>
        </row>
        <row r="844">
          <cell r="A844" t="str">
            <v>Memasang 1 Unit Exhaust Hood</v>
          </cell>
        </row>
        <row r="845">
          <cell r="A845" t="str">
            <v>Memasang 1 Unit Vertical Multistages Pump, Kap. 5,8 M3/H</v>
          </cell>
        </row>
        <row r="846">
          <cell r="A846" t="str">
            <v>Memasang 1 Unit Main Elektric Pump Kap. 1250 Usgpm</v>
          </cell>
        </row>
        <row r="847">
          <cell r="A847" t="str">
            <v>Memasang 1 Unit Jockey Fire Pump</v>
          </cell>
        </row>
        <row r="848">
          <cell r="A848" t="str">
            <v>Memasang 1 Unit Jockey Fire Pump Kap. 25 GPM</v>
          </cell>
        </row>
        <row r="849">
          <cell r="A849" t="str">
            <v>Memasang 1 Unit Automatic Diesel Pump Kap. 1250 Usgpm</v>
          </cell>
        </row>
        <row r="850">
          <cell r="A850" t="str">
            <v>Memasang 1 Unit Diesel Pump Kap. 250 GPM</v>
          </cell>
        </row>
        <row r="851">
          <cell r="A851" t="str">
            <v>Memasang 1 Set Fire Hose Cabinet ( FHC ), 125 x 75 x 18 cm</v>
          </cell>
        </row>
        <row r="852">
          <cell r="A852" t="str">
            <v>Memasang 1 Buah Fire Protection Portable (Tabung Pemadam 9 Kg)</v>
          </cell>
        </row>
        <row r="853">
          <cell r="A853" t="str">
            <v>Memasang 1 Buah Fire Protection Portable (Tabung Pemadam 6 Kg)</v>
          </cell>
        </row>
        <row r="854">
          <cell r="A854" t="str">
            <v>Memasang 1 Buah Fire Protection Portable (Tabung Pemadam 3 Kg)</v>
          </cell>
        </row>
        <row r="855">
          <cell r="A855" t="str">
            <v>Memasang 1 Buah Thermatic Automatic Spinkler</v>
          </cell>
        </row>
        <row r="856">
          <cell r="A856" t="str">
            <v>Memasang 1 Buah Box Hydrant Cabinet</v>
          </cell>
        </row>
        <row r="857">
          <cell r="A857" t="str">
            <v>Memasang 1 Buah Hydrant Pillar Two Way</v>
          </cell>
        </row>
        <row r="858">
          <cell r="A858" t="str">
            <v>Memasang 1 Unit Siamesse Connection</v>
          </cell>
        </row>
        <row r="859">
          <cell r="A859" t="str">
            <v>Memasang 1 Buah Sprinkler</v>
          </cell>
        </row>
        <row r="860">
          <cell r="A860" t="str">
            <v>Memasang 1 Buah Flow Switch</v>
          </cell>
        </row>
        <row r="861">
          <cell r="A861" t="str">
            <v>Memasang 1 Buah Plat Orifice 100mm</v>
          </cell>
        </row>
        <row r="862">
          <cell r="A862" t="str">
            <v>Memasang 1 Buah Plat Orifice 25mm</v>
          </cell>
        </row>
        <row r="863">
          <cell r="A863" t="str">
            <v>Memasang 1 Buah Sight Gass</v>
          </cell>
        </row>
        <row r="864">
          <cell r="A864" t="str">
            <v>Memasang 1 Buah Pressure Switch</v>
          </cell>
        </row>
        <row r="865">
          <cell r="A865" t="str">
            <v>Memasang 1 Buah Pressure Gauge</v>
          </cell>
        </row>
        <row r="866">
          <cell r="A866" t="str">
            <v>Memasang 1 buah Heat Pump</v>
          </cell>
        </row>
        <row r="867">
          <cell r="A867" t="str">
            <v>Memasang 1 buah Heat Tank Unit</v>
          </cell>
        </row>
        <row r="868">
          <cell r="A868" t="str">
            <v>Memasang 1 buah Solar Water Heater</v>
          </cell>
        </row>
        <row r="869">
          <cell r="A869" t="str">
            <v>Memasang 1 Set Penangkal Petir</v>
          </cell>
        </row>
        <row r="870">
          <cell r="A870" t="str">
            <v>Memasang 1 buah Solar Water Heater</v>
          </cell>
        </row>
        <row r="1094">
          <cell r="A1094" t="str">
            <v>DAFTAR SATUAN</v>
          </cell>
        </row>
        <row r="1095">
          <cell r="A1095" t="str">
            <v>M'</v>
          </cell>
        </row>
        <row r="1096">
          <cell r="A1096" t="str">
            <v>M2</v>
          </cell>
        </row>
        <row r="1097">
          <cell r="A1097" t="str">
            <v>M3</v>
          </cell>
        </row>
        <row r="1098">
          <cell r="A1098" t="str">
            <v>Bh</v>
          </cell>
        </row>
        <row r="1099">
          <cell r="A1099" t="str">
            <v>Ls</v>
          </cell>
        </row>
        <row r="1100">
          <cell r="A1100" t="str">
            <v>Set</v>
          </cell>
        </row>
        <row r="1101">
          <cell r="A1101" t="str">
            <v>Unit</v>
          </cell>
        </row>
        <row r="1102">
          <cell r="A1102" t="str">
            <v>Titik</v>
          </cell>
        </row>
        <row r="1103">
          <cell r="A1103" t="str">
            <v>Pcs</v>
          </cell>
        </row>
        <row r="1104">
          <cell r="A1104" t="str">
            <v>Kg</v>
          </cell>
        </row>
      </sheetData>
      <sheetData sheetId="1"/>
      <sheetData sheetId="2"/>
      <sheetData sheetId="3"/>
      <sheetData sheetId="4">
        <row r="26">
          <cell r="D26" t="str">
            <v>Jumlah Total</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Total"/>
      <sheetName val="Adm"/>
      <sheetName val="Poliklinik"/>
      <sheetName val="Akreditasi"/>
      <sheetName val="Analisa"/>
      <sheetName val="Harga Bahan &amp; Upah"/>
    </sheetNames>
    <sheetDataSet>
      <sheetData sheetId="0"/>
      <sheetData sheetId="1"/>
      <sheetData sheetId="2"/>
      <sheetData sheetId="3"/>
      <sheetData sheetId="4"/>
      <sheetData sheetId="5">
        <row r="19">
          <cell r="H19">
            <v>30000</v>
          </cell>
        </row>
        <row r="115">
          <cell r="H115">
            <v>20000</v>
          </cell>
        </row>
      </sheetData>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90704 (2)"/>
      <sheetName val="Cover 290704"/>
      <sheetName val="RAB 290704"/>
      <sheetName val="notifier"/>
      <sheetName val="Sheet1"/>
    </sheetNames>
    <sheetDataSet>
      <sheetData sheetId="0" refreshError="1"/>
      <sheetData sheetId="1" refreshError="1"/>
      <sheetData sheetId="2" refreshError="1"/>
      <sheetData sheetId="3" refreshError="1"/>
      <sheetData sheetId="4"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PAGU"/>
      <sheetName val="RAB"/>
      <sheetName val="REKAP AWAL"/>
      <sheetName val="REKAP MC 0"/>
      <sheetName val="Rekap Bab"/>
      <sheetName val="RAB BALANCE"/>
      <sheetName val="Galian Drainase"/>
      <sheetName val="GOR-GORONG"/>
      <sheetName val="PB MORTAR (2)"/>
      <sheetName val="Tim Pilihan"/>
      <sheetName val="P Bdn Jalan"/>
      <sheetName val="LPA Klas A"/>
      <sheetName val="Lapis Resap Pengikat"/>
      <sheetName val="Lapis Perekat"/>
      <sheetName val="AC-WC 4 cm"/>
      <sheetName val="AC-WC Leveling"/>
      <sheetName val="BETON K300 CCO"/>
      <sheetName val="BETON K250 CCO"/>
      <sheetName val="BAJA TUL CCO"/>
      <sheetName val="Pas. Batu CCO"/>
      <sheetName val="Pas. Batu"/>
      <sheetName val="PB MORTAR"/>
      <sheetName val="BETON K300"/>
      <sheetName val="BETON K250"/>
      <sheetName val="BAJA TUL"/>
      <sheetName val="BETON K175"/>
      <sheetName val="BRONJONG"/>
      <sheetName val="SELOKAN"/>
      <sheetName val="Tim Bia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9">
          <cell r="E9" t="str">
            <v>PEMELIHARAAN BERKALA JALAN TENTENA - TONUSU</v>
          </cell>
        </row>
        <row r="11">
          <cell r="E11" t="str">
            <v>KM. 280+600 - KM. 284+350</v>
          </cell>
        </row>
        <row r="12">
          <cell r="E12" t="str">
            <v>Efektif  =  3,750  KM</v>
          </cell>
        </row>
        <row r="90">
          <cell r="J90" t="str">
            <v>BENYTAS LANDE, ST</v>
          </cell>
        </row>
        <row r="91">
          <cell r="J91" t="str">
            <v>NIP. 19671111 200701 1 031</v>
          </cell>
        </row>
        <row r="182">
          <cell r="B182" t="str">
            <v>Ir. I B R A H I M</v>
          </cell>
        </row>
        <row r="183">
          <cell r="B183" t="str">
            <v>SITE MANAGER</v>
          </cell>
        </row>
      </sheetData>
      <sheetData sheetId="25"/>
      <sheetData sheetId="26"/>
      <sheetData sheetId="27"/>
      <sheetData sheetId="28"/>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si"/>
      <sheetName val="Post"/>
      <sheetName val="RAP"/>
      <sheetName val="REKAP"/>
      <sheetName val="BILL"/>
      <sheetName val="Time"/>
      <sheetName val="Daft.NP"/>
      <sheetName val="NP"/>
      <sheetName val="Basic Price"/>
      <sheetName val="Div1"/>
      <sheetName val="Div3"/>
      <sheetName val="Div7"/>
      <sheetName val="Peralatan"/>
      <sheetName val="Kap.Alat"/>
      <sheetName val="Analisa Quarry"/>
      <sheetName val="sub "/>
      <sheetName val="TS MINGGUAN"/>
      <sheetName val="Daft_NP"/>
      <sheetName val="Basic_Price"/>
      <sheetName val="Kap_Alat"/>
      <sheetName val="Analisa_Quarry"/>
      <sheetName val="sub_"/>
      <sheetName val="TS_MINGGUAN"/>
      <sheetName val="Daft_NP1"/>
      <sheetName val="Basic_Price1"/>
      <sheetName val="Kap_Alat1"/>
      <sheetName val="Analisa_Quarry1"/>
      <sheetName val="sub_1"/>
      <sheetName val="TS_MINGGUAN1"/>
      <sheetName val="Daft_NP2"/>
      <sheetName val="Basic_Price2"/>
      <sheetName val="Kap_Alat2"/>
      <sheetName val="Analisa_Quarry2"/>
      <sheetName val="sub_2"/>
      <sheetName val="TS_MINGGUAN2"/>
      <sheetName val="Daft_NP3"/>
      <sheetName val="Basic_Price3"/>
      <sheetName val="Kap_Alat3"/>
      <sheetName val="Analisa_Quarry3"/>
      <sheetName val="sub_3"/>
      <sheetName val="TS_MINGGUAN3"/>
      <sheetName val="Daft_NP4"/>
      <sheetName val="Basic_Price4"/>
      <sheetName val="Kap_Alat4"/>
      <sheetName val="Analisa_Quarry4"/>
      <sheetName val="sub_4"/>
      <sheetName val="TS_MINGGUAN4"/>
      <sheetName val="Daft_NP5"/>
      <sheetName val="Basic_Price5"/>
      <sheetName val="Kap_Alat5"/>
      <sheetName val="Analisa_Quarry5"/>
      <sheetName val="sub_5"/>
      <sheetName val="TS_MINGGUAN5"/>
      <sheetName val="Daft_NP6"/>
      <sheetName val="Basic_Price6"/>
      <sheetName val="Kap_Alat6"/>
      <sheetName val="Analisa_Quarry6"/>
      <sheetName val="sub_6"/>
      <sheetName val="TS_MINGGUAN6"/>
      <sheetName val="GAL.BIASA"/>
      <sheetName val="Pemb. Jemb Busung(TJS)"/>
      <sheetName val="Quary"/>
      <sheetName val="Rekap Direct Cost"/>
      <sheetName val="Daft_NP7"/>
      <sheetName val="Basic_Price7"/>
      <sheetName val="Kap_Alat7"/>
      <sheetName val="Analisa_Quarry7"/>
      <sheetName val="sub_7"/>
      <sheetName val="TS_MINGGUAN7"/>
      <sheetName val="GAL_BIASA"/>
      <sheetName val="Pemb__Jemb_Busung(TJS)"/>
      <sheetName val="Jadwal"/>
      <sheetName val="m schedule"/>
      <sheetName val="BILL (2)"/>
      <sheetName val="hsd"/>
      <sheetName val="H.Satuan"/>
      <sheetName val="DB"/>
      <sheetName val="Daft_NP8"/>
      <sheetName val="Basic_Price8"/>
      <sheetName val="Kap_Alat8"/>
      <sheetName val="Analisa_Quarry8"/>
      <sheetName val="sub_8"/>
      <sheetName val="TS_MINGGUAN8"/>
      <sheetName val="GAL_BIASA1"/>
      <sheetName val="Pemb__Jemb_Busung(TJS)1"/>
      <sheetName val="Faktor Konversi"/>
      <sheetName val="Bahan"/>
      <sheetName val="terbilang"/>
      <sheetName val="DiV2"/>
      <sheetName val="DiV6"/>
      <sheetName val="DiV4"/>
      <sheetName val="DiV8"/>
      <sheetName val="BASIC"/>
      <sheetName val="UPAH"/>
      <sheetName val="Daft_NP9"/>
      <sheetName val="Basic_Price9"/>
      <sheetName val="Kap_Alat9"/>
      <sheetName val="Analisa_Quarry9"/>
      <sheetName val="sub_9"/>
      <sheetName val="TS_MINGGUAN9"/>
      <sheetName val="GAL_BIASA2"/>
      <sheetName val="Pemb__Jemb_Busung(TJS)2"/>
      <sheetName val="harga"/>
      <sheetName val="BREAKDOWN"/>
      <sheetName val="Perm. Test"/>
      <sheetName val="komp"/>
      <sheetName val="Galian 1"/>
      <sheetName val="DATA"/>
      <sheetName val="anal_hs"/>
      <sheetName val="DAFTAR HARGA"/>
      <sheetName val="HB"/>
      <sheetName val="Koefisien"/>
      <sheetName val="Analisa"/>
      <sheetName val="escon"/>
      <sheetName val="Rek Tot"/>
      <sheetName val="Electronic"/>
      <sheetName val="Alat"/>
      <sheetName val="Ijuk,Pipa"/>
      <sheetName val="STRUKTUR"/>
      <sheetName val="MAP"/>
      <sheetName val="RAB"/>
      <sheetName val="ASPAL (14)"/>
      <sheetName val="AnBayarUtama"/>
      <sheetName val="PO-2"/>
      <sheetName val="divII"/>
      <sheetName val="List Plant"/>
      <sheetName val="Material"/>
      <sheetName val="Bhn"/>
      <sheetName val="HARGA BAHAN"/>
      <sheetName val="Analisa SNI"/>
      <sheetName val="Cover"/>
      <sheetName val="extern"/>
      <sheetName val="UPAH BAHAN "/>
      <sheetName val="1"/>
      <sheetName val="ANL_TEK.6"/>
      <sheetName val="HARGA MATERIAL"/>
      <sheetName val="Quary1"/>
      <sheetName val="Lokasi"/>
      <sheetName val="Upah Dan Bahan"/>
      <sheetName val="PO2"/>
      <sheetName val="H Satuan Dasar"/>
      <sheetName val="Analisa Teknik"/>
      <sheetName val="UPH,BHN,ALT"/>
      <sheetName val="Progress"/>
      <sheetName val="SPK"/>
      <sheetName val="harsat"/>
      <sheetName val="RUTIN"/>
      <sheetName val="Anls Hrg 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Pen"/>
      <sheetName val="rekap"/>
      <sheetName val="RAB"/>
      <sheetName val="ANALISA"/>
      <sheetName val="UPAH &amp; BAHAN"/>
      <sheetName val="schedule"/>
    </sheetNames>
    <sheetDataSet>
      <sheetData sheetId="0"/>
      <sheetData sheetId="1"/>
      <sheetData sheetId="2"/>
      <sheetData sheetId="3"/>
      <sheetData sheetId="4">
        <row r="14">
          <cell r="I14">
            <v>55000</v>
          </cell>
        </row>
        <row r="17">
          <cell r="I17">
            <v>35000</v>
          </cell>
        </row>
      </sheetData>
      <sheetData sheetId="5"/>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dayu-pandak"/>
      <sheetName val="BIAYA 2"/>
      <sheetName val="HSD"/>
      <sheetName val="ANAL"/>
      <sheetName val="SEWA ALAT"/>
      <sheetName val="met"/>
      <sheetName val="metode sentolo"/>
      <sheetName val="metode piyungan"/>
      <sheetName val="RUT"/>
      <sheetName val="PRUTIN"/>
    </sheetNames>
    <sheetDataSet>
      <sheetData sheetId="0" refreshError="1"/>
      <sheetData sheetId="1" refreshError="1"/>
      <sheetData sheetId="2" refreshError="1">
        <row r="45">
          <cell r="H45">
            <v>15000</v>
          </cell>
        </row>
        <row r="46">
          <cell r="H46">
            <v>3571.4285714285716</v>
          </cell>
        </row>
        <row r="47">
          <cell r="H47">
            <v>2857.1428571428573</v>
          </cell>
        </row>
        <row r="48">
          <cell r="H48">
            <v>2142.8571428571427</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alatperjam"/>
      <sheetName val="Harga dasar bahan"/>
      <sheetName val="harga on site"/>
      <sheetName val="analisa"/>
      <sheetName val="Rekap analisa"/>
      <sheetName val="Anal"/>
      <sheetName val="Rek"/>
      <sheetName val="RMS"/>
      <sheetName val="HS BHN&amp;UPAH"/>
      <sheetName val="HS-DASAR"/>
      <sheetName val="HARGA SATUAN"/>
      <sheetName val="5-ALAT(1)"/>
      <sheetName val="Divisi1"/>
      <sheetName val="BAHAN"/>
      <sheetName val="UPAH"/>
      <sheetName val="Har Sat"/>
      <sheetName val="SDM"/>
      <sheetName val="RAB"/>
      <sheetName val="map"/>
      <sheetName val="RKP"/>
      <sheetName val="harsat"/>
      <sheetName val="7.1(3)"/>
      <sheetName val="boq"/>
      <sheetName val="BAJA TUL"/>
      <sheetName val="grpsr2"/>
      <sheetName val="Analis"/>
      <sheetName val="Bahan&amp;Upah"/>
    </sheetNames>
    <sheetDataSet>
      <sheetData sheetId="0" refreshError="1"/>
      <sheetData sheetId="1" refreshError="1"/>
      <sheetData sheetId="2" refreshError="1">
        <row r="38">
          <cell r="H38">
            <v>14806.633923935824</v>
          </cell>
        </row>
        <row r="55">
          <cell r="H55">
            <v>16104.422615957217</v>
          </cell>
        </row>
        <row r="66">
          <cell r="H66">
            <v>15361.326784787165</v>
          </cell>
        </row>
        <row r="79">
          <cell r="H79">
            <v>7711.3267847871648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ggal"/>
      <sheetName val="Bulanan"/>
      <sheetName val="Mingguan"/>
      <sheetName val="Schedule"/>
    </sheetNames>
    <sheetDataSet>
      <sheetData sheetId="0"/>
      <sheetData sheetId="1"/>
      <sheetData sheetId="2">
        <row r="74">
          <cell r="O74">
            <v>0</v>
          </cell>
        </row>
        <row r="185">
          <cell r="O185">
            <v>1.270974868925377</v>
          </cell>
        </row>
        <row r="296">
          <cell r="O296">
            <v>1.9297584257531808</v>
          </cell>
        </row>
        <row r="407">
          <cell r="O407">
            <v>2.6104227651279186</v>
          </cell>
        </row>
        <row r="629">
          <cell r="O629">
            <v>3.0499951630485898</v>
          </cell>
        </row>
        <row r="740">
          <cell r="O740">
            <v>3.2099972739293285</v>
          </cell>
        </row>
        <row r="851">
          <cell r="O851">
            <v>4.5838838696384112</v>
          </cell>
        </row>
        <row r="962">
          <cell r="O962">
            <v>10.73965978887778</v>
          </cell>
        </row>
      </sheetData>
      <sheetData sheetId="3"/>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ggal"/>
      <sheetName val="Bulanan"/>
      <sheetName val="Mingguan"/>
      <sheetName val="Scedule"/>
    </sheetNames>
    <sheetDataSet>
      <sheetData sheetId="0" refreshError="1"/>
      <sheetData sheetId="1" refreshError="1"/>
      <sheetData sheetId="2" refreshError="1">
        <row r="24">
          <cell r="E24">
            <v>1</v>
          </cell>
        </row>
        <row r="460">
          <cell r="O460">
            <v>5.4331687414331737</v>
          </cell>
        </row>
        <row r="950">
          <cell r="O950">
            <v>34.232112450891627</v>
          </cell>
        </row>
        <row r="1048">
          <cell r="O1048">
            <v>39.948688667662068</v>
          </cell>
        </row>
        <row r="1146">
          <cell r="O1146">
            <v>56.651639177280671</v>
          </cell>
        </row>
      </sheetData>
      <sheetData sheetId="3"/>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ASAR"/>
      <sheetName val="RG RAWAT VIP"/>
      <sheetName val="ANALISA"/>
      <sheetName val="HARGA"/>
    </sheetNames>
    <sheetDataSet>
      <sheetData sheetId="0" refreshError="1"/>
      <sheetData sheetId="1" refreshError="1"/>
      <sheetData sheetId="2" refreshError="1"/>
      <sheetData sheetId="3" refreshError="1">
        <row r="92">
          <cell r="G92">
            <v>20700</v>
          </cell>
        </row>
      </sheetData>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YC (1)"/>
      <sheetName val="BOQDOK"/>
      <sheetName val="Info"/>
      <sheetName val="Rkp-RAB"/>
      <sheetName val="BOQ"/>
      <sheetName val="MYC"/>
      <sheetName val="Lokasi"/>
      <sheetName val="Quarry"/>
      <sheetName val="HSD Gal C"/>
      <sheetName val="Suplyer"/>
      <sheetName val="Agg. Hls-Ksr"/>
      <sheetName val="Basic"/>
      <sheetName val="Harga Alat"/>
      <sheetName val="alat"/>
      <sheetName val="div-1"/>
      <sheetName val="div-2"/>
      <sheetName val="div-3"/>
      <sheetName val="div-4"/>
      <sheetName val="div-5"/>
      <sheetName val="div-6"/>
      <sheetName val="div-7a"/>
      <sheetName val="div-7b"/>
      <sheetName val="div-7c"/>
      <sheetName val="div-8"/>
      <sheetName val="div-9"/>
      <sheetName val="div-10"/>
      <sheetName val="div-10a"/>
      <sheetName val="Agg. A"/>
      <sheetName val="Agg. B"/>
      <sheetName val="Agg. C"/>
      <sheetName val="div-63aa"/>
      <sheetName val="div-63ab"/>
      <sheetName val="div-63ba"/>
      <sheetName val="div-63bb"/>
      <sheetName val="div-64"/>
      <sheetName val="3-DIV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1">
          <cell r="F71">
            <v>99400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rect"/>
      <sheetName val="samsidb"/>
      <sheetName val="Scope Erect Work"/>
      <sheetName val="HPP"/>
      <sheetName val="sum lpg"/>
      <sheetName val="Rate"/>
      <sheetName val="Anal-Pekerjaan"/>
      <sheetName val="Comp Compress"/>
      <sheetName val="MAIN EQUIPMENT LIST"/>
      <sheetName val="Local Portion"/>
      <sheetName val="MAIN EQUIPMENT-sell"/>
      <sheetName val="sum"/>
      <sheetName val="detail lpg "/>
      <sheetName val="Civil Works1"/>
      <sheetName val="guid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PNWR"/>
      <sheetName val="DAFT SIMAK"/>
      <sheetName val="REKAP"/>
      <sheetName val="BQ"/>
      <sheetName val="SUBKON"/>
      <sheetName val="MOB"/>
      <sheetName val="LALIN"/>
      <sheetName val="PEMEL-RUTIN"/>
      <sheetName val="ANALISA RUTIN"/>
      <sheetName val="MPU"/>
      <sheetName val="HARGA DASAR"/>
      <sheetName val="D2"/>
      <sheetName val="D3"/>
      <sheetName val="D4"/>
      <sheetName val="D5"/>
      <sheetName val="D6"/>
      <sheetName val="D7"/>
      <sheetName val="D8"/>
      <sheetName val="SCHEDULE"/>
      <sheetName val="PERSON"/>
      <sheetName val="PERALATAN"/>
      <sheetName val="HARGA OE"/>
    </sheetNames>
    <sheetDataSet>
      <sheetData sheetId="0"/>
      <sheetData sheetId="1"/>
      <sheetData sheetId="2"/>
      <sheetData sheetId="3"/>
      <sheetData sheetId="4"/>
      <sheetData sheetId="5"/>
      <sheetData sheetId="6"/>
      <sheetData sheetId="7"/>
      <sheetData sheetId="8"/>
      <sheetData sheetId="9"/>
      <sheetData sheetId="10"/>
      <sheetData sheetId="11">
        <row r="3">
          <cell r="L3" t="str">
            <v>FORMULIR STANDAR UNTUK</v>
          </cell>
        </row>
        <row r="4">
          <cell r="L4" t="str">
            <v>PEREKAMAN ANALISA MASING-MASING HARGA SATUAN</v>
          </cell>
        </row>
        <row r="5">
          <cell r="L5" t="str">
            <v/>
          </cell>
        </row>
        <row r="7">
          <cell r="L7" t="str">
            <v>KEGIATAN</v>
          </cell>
          <cell r="O7" t="str">
            <v>:  PEMELIHARAAN BERKALA JALAN PROPINSI WILAYAH TIMUR</v>
          </cell>
        </row>
        <row r="8">
          <cell r="L8" t="str">
            <v>PAKET</v>
          </cell>
          <cell r="O8" t="str">
            <v>:  PEMELIHARAAN BERKALA JALAN NGADIROJO - GIRIWOYO</v>
          </cell>
        </row>
        <row r="9">
          <cell r="L9" t="str">
            <v>NO. RUAS JALAN</v>
          </cell>
          <cell r="O9" t="str">
            <v xml:space="preserve">:  </v>
          </cell>
        </row>
        <row r="10">
          <cell r="L10" t="str">
            <v>TAHUN ANGGARAN</v>
          </cell>
          <cell r="O10" t="str">
            <v>:  2006</v>
          </cell>
        </row>
        <row r="11">
          <cell r="L11" t="str">
            <v>PROPINSI</v>
          </cell>
          <cell r="O11" t="str">
            <v>: JAWA TENGAH</v>
          </cell>
        </row>
        <row r="12">
          <cell r="L12" t="str">
            <v>MATA PEMBAYARAN</v>
          </cell>
          <cell r="O12" t="str">
            <v>:  2.1</v>
          </cell>
        </row>
        <row r="13">
          <cell r="L13" t="str">
            <v>URAIAN</v>
          </cell>
          <cell r="O13" t="str">
            <v>:  PEKERJAAN GALIAN UNTUK SELOKAN, DRAINASE DAN SALURAN AIR</v>
          </cell>
        </row>
        <row r="14">
          <cell r="L14" t="str">
            <v>SATUAN PEMBAYARAN</v>
          </cell>
          <cell r="O14" t="str">
            <v>:  M3</v>
          </cell>
        </row>
        <row r="17">
          <cell r="Q17" t="str">
            <v>PERKIRAAN</v>
          </cell>
          <cell r="R17" t="str">
            <v>HARGA</v>
          </cell>
          <cell r="S17" t="str">
            <v>JUMLAH</v>
          </cell>
        </row>
        <row r="18">
          <cell r="L18" t="str">
            <v>NO.</v>
          </cell>
          <cell r="N18" t="str">
            <v>KOMPONEN</v>
          </cell>
          <cell r="P18" t="str">
            <v>SATUAN</v>
          </cell>
          <cell r="Q18" t="str">
            <v>KUANTITAS</v>
          </cell>
          <cell r="R18" t="str">
            <v>SATUAN</v>
          </cell>
          <cell r="S18" t="str">
            <v>HARGA</v>
          </cell>
        </row>
        <row r="19">
          <cell r="R19" t="str">
            <v>(Rp.)</v>
          </cell>
          <cell r="S19" t="str">
            <v>(Rp.)</v>
          </cell>
        </row>
        <row r="22">
          <cell r="L22" t="str">
            <v>A.</v>
          </cell>
          <cell r="N22" t="str">
            <v>TENAGA</v>
          </cell>
        </row>
        <row r="24">
          <cell r="L24" t="str">
            <v>1.</v>
          </cell>
          <cell r="N24" t="str">
            <v>Pekerja</v>
          </cell>
          <cell r="P24" t="str">
            <v>jam</v>
          </cell>
          <cell r="Q24">
            <v>0.23699999999999999</v>
          </cell>
          <cell r="R24">
            <v>3200</v>
          </cell>
          <cell r="U24">
            <v>758.4</v>
          </cell>
        </row>
        <row r="25">
          <cell r="L25" t="str">
            <v>2.</v>
          </cell>
          <cell r="N25" t="str">
            <v>Mandor</v>
          </cell>
          <cell r="P25" t="str">
            <v>jam</v>
          </cell>
          <cell r="Q25">
            <v>5.9299999999999999E-2</v>
          </cell>
          <cell r="R25">
            <v>4650</v>
          </cell>
          <cell r="U25">
            <v>275.745</v>
          </cell>
        </row>
        <row r="28">
          <cell r="Q28" t="str">
            <v xml:space="preserve">JUMLAH HARGA TENAGA   </v>
          </cell>
          <cell r="U28">
            <v>1034.145</v>
          </cell>
        </row>
        <row r="30">
          <cell r="L30" t="str">
            <v>B.</v>
          </cell>
          <cell r="N30" t="str">
            <v>BAHAN</v>
          </cell>
        </row>
        <row r="39">
          <cell r="Q39" t="str">
            <v xml:space="preserve">JUMLAH HARGA BAHAN   </v>
          </cell>
          <cell r="U39">
            <v>0</v>
          </cell>
        </row>
        <row r="41">
          <cell r="L41" t="str">
            <v>C.</v>
          </cell>
          <cell r="N41" t="str">
            <v>PERALATAN</v>
          </cell>
        </row>
        <row r="43">
          <cell r="L43" t="str">
            <v>1.</v>
          </cell>
          <cell r="N43" t="str">
            <v>EXCAVATOR 80-140 HP</v>
          </cell>
          <cell r="P43" t="str">
            <v>jam</v>
          </cell>
          <cell r="Q43">
            <v>5.9299999999999999E-2</v>
          </cell>
          <cell r="R43">
            <v>127300</v>
          </cell>
          <cell r="U43">
            <v>7548.8899999999994</v>
          </cell>
        </row>
        <row r="44">
          <cell r="L44" t="str">
            <v>2.</v>
          </cell>
          <cell r="N44" t="str">
            <v>DUMP TRUCK 3-4 M3</v>
          </cell>
          <cell r="P44" t="str">
            <v>jam</v>
          </cell>
          <cell r="Q44">
            <v>0.1148</v>
          </cell>
          <cell r="R44">
            <v>123500</v>
          </cell>
          <cell r="U44">
            <v>14177.8</v>
          </cell>
        </row>
        <row r="45">
          <cell r="L45" t="str">
            <v>3.</v>
          </cell>
          <cell r="N45" t="str">
            <v>Alat Bantu</v>
          </cell>
          <cell r="P45" t="str">
            <v>Ls</v>
          </cell>
          <cell r="Q45">
            <v>1</v>
          </cell>
          <cell r="R45">
            <v>200</v>
          </cell>
          <cell r="U45">
            <v>200</v>
          </cell>
        </row>
        <row r="50">
          <cell r="Q50" t="str">
            <v xml:space="preserve">JUMLAH HARGA PERALATAN   </v>
          </cell>
          <cell r="U50">
            <v>21926.69</v>
          </cell>
        </row>
        <row r="52">
          <cell r="L52" t="str">
            <v>D.</v>
          </cell>
          <cell r="N52" t="str">
            <v>JUMLAH HARGA TENAGA, BAHAN DAN PERALATAN  ( A + B + C )</v>
          </cell>
          <cell r="U52">
            <v>22960.834999999999</v>
          </cell>
        </row>
        <row r="53">
          <cell r="L53" t="str">
            <v>E.</v>
          </cell>
          <cell r="N53" t="str">
            <v>OVERHEAD &amp; PROFIT</v>
          </cell>
          <cell r="Q53" t="str">
            <v>%  x  D</v>
          </cell>
          <cell r="U53">
            <v>0</v>
          </cell>
        </row>
        <row r="54">
          <cell r="L54" t="str">
            <v>F.</v>
          </cell>
          <cell r="N54" t="str">
            <v>HARGA SATUAN PEKERJAAN  ( D + E )</v>
          </cell>
          <cell r="U54">
            <v>22960.834999999999</v>
          </cell>
        </row>
        <row r="124">
          <cell r="L124" t="str">
            <v>FORMULIR STANDAR UNTUK</v>
          </cell>
        </row>
        <row r="125">
          <cell r="L125" t="str">
            <v>PEREKAMAN ANALISA MASING-MASING HARGA SATUAN</v>
          </cell>
        </row>
        <row r="126">
          <cell r="L126" t="str">
            <v/>
          </cell>
        </row>
        <row r="128">
          <cell r="L128" t="str">
            <v>KEGIATAN</v>
          </cell>
          <cell r="O128" t="str">
            <v>:  PEMELIHARAAN BERKALA JALAN PROPINSI WILAYAH TIMUR</v>
          </cell>
        </row>
        <row r="129">
          <cell r="L129" t="str">
            <v>PAKET</v>
          </cell>
          <cell r="O129" t="str">
            <v>:  PEMELIHARAAN BERKALA JALAN NGADIROJO - GIRIWOYO</v>
          </cell>
        </row>
        <row r="130">
          <cell r="L130" t="str">
            <v>NO. RUAS JALAN</v>
          </cell>
          <cell r="O130" t="str">
            <v xml:space="preserve">:  </v>
          </cell>
        </row>
        <row r="131">
          <cell r="L131" t="str">
            <v>TAHUN ANGGARAN</v>
          </cell>
          <cell r="O131" t="str">
            <v>:  2006</v>
          </cell>
        </row>
        <row r="132">
          <cell r="L132" t="str">
            <v>PROPINSI</v>
          </cell>
          <cell r="O132" t="str">
            <v>:  JAWA TENGAH</v>
          </cell>
        </row>
        <row r="133">
          <cell r="L133" t="str">
            <v>MATA PEMBAYARAN</v>
          </cell>
          <cell r="O133" t="str">
            <v>:  2.2 (1)</v>
          </cell>
        </row>
        <row r="134">
          <cell r="L134" t="str">
            <v>URAIAN</v>
          </cell>
          <cell r="O134" t="str">
            <v>:  PASANGAN BATU DENGAN MORTAR 1PC : 3PS</v>
          </cell>
        </row>
        <row r="135">
          <cell r="L135" t="str">
            <v>SATUAN PEMBAYARAN</v>
          </cell>
          <cell r="O135" t="str">
            <v>:  M3</v>
          </cell>
        </row>
        <row r="138">
          <cell r="Q138" t="str">
            <v>PERKIRAAN</v>
          </cell>
          <cell r="R138" t="str">
            <v>HARGA</v>
          </cell>
          <cell r="S138" t="str">
            <v>JUMLAH</v>
          </cell>
        </row>
        <row r="139">
          <cell r="L139" t="str">
            <v>NO.</v>
          </cell>
          <cell r="N139" t="str">
            <v>KOMPONEN</v>
          </cell>
          <cell r="P139" t="str">
            <v>SATUAN</v>
          </cell>
          <cell r="Q139" t="str">
            <v>KUANTITAS</v>
          </cell>
          <cell r="R139" t="str">
            <v>SATUAN</v>
          </cell>
          <cell r="S139" t="str">
            <v>HARGA</v>
          </cell>
        </row>
        <row r="140">
          <cell r="R140" t="str">
            <v>(Rp.)</v>
          </cell>
          <cell r="S140" t="str">
            <v>(Rp.)</v>
          </cell>
        </row>
        <row r="143">
          <cell r="L143" t="str">
            <v>A.</v>
          </cell>
          <cell r="N143" t="str">
            <v>TENAGA</v>
          </cell>
        </row>
        <row r="145">
          <cell r="L145" t="str">
            <v>1.</v>
          </cell>
          <cell r="N145" t="str">
            <v>Pekerja</v>
          </cell>
          <cell r="P145" t="str">
            <v>jam</v>
          </cell>
          <cell r="Q145">
            <v>9.3332999999999995</v>
          </cell>
          <cell r="R145">
            <v>3200</v>
          </cell>
          <cell r="U145">
            <v>29866.559999999998</v>
          </cell>
        </row>
        <row r="146">
          <cell r="L146" t="str">
            <v>2.</v>
          </cell>
          <cell r="N146" t="str">
            <v>Tukang Batu</v>
          </cell>
          <cell r="P146" t="str">
            <v>jam</v>
          </cell>
          <cell r="Q146">
            <v>2.6667000000000001</v>
          </cell>
          <cell r="R146">
            <v>4320</v>
          </cell>
          <cell r="U146">
            <v>11520.144</v>
          </cell>
        </row>
        <row r="147">
          <cell r="L147" t="str">
            <v>3.</v>
          </cell>
          <cell r="N147" t="str">
            <v>Mandor</v>
          </cell>
          <cell r="P147" t="str">
            <v>jam</v>
          </cell>
          <cell r="Q147">
            <v>0.44440000000000002</v>
          </cell>
          <cell r="R147">
            <v>4650</v>
          </cell>
          <cell r="U147">
            <v>2066.46</v>
          </cell>
        </row>
        <row r="149">
          <cell r="Q149" t="str">
            <v xml:space="preserve">JUMLAH HARGA TENAGA   </v>
          </cell>
          <cell r="U149">
            <v>43453.163999999997</v>
          </cell>
        </row>
        <row r="151">
          <cell r="L151" t="str">
            <v>B.</v>
          </cell>
          <cell r="N151" t="str">
            <v>BAHAN</v>
          </cell>
        </row>
        <row r="153">
          <cell r="L153" t="str">
            <v>1.</v>
          </cell>
          <cell r="N153" t="str">
            <v>Batu</v>
          </cell>
          <cell r="P153" t="str">
            <v>M3</v>
          </cell>
          <cell r="Q153">
            <v>1.08</v>
          </cell>
          <cell r="R153">
            <v>87400</v>
          </cell>
          <cell r="U153">
            <v>94392</v>
          </cell>
        </row>
        <row r="154">
          <cell r="L154" t="str">
            <v>2.</v>
          </cell>
          <cell r="N154" t="str">
            <v>Semen (PC)</v>
          </cell>
          <cell r="P154" t="str">
            <v>kg</v>
          </cell>
          <cell r="Q154">
            <v>201.6</v>
          </cell>
          <cell r="R154">
            <v>760</v>
          </cell>
          <cell r="U154">
            <v>153216</v>
          </cell>
        </row>
        <row r="155">
          <cell r="L155" t="str">
            <v>3.</v>
          </cell>
          <cell r="N155" t="str">
            <v>Pasir</v>
          </cell>
          <cell r="P155" t="str">
            <v>M3</v>
          </cell>
          <cell r="Q155">
            <v>0.45269999999999999</v>
          </cell>
          <cell r="R155">
            <v>90250</v>
          </cell>
          <cell r="U155">
            <v>40856.174999999996</v>
          </cell>
        </row>
        <row r="160">
          <cell r="Q160" t="str">
            <v xml:space="preserve">JUMLAH HARGA BAHAN   </v>
          </cell>
          <cell r="U160">
            <v>288464.17499999999</v>
          </cell>
        </row>
        <row r="162">
          <cell r="L162" t="str">
            <v>C.</v>
          </cell>
          <cell r="N162" t="str">
            <v>PERALATAN</v>
          </cell>
        </row>
        <row r="164">
          <cell r="L164" t="str">
            <v>1.</v>
          </cell>
          <cell r="N164" t="str">
            <v>CONCRETE MIXER 0.3-0.6 M3</v>
          </cell>
          <cell r="P164" t="str">
            <v>jam</v>
          </cell>
          <cell r="Q164">
            <v>0.44440000000000002</v>
          </cell>
          <cell r="R164">
            <v>21850</v>
          </cell>
          <cell r="U164">
            <v>9710.1400000000012</v>
          </cell>
        </row>
        <row r="165">
          <cell r="L165" t="str">
            <v>2.</v>
          </cell>
          <cell r="N165" t="str">
            <v>Alat Bantu</v>
          </cell>
          <cell r="P165" t="str">
            <v>Ls</v>
          </cell>
          <cell r="Q165">
            <v>1</v>
          </cell>
          <cell r="R165">
            <v>200</v>
          </cell>
          <cell r="U165">
            <v>200</v>
          </cell>
        </row>
        <row r="171">
          <cell r="Q171" t="str">
            <v xml:space="preserve">JUMLAH HARGA PERALATAN   </v>
          </cell>
          <cell r="U171">
            <v>9910.1400000000012</v>
          </cell>
        </row>
        <row r="173">
          <cell r="L173" t="str">
            <v>D.</v>
          </cell>
          <cell r="N173" t="str">
            <v>JUMLAH HARGA TENAGA, BAHAN DAN PERALATAN  ( A + B + C )</v>
          </cell>
          <cell r="U173">
            <v>341827.47899999999</v>
          </cell>
        </row>
        <row r="174">
          <cell r="L174" t="str">
            <v>E.</v>
          </cell>
          <cell r="N174" t="str">
            <v>OVERHEAD &amp; PROFIT</v>
          </cell>
          <cell r="P174">
            <v>0</v>
          </cell>
          <cell r="Q174" t="str">
            <v>%  x  D</v>
          </cell>
          <cell r="U174">
            <v>0</v>
          </cell>
        </row>
        <row r="175">
          <cell r="L175" t="str">
            <v>F.</v>
          </cell>
          <cell r="N175" t="str">
            <v>HARGA SATUAN PEKERJAAN  ( D + E )</v>
          </cell>
          <cell r="U175">
            <v>341827.47899999999</v>
          </cell>
        </row>
      </sheetData>
      <sheetData sheetId="12"/>
      <sheetData sheetId="13"/>
      <sheetData sheetId="14"/>
      <sheetData sheetId="15"/>
      <sheetData sheetId="16">
        <row r="6">
          <cell r="L6" t="str">
            <v>FORMULIR STANDAR UNTUK</v>
          </cell>
        </row>
        <row r="7">
          <cell r="L7" t="str">
            <v>PEREKAMAN ANALISA MASING-MASING HARGA SATUAN</v>
          </cell>
        </row>
        <row r="8">
          <cell r="L8" t="str">
            <v/>
          </cell>
        </row>
        <row r="10">
          <cell r="L10" t="str">
            <v>KEGIATAN</v>
          </cell>
          <cell r="O10" t="str">
            <v>:  PEMELIHARAAN BERKALA JALAN PROPINSI WILAYAH TIMUR</v>
          </cell>
        </row>
        <row r="11">
          <cell r="L11" t="str">
            <v>PAKET</v>
          </cell>
          <cell r="O11" t="str">
            <v>:  PEMELIHARAAN BERKALA JALAN NGADIROJO - GIRIWOYO</v>
          </cell>
        </row>
        <row r="12">
          <cell r="L12" t="str">
            <v>NO. RUAS JALAN</v>
          </cell>
          <cell r="O12" t="str">
            <v xml:space="preserve">:  </v>
          </cell>
        </row>
        <row r="13">
          <cell r="L13" t="str">
            <v>TAHUN ANGGARAN</v>
          </cell>
          <cell r="O13" t="str">
            <v>:  2006</v>
          </cell>
        </row>
        <row r="14">
          <cell r="L14" t="str">
            <v>PROPINSI</v>
          </cell>
          <cell r="O14" t="str">
            <v>:  JAWA TENGAH</v>
          </cell>
        </row>
        <row r="15">
          <cell r="L15" t="str">
            <v>MATA PEMBAYARAN</v>
          </cell>
          <cell r="O15" t="str">
            <v>:  7.9</v>
          </cell>
        </row>
        <row r="16">
          <cell r="L16" t="str">
            <v>URAIAN</v>
          </cell>
          <cell r="O16" t="str">
            <v>:  PASANGAN BATU 1 : 3</v>
          </cell>
        </row>
        <row r="17">
          <cell r="L17" t="str">
            <v>SATUAN PEMBAYARAN</v>
          </cell>
          <cell r="O17" t="str">
            <v>:  M3</v>
          </cell>
        </row>
        <row r="20">
          <cell r="Q20" t="str">
            <v>PERKIRAAN</v>
          </cell>
          <cell r="R20" t="str">
            <v>HARGA</v>
          </cell>
          <cell r="S20" t="str">
            <v>JUMLAH</v>
          </cell>
        </row>
        <row r="21">
          <cell r="L21" t="str">
            <v>NO.</v>
          </cell>
          <cell r="N21" t="str">
            <v>KOMPONEN</v>
          </cell>
          <cell r="P21" t="str">
            <v>SATUAN</v>
          </cell>
          <cell r="Q21" t="str">
            <v>KUANTITAS</v>
          </cell>
          <cell r="R21" t="str">
            <v>SATUAN</v>
          </cell>
          <cell r="S21" t="str">
            <v>HARGA</v>
          </cell>
        </row>
        <row r="22">
          <cell r="R22" t="str">
            <v>(Rp.)</v>
          </cell>
          <cell r="S22" t="str">
            <v>(Rp.)</v>
          </cell>
        </row>
        <row r="25">
          <cell r="L25" t="str">
            <v>A.</v>
          </cell>
          <cell r="N25" t="str">
            <v>TENAGA</v>
          </cell>
        </row>
        <row r="27">
          <cell r="L27" t="str">
            <v>1.</v>
          </cell>
          <cell r="N27" t="str">
            <v>Pekerja</v>
          </cell>
          <cell r="P27" t="str">
            <v>jam</v>
          </cell>
          <cell r="Q27">
            <v>9.3332999999999995</v>
          </cell>
          <cell r="R27">
            <v>3200</v>
          </cell>
          <cell r="U27">
            <v>29866.559999999998</v>
          </cell>
        </row>
        <row r="28">
          <cell r="L28" t="str">
            <v>2.</v>
          </cell>
          <cell r="N28" t="str">
            <v>Tukang Batu</v>
          </cell>
          <cell r="P28" t="str">
            <v>jam</v>
          </cell>
          <cell r="Q28">
            <v>2.6667000000000001</v>
          </cell>
          <cell r="R28">
            <v>4320</v>
          </cell>
          <cell r="U28">
            <v>11520.144</v>
          </cell>
        </row>
        <row r="29">
          <cell r="L29" t="str">
            <v>3.</v>
          </cell>
          <cell r="N29" t="str">
            <v>Mandor</v>
          </cell>
          <cell r="P29" t="str">
            <v>jam</v>
          </cell>
          <cell r="Q29">
            <v>0.44440000000000002</v>
          </cell>
          <cell r="R29">
            <v>4650</v>
          </cell>
          <cell r="U29">
            <v>2066.46</v>
          </cell>
        </row>
        <row r="31">
          <cell r="Q31" t="str">
            <v xml:space="preserve">JUMLAH HARGA TENAGA   </v>
          </cell>
          <cell r="U31">
            <v>43453.163999999997</v>
          </cell>
        </row>
        <row r="33">
          <cell r="L33" t="str">
            <v>B.</v>
          </cell>
          <cell r="N33" t="str">
            <v>BAHAN</v>
          </cell>
        </row>
        <row r="35">
          <cell r="L35" t="str">
            <v>1.</v>
          </cell>
          <cell r="N35" t="str">
            <v>Batu</v>
          </cell>
          <cell r="P35" t="str">
            <v>M3</v>
          </cell>
          <cell r="Q35">
            <v>1.17</v>
          </cell>
          <cell r="R35">
            <v>87400</v>
          </cell>
          <cell r="U35">
            <v>102258</v>
          </cell>
        </row>
        <row r="36">
          <cell r="L36" t="str">
            <v>2.</v>
          </cell>
          <cell r="N36" t="str">
            <v>Semen (PC)</v>
          </cell>
          <cell r="P36" t="str">
            <v>kg</v>
          </cell>
          <cell r="Q36">
            <v>176</v>
          </cell>
          <cell r="R36">
            <v>760</v>
          </cell>
          <cell r="U36">
            <v>133760</v>
          </cell>
        </row>
        <row r="37">
          <cell r="L37" t="str">
            <v>3.</v>
          </cell>
          <cell r="N37" t="str">
            <v>Pasir</v>
          </cell>
          <cell r="P37" t="str">
            <v>M3</v>
          </cell>
          <cell r="Q37">
            <v>0.39610000000000001</v>
          </cell>
          <cell r="R37">
            <v>90250</v>
          </cell>
          <cell r="U37">
            <v>35748.025000000001</v>
          </cell>
        </row>
        <row r="42">
          <cell r="Q42" t="str">
            <v xml:space="preserve">JUMLAH HARGA BAHAN   </v>
          </cell>
          <cell r="U42">
            <v>271766.02500000002</v>
          </cell>
        </row>
        <row r="44">
          <cell r="L44" t="str">
            <v>C.</v>
          </cell>
          <cell r="N44" t="str">
            <v>PERALATAN</v>
          </cell>
        </row>
        <row r="46">
          <cell r="L46" t="str">
            <v>1.</v>
          </cell>
          <cell r="N46" t="str">
            <v>CONCRETE MIXER 0.3-0.6 M3</v>
          </cell>
          <cell r="P46" t="str">
            <v>jam</v>
          </cell>
          <cell r="Q46">
            <v>0.44440000000000002</v>
          </cell>
          <cell r="R46">
            <v>21850</v>
          </cell>
          <cell r="U46">
            <v>9710.1400000000012</v>
          </cell>
        </row>
        <row r="47">
          <cell r="L47" t="str">
            <v>2.</v>
          </cell>
          <cell r="N47" t="str">
            <v>Alat Bantu</v>
          </cell>
          <cell r="P47" t="str">
            <v>Ls</v>
          </cell>
          <cell r="Q47">
            <v>1</v>
          </cell>
          <cell r="R47">
            <v>200</v>
          </cell>
          <cell r="U47">
            <v>200</v>
          </cell>
        </row>
        <row r="53">
          <cell r="Q53" t="str">
            <v xml:space="preserve">JUMLAH HARGA PERALATAN   </v>
          </cell>
          <cell r="U53">
            <v>9910.1400000000012</v>
          </cell>
        </row>
        <row r="55">
          <cell r="L55" t="str">
            <v>D.</v>
          </cell>
          <cell r="N55" t="str">
            <v>JUMLAH HARGA TENAGA, BAHAN DAN PERALATAN  ( A + B + C )</v>
          </cell>
          <cell r="U55">
            <v>325129.32900000003</v>
          </cell>
        </row>
        <row r="56">
          <cell r="L56" t="str">
            <v>E.</v>
          </cell>
          <cell r="N56" t="str">
            <v>OVERHEAD &amp; PROFIT</v>
          </cell>
          <cell r="P56">
            <v>0</v>
          </cell>
          <cell r="Q56" t="str">
            <v>%  x  D</v>
          </cell>
          <cell r="U56">
            <v>0</v>
          </cell>
        </row>
        <row r="57">
          <cell r="L57" t="str">
            <v>F.</v>
          </cell>
          <cell r="N57" t="str">
            <v>HARGA SATUAN PEKERJAAN  ( D + E )</v>
          </cell>
          <cell r="U57">
            <v>325129.32900000003</v>
          </cell>
        </row>
      </sheetData>
      <sheetData sheetId="17"/>
      <sheetData sheetId="18"/>
      <sheetData sheetId="19"/>
      <sheetData sheetId="20"/>
      <sheetData sheetId="2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stimate"/>
      <sheetName val="MPU-D4"/>
      <sheetName val="MPU-D6"/>
      <sheetName val="Ana-Mbl1.2"/>
      <sheetName val="Ana-Pemel-rutin"/>
      <sheetName val="Mat. On Site"/>
      <sheetName val="Konf.K.PlanPecahBt-6a"/>
      <sheetName val="Konf.K.PlanCamp.Aspal-6b"/>
      <sheetName val="MPU"/>
      <sheetName val="DATA KONTRAK"/>
      <sheetName val="Alat (3)"/>
      <sheetName val="PERSON"/>
      <sheetName val="Sub Kon"/>
      <sheetName val="D2"/>
      <sheetName val="D3"/>
      <sheetName val="D5"/>
      <sheetName val="D7"/>
      <sheetName val="D8"/>
      <sheetName val="D9"/>
      <sheetName val="."/>
      <sheetName val="Harga S Dasar_UNTUK DIISI"/>
      <sheetName val="SCHEDULE"/>
      <sheetName val="LAMPIRAN"/>
      <sheetName val="Alat (2)"/>
      <sheetName val="alat"/>
      <sheetName val="agregat"/>
      <sheetName val="quary"/>
      <sheetName val="mobilisasi"/>
      <sheetName val="D4"/>
      <sheetName val="D6"/>
      <sheetName val="SCD-ALAT"/>
      <sheetName val="SCD-BAHAN"/>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sheetName val="DETAIL-1"/>
      <sheetName val="SUMMARY"/>
      <sheetName val="CF Rp-USD"/>
      <sheetName val="CF-satu"/>
      <sheetName val="KURS"/>
      <sheetName val="Rincian"/>
      <sheetName val="Mgn Proyek"/>
    </sheetNames>
    <sheetDataSet>
      <sheetData sheetId="0"/>
      <sheetData sheetId="1"/>
      <sheetData sheetId="2"/>
      <sheetData sheetId="3" refreshError="1">
        <row r="1">
          <cell r="BJ1">
            <v>10200</v>
          </cell>
        </row>
      </sheetData>
      <sheetData sheetId="4" refreshError="1">
        <row r="69">
          <cell r="BI69" t="e">
            <v>#REF!</v>
          </cell>
        </row>
      </sheetData>
      <sheetData sheetId="5"/>
      <sheetData sheetId="6"/>
      <sheetData sheetId="7"/>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Rekapitulasi"/>
      <sheetName val="Rab"/>
      <sheetName val="SRT_Penawaran1"/>
      <sheetName val="SRT_Penawaran2"/>
      <sheetName val="SRT_Penawaran3"/>
      <sheetName val="Data Alat"/>
      <sheetName val="PENG_PRSHNa"/>
      <sheetName val="PENG_PRSHNb"/>
      <sheetName val="Jadwal_Laksana"/>
      <sheetName val="Jadwal_Penugasan"/>
      <sheetName val="CV-Muchlis"/>
      <sheetName val="CV-Mangge"/>
      <sheetName val="CV-Tata"/>
      <sheetName val="CV_-Rafiq"/>
      <sheetName val="NyataSedia"/>
      <sheetName val="Rekap (2)"/>
      <sheetName val="RAB. Rencana  (2)"/>
      <sheetName val="Daftar Pengalaman.Puji"/>
      <sheetName val="Jadwal Pelak."/>
    </sheetNames>
    <sheetDataSet>
      <sheetData sheetId="0" refreshError="1">
        <row r="3">
          <cell r="D3" t="str">
            <v>CV. SUMBER CIPTA CONSULTANT</v>
          </cell>
        </row>
        <row r="6">
          <cell r="D6" t="str">
            <v>VIVI TANSIL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SNI1"/>
      <sheetName val="Tanah"/>
      <sheetName val="Pondasi"/>
      <sheetName val="Dinding"/>
      <sheetName val="Plester"/>
      <sheetName val="Beton"/>
      <sheetName val="Lantai"/>
      <sheetName val="Kayu"/>
      <sheetName val="Atap"/>
      <sheetName val="PEK. SANITAIR"/>
      <sheetName val="Cat"/>
      <sheetName val="RG Kelas"/>
      <sheetName val="Mess Guru"/>
      <sheetName val="Gdg.kantor"/>
      <sheetName val="Gdg. Serbaguna"/>
      <sheetName val="Rekap Total"/>
      <sheetName val="rekap Kelas"/>
      <sheetName val="rekap Serbaguna"/>
      <sheetName val="rekap Gdg.kantor"/>
      <sheetName val="rekap Mess Guru"/>
      <sheetName val="Fasilitator"/>
      <sheetName val="Biaya operasional"/>
      <sheetName val="sampul"/>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ODE"/>
      <sheetName val="ANALISA"/>
      <sheetName val="HS"/>
      <sheetName val="uraianaspal"/>
      <sheetName val="uraianII_VIII"/>
      <sheetName val="uraianIX"/>
      <sheetName val="UraianX"/>
      <sheetName val="Upah"/>
      <sheetName val="bahan"/>
      <sheetName val="alat"/>
      <sheetName val="kaputama"/>
      <sheetName val="PRODBAHAN"/>
      <sheetName val="quarry"/>
      <sheetName val="satbahan"/>
      <sheetName val="Sheet2"/>
      <sheetName val="satalat"/>
      <sheetName val="Anal"/>
      <sheetName val="DHS"/>
      <sheetName val="an-aspal"/>
      <sheetName val="RAB"/>
      <sheetName val="REKAP"/>
      <sheetName val="an_alat"/>
      <sheetName val="UPAH &amp; BHN ARS"/>
      <sheetName val="AHS ARS"/>
      <sheetName val="BASIC"/>
      <sheetName val="Div2"/>
      <sheetName val="UPAH_&amp;_BHN_ARS"/>
      <sheetName val="AHS_ARS"/>
      <sheetName val="UPAH_&amp;_BHN_ARS1"/>
      <sheetName val="AHS_ARS1"/>
      <sheetName val="UPAH_&amp;_BHN_ARS2"/>
      <sheetName val="AHS_ARS2"/>
      <sheetName val="UPAH_&amp;_BHN_ARS3"/>
      <sheetName val="AHS_ARS3"/>
      <sheetName val="UPAH_&amp;_BHN_ARS4"/>
      <sheetName val="AHS_ARS4"/>
      <sheetName val="UPAH_&amp;_BHN_ARS5"/>
      <sheetName val="AHS_ARS5"/>
      <sheetName val="UPAH_&amp;_BHN_ARS6"/>
      <sheetName val="AHS_ARS6"/>
      <sheetName val="UPAH_&amp;_BHN_ARS7"/>
      <sheetName val="AHS_ARS7"/>
      <sheetName val="UPAH_&amp;_BHN_ARS8"/>
      <sheetName val="AHS_ARS8"/>
      <sheetName val="UPAH_&amp;_BHN_ARS9"/>
      <sheetName val="AHS_ARS9"/>
      <sheetName val="UPAH_&amp;_BHN_ARS10"/>
      <sheetName val="AHS_ARS10"/>
      <sheetName val="Analisa Harga"/>
      <sheetName val="Daftar Harga"/>
      <sheetName val="Daftar Upah"/>
      <sheetName val="HARGA MATERIAL"/>
      <sheetName val="An-Pek-Arui"/>
      <sheetName val="Owning"/>
      <sheetName val="divII"/>
      <sheetName val="NP"/>
      <sheetName val="Sheet1"/>
      <sheetName val="A"/>
      <sheetName val="DATUM"/>
      <sheetName val="Harsat"/>
      <sheetName val="An_pdkg"/>
      <sheetName val="bau"/>
      <sheetName val="Analisa Quarry"/>
      <sheetName val="S_Suramadu"/>
      <sheetName val="SATDASAR"/>
      <sheetName val="MAJOR"/>
      <sheetName val="Informasi"/>
      <sheetName val="Info"/>
      <sheetName val="boq"/>
      <sheetName val="Harga S Dasar UNTUK IDISI"/>
      <sheetName val="isian"/>
      <sheetName val="MC0"/>
      <sheetName val="Cover"/>
      <sheetName val="Nunu"/>
      <sheetName val="Bahan Upah"/>
      <sheetName val="Rekapitulasi"/>
      <sheetName val="4-Basic Price"/>
      <sheetName val="Harga Satuan"/>
      <sheetName val="DIV 6"/>
      <sheetName val="Har Sat"/>
      <sheetName val="DASAR"/>
      <sheetName val="cetak 5-Rekap BoQ"/>
      <sheetName val="cetak 7-HSD Upah-Bhn"/>
      <sheetName val="MT_an"/>
      <sheetName val="CH"/>
      <sheetName val="BQ-E20-02(Rp)"/>
    </sheetNames>
    <sheetDataSet>
      <sheetData sheetId="0"/>
      <sheetData sheetId="1"/>
      <sheetData sheetId="2"/>
      <sheetData sheetId="3"/>
      <sheetData sheetId="4"/>
      <sheetData sheetId="5"/>
      <sheetData sheetId="6"/>
      <sheetData sheetId="7">
        <row r="13">
          <cell r="G13">
            <v>3000</v>
          </cell>
        </row>
        <row r="14">
          <cell r="G14">
            <v>2000</v>
          </cell>
        </row>
      </sheetData>
      <sheetData sheetId="8">
        <row r="32">
          <cell r="G32">
            <v>1150</v>
          </cell>
        </row>
        <row r="34">
          <cell r="G34">
            <v>8500</v>
          </cell>
        </row>
      </sheetData>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RAB BALANCE"/>
      <sheetName val="REKAP AWAL"/>
      <sheetName val="REKAP MC 0"/>
      <sheetName val="Sheet1"/>
      <sheetName val="STREACKING"/>
      <sheetName val="Rekap Bab"/>
      <sheetName val="URPIL"/>
      <sheetName val="KLAS A"/>
      <sheetName val="PB MORTAR"/>
      <sheetName val="PS BT ADUKAN"/>
      <sheetName val="LAP RESAP"/>
      <sheetName val="AC-WC 4 CM"/>
      <sheetName val="AC-WC 5 CM"/>
      <sheetName val="LAP PEREKAT"/>
      <sheetName val="AC-WC LEV 5 CM"/>
      <sheetName val="GAL BIASA"/>
      <sheetName val="BETON K300"/>
      <sheetName val="BETON K250"/>
      <sheetName val="BAJA TUL"/>
      <sheetName val="cover"/>
      <sheetName val="BETON K175"/>
      <sheetName val="GOR-GORONG"/>
      <sheetName val="BRONJONG"/>
      <sheetName val="SELOKAN"/>
      <sheetName val="data 0"/>
      <sheetName val="Foto 0"/>
      <sheetName val="Sheet2"/>
    </sheetNames>
    <sheetDataSet>
      <sheetData sheetId="0"/>
      <sheetData sheetId="1"/>
      <sheetData sheetId="2"/>
      <sheetData sheetId="3">
        <row r="79">
          <cell r="B79" t="str">
            <v>Ir. I B R A H I M</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1">
          <cell r="E11" t="str">
            <v>KM. 280+600 - KM. 284+350</v>
          </cell>
        </row>
      </sheetData>
      <sheetData sheetId="20"/>
      <sheetData sheetId="21"/>
      <sheetData sheetId="22"/>
      <sheetData sheetId="23"/>
      <sheetData sheetId="24"/>
      <sheetData sheetId="25"/>
      <sheetData sheetId="26"/>
      <sheetData sheetId="27"/>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T"/>
      <sheetName val="KOP"/>
      <sheetName val="ISIAN"/>
      <sheetName val="PORTRAIT"/>
      <sheetName val="P.PERSONIL"/>
      <sheetName val="G-PENGALAMAN"/>
      <sheetName val="H"/>
      <sheetName val="I"/>
      <sheetName val="J"/>
      <sheetName val="neraca"/>
      <sheetName val="ALAT"/>
      <sheetName val="CV"/>
      <sheetName val="JADWAL"/>
      <sheetName val="P.TEKNIS"/>
      <sheetName val="Sheet1"/>
    </sheetNames>
    <sheetDataSet>
      <sheetData sheetId="0" refreshError="1"/>
      <sheetData sheetId="1" refreshError="1"/>
      <sheetData sheetId="2">
        <row r="2">
          <cell r="D2" t="str">
            <v>Sembilan Puluh Sembilan Juta Enam Ratus Tujuh Puluh Lima Ribu Rupiah</v>
          </cell>
        </row>
      </sheetData>
      <sheetData sheetId="3" refreshError="1"/>
      <sheetData sheetId="4" refreshError="1"/>
      <sheetData sheetId="5" refreshError="1"/>
      <sheetData sheetId="6" refreshError="1"/>
      <sheetData sheetId="7" refreshError="1"/>
      <sheetData sheetId="8" refreshError="1">
        <row r="33">
          <cell r="B33">
            <v>1</v>
          </cell>
          <cell r="C33">
            <v>0</v>
          </cell>
          <cell r="K33">
            <v>0</v>
          </cell>
          <cell r="L33">
            <v>0</v>
          </cell>
          <cell r="M33">
            <v>0</v>
          </cell>
          <cell r="N33">
            <v>0</v>
          </cell>
        </row>
        <row r="35">
          <cell r="B35">
            <v>2</v>
          </cell>
          <cell r="C35">
            <v>0</v>
          </cell>
          <cell r="K35">
            <v>0</v>
          </cell>
          <cell r="L35">
            <v>0</v>
          </cell>
          <cell r="M35">
            <v>0</v>
          </cell>
          <cell r="N35">
            <v>0</v>
          </cell>
        </row>
        <row r="37">
          <cell r="B37">
            <v>3</v>
          </cell>
          <cell r="C37">
            <v>0</v>
          </cell>
          <cell r="K37">
            <v>0</v>
          </cell>
          <cell r="L37">
            <v>0</v>
          </cell>
          <cell r="M37">
            <v>0</v>
          </cell>
          <cell r="N37">
            <v>0</v>
          </cell>
        </row>
        <row r="39">
          <cell r="B39">
            <v>4</v>
          </cell>
          <cell r="C39">
            <v>0</v>
          </cell>
          <cell r="K39">
            <v>0</v>
          </cell>
          <cell r="L39">
            <v>0</v>
          </cell>
          <cell r="M39">
            <v>0</v>
          </cell>
          <cell r="N39">
            <v>0</v>
          </cell>
        </row>
        <row r="41">
          <cell r="B41">
            <v>5</v>
          </cell>
        </row>
        <row r="44">
          <cell r="I44" t="str">
            <v>Sigi, 11 April 2011</v>
          </cell>
        </row>
        <row r="45">
          <cell r="I45" t="str">
            <v>PENAWAR</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MUM (2)"/>
      <sheetName val="Cover"/>
      <sheetName val="Surat Tawar"/>
      <sheetName val="REKAPITULASI"/>
      <sheetName val="analisa"/>
      <sheetName val="ANALISA METODE"/>
      <sheetName val="paras-mekanik"/>
      <sheetName val="RAB"/>
      <sheetName val="MPI"/>
      <sheetName val="HARGA SATUAN"/>
      <sheetName val="SCHEDULE"/>
      <sheetName val="BIAYA BAHAN"/>
      <sheetName val="BIAYA ALAT"/>
      <sheetName val="SUB KONTRAK"/>
      <sheetName val="METODE PELAKSANAAN"/>
      <sheetName val="Daf-Alat"/>
      <sheetName val="Data-Personil"/>
    </sheetNames>
    <sheetDataSet>
      <sheetData sheetId="0" refreshError="1"/>
      <sheetData sheetId="1" refreshError="1"/>
      <sheetData sheetId="2" refreshError="1"/>
      <sheetData sheetId="3" refreshError="1"/>
      <sheetData sheetId="4">
        <row r="434">
          <cell r="L434">
            <v>538802.94281927706</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MINAN PENAWARAN"/>
      <sheetName val="Srt Penw"/>
      <sheetName val="Schedule"/>
      <sheetName val="Rekap"/>
      <sheetName val="RAB"/>
      <sheetName val="ANALISA OKE"/>
      <sheetName val="UPAH"/>
      <sheetName val="BAHAN"/>
      <sheetName val="ALAT"/>
      <sheetName val="ANALISA JALAN"/>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
      <sheetName val="UPAH"/>
      <sheetName val="ANS PAKE"/>
      <sheetName val="RAB"/>
      <sheetName val="REKAP"/>
    </sheetNames>
    <sheetDataSet>
      <sheetData sheetId="0">
        <row r="40">
          <cell r="G40">
            <v>53453.823799999998</v>
          </cell>
        </row>
        <row r="124">
          <cell r="G124">
            <v>21608.992599999998</v>
          </cell>
        </row>
      </sheetData>
      <sheetData sheetId="1"/>
      <sheetData sheetId="2"/>
      <sheetData sheetId="3"/>
      <sheetData sheetId="4"/>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P"/>
      <sheetName val="Additional"/>
      <sheetName val="Gal_Cold Milling"/>
      <sheetName val="Gal_Jack Hammer"/>
    </sheetNames>
    <sheetDataSet>
      <sheetData sheetId="0" refreshError="1">
        <row r="841">
          <cell r="T841" t="str">
            <v>Analisa EI-322</v>
          </cell>
        </row>
        <row r="843">
          <cell r="L843" t="str">
            <v>FORMULIR STANDAR UNTUK</v>
          </cell>
        </row>
        <row r="844">
          <cell r="L844" t="str">
            <v>PEREKAMAN ANALISA MASING-MASING HARGA SATUAN</v>
          </cell>
        </row>
        <row r="845">
          <cell r="L845" t="str">
            <v/>
          </cell>
        </row>
        <row r="848">
          <cell r="L848" t="str">
            <v>PROYEK</v>
          </cell>
          <cell r="O848" t="str">
            <v>: Proyek Pembangunan Jalan Pantai Utara  Jawa Barat</v>
          </cell>
        </row>
        <row r="849">
          <cell r="L849" t="str">
            <v>No. PAKET KONTRAK</v>
          </cell>
          <cell r="O849" t="str">
            <v xml:space="preserve">: </v>
          </cell>
        </row>
        <row r="850">
          <cell r="L850" t="str">
            <v>NAMA PAKET</v>
          </cell>
          <cell r="O850" t="str">
            <v>:  Flyover  Pamanukan</v>
          </cell>
        </row>
        <row r="851">
          <cell r="L851" t="str">
            <v>PROP / KAB / KODYA</v>
          </cell>
          <cell r="O851" t="str">
            <v>: Jawa Barat</v>
          </cell>
        </row>
        <row r="852">
          <cell r="L852" t="str">
            <v>ITEM PEMBAYARAN NO.</v>
          </cell>
          <cell r="O852" t="str">
            <v>:  3.2 (2)</v>
          </cell>
          <cell r="R852" t="str">
            <v>PERKIRAAN VOL. PEK.</v>
          </cell>
          <cell r="T852" t="str">
            <v>:</v>
          </cell>
          <cell r="U852">
            <v>6571.2013500000003</v>
          </cell>
        </row>
        <row r="853">
          <cell r="L853" t="str">
            <v>JENIS PEKERJAAN</v>
          </cell>
          <cell r="O853" t="str">
            <v>:  Timbunan Pilihan</v>
          </cell>
          <cell r="R853" t="str">
            <v>TOTAL HARGA (Rp.)</v>
          </cell>
          <cell r="T853" t="str">
            <v>:</v>
          </cell>
          <cell r="U853">
            <v>359628773.19481355</v>
          </cell>
        </row>
        <row r="854">
          <cell r="L854" t="str">
            <v>SATUAN PEMBAYARAN</v>
          </cell>
          <cell r="O854" t="str">
            <v>:  M3</v>
          </cell>
          <cell r="R854" t="str">
            <v>% THD. BIAYA PROYEK</v>
          </cell>
          <cell r="T854" t="str">
            <v>:</v>
          </cell>
          <cell r="U854">
            <v>0.70465720727372594</v>
          </cell>
        </row>
        <row r="857">
          <cell r="Q857" t="str">
            <v>PERKIRAAN</v>
          </cell>
          <cell r="R857" t="str">
            <v>HARGA</v>
          </cell>
          <cell r="S857" t="str">
            <v>JUMLAH</v>
          </cell>
        </row>
        <row r="858">
          <cell r="L858" t="str">
            <v>NO.</v>
          </cell>
          <cell r="N858" t="str">
            <v>KOMPONEN</v>
          </cell>
          <cell r="P858" t="str">
            <v>SATUAN</v>
          </cell>
          <cell r="Q858" t="str">
            <v>KUANTITAS</v>
          </cell>
          <cell r="R858" t="str">
            <v>SATUAN</v>
          </cell>
          <cell r="S858" t="str">
            <v>HARGA</v>
          </cell>
        </row>
        <row r="859">
          <cell r="R859" t="str">
            <v>(Rp.)</v>
          </cell>
          <cell r="S859" t="str">
            <v>(Rp.)</v>
          </cell>
        </row>
        <row r="862">
          <cell r="L862" t="str">
            <v>A.</v>
          </cell>
          <cell r="N862" t="str">
            <v>TENAGA</v>
          </cell>
        </row>
        <row r="864">
          <cell r="L864" t="str">
            <v>1.</v>
          </cell>
          <cell r="N864" t="str">
            <v>Pekerja</v>
          </cell>
          <cell r="O864" t="str">
            <v>(L01)</v>
          </cell>
          <cell r="P864" t="str">
            <v>Jam</v>
          </cell>
          <cell r="Q864">
            <v>7.1396697902721989E-2</v>
          </cell>
          <cell r="R864">
            <v>2750</v>
          </cell>
          <cell r="U864">
            <v>196.34091923248548</v>
          </cell>
        </row>
        <row r="865">
          <cell r="L865" t="str">
            <v>2.</v>
          </cell>
          <cell r="N865" t="str">
            <v>Mandor</v>
          </cell>
          <cell r="O865" t="str">
            <v>(L03)</v>
          </cell>
          <cell r="P865" t="str">
            <v>Jam</v>
          </cell>
          <cell r="Q865">
            <v>1.7849174475680497E-2</v>
          </cell>
          <cell r="R865">
            <v>4000</v>
          </cell>
          <cell r="U865">
            <v>71.396697902721996</v>
          </cell>
        </row>
        <row r="868">
          <cell r="Q868" t="str">
            <v xml:space="preserve">JUMLAH HARGA TENAGA   </v>
          </cell>
          <cell r="U868">
            <v>267.73761713520747</v>
          </cell>
        </row>
        <row r="870">
          <cell r="L870" t="str">
            <v>B.</v>
          </cell>
          <cell r="N870" t="str">
            <v>BAHAN</v>
          </cell>
        </row>
        <row r="872">
          <cell r="L872" t="str">
            <v>1.</v>
          </cell>
          <cell r="N872" t="str">
            <v>Bahan pilihan   (M09)</v>
          </cell>
          <cell r="O872" t="str">
            <v>(M09)</v>
          </cell>
          <cell r="P872" t="str">
            <v>M3</v>
          </cell>
          <cell r="Q872">
            <v>1.2</v>
          </cell>
          <cell r="R872">
            <v>21000</v>
          </cell>
          <cell r="U872">
            <v>25200</v>
          </cell>
        </row>
        <row r="878">
          <cell r="Q878" t="str">
            <v xml:space="preserve">JUMLAH HARGA BAHAN   </v>
          </cell>
          <cell r="U878">
            <v>25200</v>
          </cell>
        </row>
        <row r="880">
          <cell r="L880" t="str">
            <v>C.</v>
          </cell>
          <cell r="N880" t="str">
            <v>PERALATAN</v>
          </cell>
        </row>
        <row r="881">
          <cell r="L881" t="str">
            <v>1.</v>
          </cell>
          <cell r="N881" t="str">
            <v>Wheel  Loader</v>
          </cell>
          <cell r="O881" t="str">
            <v>(E15)</v>
          </cell>
          <cell r="P881" t="str">
            <v>Jam</v>
          </cell>
          <cell r="Q881">
            <v>1.7849174475680497E-2</v>
          </cell>
          <cell r="R881">
            <v>181182.97084330328</v>
          </cell>
          <cell r="U881">
            <v>3233.9664586042527</v>
          </cell>
        </row>
        <row r="882">
          <cell r="L882" t="str">
            <v>2.</v>
          </cell>
          <cell r="N882" t="str">
            <v>Dump Truck</v>
          </cell>
          <cell r="O882" t="str">
            <v>(E08)</v>
          </cell>
          <cell r="P882" t="str">
            <v>Jam</v>
          </cell>
          <cell r="Q882">
            <v>0.16265060240963855</v>
          </cell>
          <cell r="R882">
            <v>90902.327191025077</v>
          </cell>
          <cell r="U882">
            <v>14785.318278058296</v>
          </cell>
        </row>
        <row r="883">
          <cell r="L883" t="str">
            <v>3.</v>
          </cell>
          <cell r="N883" t="str">
            <v>Motor Grader</v>
          </cell>
          <cell r="O883" t="str">
            <v>(E13)</v>
          </cell>
          <cell r="P883" t="str">
            <v>Jam</v>
          </cell>
          <cell r="Q883">
            <v>1.5618027666220438E-2</v>
          </cell>
          <cell r="R883">
            <v>249349.23784774702</v>
          </cell>
          <cell r="U883">
            <v>3894.3432952570934</v>
          </cell>
        </row>
        <row r="884">
          <cell r="L884" t="str">
            <v>3.</v>
          </cell>
          <cell r="N884" t="str">
            <v>Vibro Roller</v>
          </cell>
          <cell r="O884" t="str">
            <v>(E19)</v>
          </cell>
          <cell r="P884" t="str">
            <v>Jam</v>
          </cell>
          <cell r="Q884">
            <v>1.6064257028112448E-2</v>
          </cell>
          <cell r="R884">
            <v>105030.97519263501</v>
          </cell>
          <cell r="U884">
            <v>1687.2445814077912</v>
          </cell>
        </row>
        <row r="885">
          <cell r="L885" t="str">
            <v>4.</v>
          </cell>
          <cell r="N885" t="str">
            <v>Water Tanker</v>
          </cell>
          <cell r="O885" t="str">
            <v>(E23)</v>
          </cell>
          <cell r="P885" t="str">
            <v>Jam</v>
          </cell>
          <cell r="Q885">
            <v>7.0281124497991983E-3</v>
          </cell>
          <cell r="R885">
            <v>85958.879632794691</v>
          </cell>
          <cell r="U885">
            <v>604.12867211803507</v>
          </cell>
        </row>
        <row r="886">
          <cell r="L886" t="str">
            <v>5.</v>
          </cell>
          <cell r="N886" t="str">
            <v>Alat  Bantu</v>
          </cell>
          <cell r="P886" t="str">
            <v>Ls</v>
          </cell>
          <cell r="Q886">
            <v>1</v>
          </cell>
          <cell r="R886">
            <v>80</v>
          </cell>
          <cell r="U886">
            <v>80</v>
          </cell>
        </row>
        <row r="890">
          <cell r="Q890" t="str">
            <v xml:space="preserve">JUMLAH HARGA PERALATAN   </v>
          </cell>
          <cell r="U890">
            <v>24285.001285445473</v>
          </cell>
        </row>
        <row r="892">
          <cell r="L892" t="str">
            <v>D.</v>
          </cell>
          <cell r="N892" t="str">
            <v>JUMLAH HARGA TENAGA, BAHAN DAN PERALATAN  ( A + B + C )</v>
          </cell>
          <cell r="U892">
            <v>49752.738902580677</v>
          </cell>
        </row>
        <row r="893">
          <cell r="L893" t="str">
            <v>E.</v>
          </cell>
          <cell r="N893" t="str">
            <v>OVERHEAD &amp; PROFIT</v>
          </cell>
          <cell r="P893">
            <v>10</v>
          </cell>
          <cell r="Q893" t="str">
            <v>%  x  D</v>
          </cell>
          <cell r="U893">
            <v>4975.2738902580677</v>
          </cell>
        </row>
        <row r="894">
          <cell r="L894" t="str">
            <v>F.</v>
          </cell>
          <cell r="N894" t="str">
            <v>HARGA SATUAN PEKERJAAN  ( D + E )</v>
          </cell>
          <cell r="U894">
            <v>54728.012792838745</v>
          </cell>
        </row>
        <row r="895">
          <cell r="L895" t="str">
            <v>Note: 1</v>
          </cell>
          <cell r="N895" t="str">
            <v>SATUAN dapat berdasarkan atas jam operasi untuk Tenaga Kerja dan Peralatan, volume dan/atau ukuran</v>
          </cell>
        </row>
        <row r="896">
          <cell r="N896" t="str">
            <v>berat untuk bahan-bahan.</v>
          </cell>
        </row>
        <row r="897">
          <cell r="L897">
            <v>2</v>
          </cell>
          <cell r="N897" t="str">
            <v>Kuantitas satuan adalah kuantitas setiap komponen untuk menyelesaikan satu satuan pekerjaan dari nomor</v>
          </cell>
        </row>
        <row r="898">
          <cell r="N898" t="str">
            <v>mata pembayaran.</v>
          </cell>
        </row>
        <row r="899">
          <cell r="L899">
            <v>3</v>
          </cell>
          <cell r="N899" t="str">
            <v>Biaya satuan untuk peralatan sudah termasuk bahan bakar, bahan habis dipakai dan operator.</v>
          </cell>
        </row>
        <row r="900">
          <cell r="L900">
            <v>4</v>
          </cell>
          <cell r="N900" t="str">
            <v>Biaya satuan sudah termasuk pengeluaran untuk seluruh pajak yang berkaitan (tetapi tidak termasuk PPN</v>
          </cell>
        </row>
        <row r="901">
          <cell r="N901" t="str">
            <v>yang dibayar dari kontrak) dan biaya-biaya lainnya.</v>
          </cell>
        </row>
      </sheetData>
      <sheetData sheetId="1" refreshError="1"/>
      <sheetData sheetId="2" refreshError="1"/>
      <sheetData sheetId="3"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dwal"/>
      <sheetName val="alat"/>
      <sheetName val="upah"/>
      <sheetName val="bahan"/>
      <sheetName val="divII"/>
      <sheetName val="DivIII"/>
      <sheetName val="DivIV"/>
      <sheetName val="DivV"/>
      <sheetName val="DivVI"/>
      <sheetName val="DivVII"/>
      <sheetName val="DivVIII"/>
      <sheetName val="DivIX"/>
      <sheetName val="DivX"/>
      <sheetName val="rekI"/>
      <sheetName val="bqI"/>
      <sheetName val="umum"/>
      <sheetName val="mobilisation"/>
      <sheetName val="mos"/>
      <sheetName val="GEL"/>
      <sheetName val="plant"/>
      <sheetName val="metoda"/>
      <sheetName val="sleksi"/>
      <sheetName val="TS"/>
      <sheetName val="TS MINGGUAN rev (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REKAP AWAL"/>
      <sheetName val="REKAP MC 0"/>
      <sheetName val="Sheet1"/>
      <sheetName val="STREACKING"/>
      <sheetName val="KLAS A"/>
      <sheetName val="URPIL"/>
      <sheetName val="LAP RESAP"/>
      <sheetName val="AC-WC 4 CM"/>
      <sheetName val="AC-WC 5 CM"/>
      <sheetName val="LAP PEREKAT"/>
      <sheetName val="AC-WC LEV 5 CM"/>
      <sheetName val="GAL BIASA"/>
      <sheetName val="data 0"/>
      <sheetName val="PB MORTAR"/>
      <sheetName val="PS BT ADUKAN"/>
      <sheetName val="BETON K300 CCO"/>
      <sheetName val="BETON K250 CCO"/>
      <sheetName val="BAJA TUL CCO"/>
      <sheetName val="cover"/>
      <sheetName val="Foto 0"/>
      <sheetName val="BETON K175"/>
      <sheetName val="GOR-GORONG"/>
      <sheetName val="BRONJONG"/>
      <sheetName val="SELOK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90">
          <cell r="J90" t="str">
            <v>BENYTAS LANDE, ST</v>
          </cell>
        </row>
      </sheetData>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pen"/>
      <sheetName val="R A B"/>
      <sheetName val="Anl Pipa"/>
      <sheetName val="Anl.SNI"/>
      <sheetName val="DHSUPBA"/>
      <sheetName val="times"/>
      <sheetName val="Subkon"/>
      <sheetName val="terbilang"/>
    </sheetNames>
    <sheetDataSet>
      <sheetData sheetId="0" refreshError="1"/>
      <sheetData sheetId="1">
        <row r="307">
          <cell r="F307" t="str">
            <v>CV. MASIGI PUTRA</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i Nelayan"/>
      <sheetName val="Pabrik Es"/>
      <sheetName val="Harga Bahan"/>
      <sheetName val="Rab"/>
      <sheetName val="Rekap"/>
      <sheetName val="Analisa "/>
      <sheetName val="Pek. Pend."/>
      <sheetName val="Pek. Pas. &amp; Lantai"/>
      <sheetName val="Pek.  Plafon"/>
      <sheetName val="Pek. Konsen &amp; Ventilasi"/>
      <sheetName val="Pek. Beton"/>
      <sheetName val="Pek. Sinitair &amp; Pek. Kunci"/>
      <sheetName val="Pengecetan"/>
      <sheetName val="Vol. Pek. Slasar"/>
    </sheetNames>
    <sheetDataSet>
      <sheetData sheetId="0"/>
      <sheetData sheetId="1"/>
      <sheetData sheetId="2">
        <row r="135">
          <cell r="K135">
            <v>4312.5</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LAMP 1"/>
      <sheetName val="LAMP (2)"/>
      <sheetName val="LAMP (3)"/>
      <sheetName val="LAMP 4"/>
      <sheetName val="LAMP 5"/>
      <sheetName val="LAMP 6"/>
      <sheetName val="ANALISA"/>
      <sheetName val="BAHAN 1"/>
      <sheetName val="BAHAN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i Nelayan"/>
      <sheetName val="Pabrik Es"/>
      <sheetName val="Harga Bahan"/>
      <sheetName val="Rab"/>
      <sheetName val="REKAB TOTAL"/>
      <sheetName val="Rekap"/>
      <sheetName val="Mobiler Perpustakaan"/>
      <sheetName val="Analisa "/>
      <sheetName val="Perpustakaan"/>
      <sheetName val="RaB Suakelolah"/>
      <sheetName val="Rekap Swakelolah"/>
    </sheetNames>
    <sheetDataSet>
      <sheetData sheetId="0" refreshError="1"/>
      <sheetData sheetId="1" refreshError="1"/>
      <sheetData sheetId="2">
        <row r="85">
          <cell r="H85">
            <v>1259.9999999999998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25.b LEMBAR CATATAN"/>
    </sheetNames>
    <sheetDataSet>
      <sheetData sheetId="0">
        <row r="3">
          <cell r="A3" t="str">
            <v>LEMBAR CATATAN PEMERIKSAAN</v>
          </cell>
        </row>
        <row r="5">
          <cell r="B5" t="str">
            <v xml:space="preserve">Lokasi                    </v>
          </cell>
          <cell r="D5" t="str">
            <v>:</v>
          </cell>
        </row>
        <row r="7">
          <cell r="B7" t="str">
            <v xml:space="preserve">Dibuat oleh        </v>
          </cell>
          <cell r="D7" t="str">
            <v>:</v>
          </cell>
          <cell r="I7" t="str">
            <v>Pemeriksaan ke :</v>
          </cell>
        </row>
        <row r="9">
          <cell r="B9" t="str">
            <v xml:space="preserve">Jabatan           </v>
          </cell>
          <cell r="D9" t="str">
            <v>:</v>
          </cell>
          <cell r="I9" t="str">
            <v>Tanggal diserahkan :</v>
          </cell>
        </row>
        <row r="11">
          <cell r="B11" t="str">
            <v>Jenis Prasarana :</v>
          </cell>
          <cell r="I11" t="str">
            <v>Tanggal diperiksa :</v>
          </cell>
        </row>
        <row r="15">
          <cell r="B15" t="str">
            <v>Hal-hal yang harus diperhatikan/diperbaiki :</v>
          </cell>
        </row>
      </sheetData>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ny. Tenaga Tehnik"/>
      <sheetName val="Terbilang"/>
      <sheetName val="Srt Penw"/>
      <sheetName val="REK."/>
      <sheetName val="BQ"/>
      <sheetName val="MOB-DEMOB"/>
      <sheetName val="ANALISA"/>
      <sheetName val="Upah"/>
      <sheetName val="ALAT OK"/>
      <sheetName val="ShDL"/>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sheetNames>
    <sheetDataSet>
      <sheetData sheetId="0">
        <row r="10">
          <cell r="M10">
            <v>4</v>
          </cell>
        </row>
        <row r="12">
          <cell r="M12">
            <v>30</v>
          </cell>
        </row>
        <row r="15">
          <cell r="M15">
            <v>360000</v>
          </cell>
        </row>
        <row r="16">
          <cell r="M16">
            <v>1296000</v>
          </cell>
        </row>
        <row r="17">
          <cell r="M17">
            <v>864000</v>
          </cell>
        </row>
        <row r="18">
          <cell r="M18">
            <v>3600000</v>
          </cell>
        </row>
        <row r="19">
          <cell r="M19">
            <v>1440000</v>
          </cell>
        </row>
        <row r="20">
          <cell r="M20">
            <v>450000</v>
          </cell>
        </row>
        <row r="21">
          <cell r="M21">
            <v>0</v>
          </cell>
        </row>
        <row r="22">
          <cell r="M22">
            <v>0</v>
          </cell>
        </row>
        <row r="23">
          <cell r="M23">
            <v>2400000</v>
          </cell>
        </row>
        <row r="24">
          <cell r="M24">
            <v>0</v>
          </cell>
        </row>
        <row r="25">
          <cell r="M25">
            <v>2800000</v>
          </cell>
        </row>
        <row r="26">
          <cell r="M26">
            <v>1400000</v>
          </cell>
        </row>
        <row r="27">
          <cell r="M27">
            <v>0</v>
          </cell>
        </row>
        <row r="28">
          <cell r="M28">
            <v>700000</v>
          </cell>
        </row>
        <row r="29">
          <cell r="M29">
            <v>1400000</v>
          </cell>
        </row>
        <row r="30">
          <cell r="M30">
            <v>900000</v>
          </cell>
        </row>
        <row r="31">
          <cell r="M31">
            <v>0</v>
          </cell>
        </row>
        <row r="32">
          <cell r="M32">
            <v>0</v>
          </cell>
        </row>
        <row r="33">
          <cell r="M33">
            <v>0</v>
          </cell>
        </row>
        <row r="34">
          <cell r="M34">
            <v>2400000</v>
          </cell>
        </row>
        <row r="35">
          <cell r="M35">
            <v>1400000</v>
          </cell>
        </row>
        <row r="36">
          <cell r="M36">
            <v>1400000</v>
          </cell>
        </row>
        <row r="37">
          <cell r="M37">
            <v>1400000</v>
          </cell>
        </row>
        <row r="38">
          <cell r="M38">
            <v>1400000</v>
          </cell>
        </row>
        <row r="39">
          <cell r="M39">
            <v>450000</v>
          </cell>
        </row>
        <row r="40">
          <cell r="M40">
            <v>0</v>
          </cell>
        </row>
        <row r="41">
          <cell r="M41">
            <v>0</v>
          </cell>
        </row>
        <row r="42">
          <cell r="M42">
            <v>0</v>
          </cell>
        </row>
        <row r="43">
          <cell r="M43">
            <v>200000</v>
          </cell>
        </row>
        <row r="44">
          <cell r="M44">
            <v>160000</v>
          </cell>
        </row>
      </sheetData>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bot Rekap "/>
      <sheetName val="Bobot Rab"/>
      <sheetName val="Analisa Harga"/>
      <sheetName val="Schedule"/>
      <sheetName val="Jadwal"/>
      <sheetName val="Harga Satuan"/>
      <sheetName val="lampiran"/>
      <sheetName val="Schedl m1"/>
    </sheetNames>
    <sheetDataSet>
      <sheetData sheetId="0"/>
      <sheetData sheetId="1"/>
      <sheetData sheetId="2"/>
      <sheetData sheetId="3"/>
      <sheetData sheetId="4" refreshError="1"/>
      <sheetData sheetId="5">
        <row r="16">
          <cell r="I16">
            <v>25000</v>
          </cell>
        </row>
      </sheetData>
      <sheetData sheetId="6" refreshError="1"/>
      <sheetData sheetId="7"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sheetName val="RAB"/>
      <sheetName val="REKAP"/>
      <sheetName val="Schedule"/>
      <sheetName val="Alat"/>
      <sheetName val="Neraca"/>
      <sheetName val="Personil"/>
    </sheetNames>
    <sheetDataSet>
      <sheetData sheetId="0">
        <row r="19">
          <cell r="F19">
            <v>80000</v>
          </cell>
        </row>
        <row r="41">
          <cell r="F41">
            <v>325000</v>
          </cell>
        </row>
        <row r="42">
          <cell r="F42">
            <v>98500</v>
          </cell>
        </row>
        <row r="43">
          <cell r="F43">
            <v>17500</v>
          </cell>
        </row>
      </sheetData>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sheetNames>
    <sheetDataSet>
      <sheetData sheetId="0" refreshError="1">
        <row r="10">
          <cell r="L10">
            <v>3</v>
          </cell>
        </row>
        <row r="12">
          <cell r="L12">
            <v>31</v>
          </cell>
        </row>
        <row r="15">
          <cell r="L15">
            <v>360000</v>
          </cell>
        </row>
        <row r="16">
          <cell r="L16">
            <v>1296000</v>
          </cell>
        </row>
        <row r="17">
          <cell r="L17">
            <v>864000</v>
          </cell>
        </row>
        <row r="18">
          <cell r="L18">
            <v>3600000</v>
          </cell>
        </row>
        <row r="19">
          <cell r="L19">
            <v>1440000</v>
          </cell>
        </row>
        <row r="20">
          <cell r="L20">
            <v>450000</v>
          </cell>
        </row>
        <row r="21">
          <cell r="L21">
            <v>0</v>
          </cell>
        </row>
        <row r="22">
          <cell r="L22">
            <v>0</v>
          </cell>
        </row>
        <row r="23">
          <cell r="L23">
            <v>2400000</v>
          </cell>
        </row>
        <row r="24">
          <cell r="L24">
            <v>0</v>
          </cell>
        </row>
        <row r="25">
          <cell r="L25">
            <v>2800000</v>
          </cell>
        </row>
        <row r="26">
          <cell r="L26">
            <v>1400000</v>
          </cell>
        </row>
        <row r="27">
          <cell r="L27">
            <v>0</v>
          </cell>
        </row>
        <row r="28">
          <cell r="L28">
            <v>700000</v>
          </cell>
        </row>
        <row r="29">
          <cell r="L29">
            <v>1400000</v>
          </cell>
        </row>
        <row r="30">
          <cell r="L30">
            <v>900000</v>
          </cell>
        </row>
        <row r="31">
          <cell r="L31">
            <v>0</v>
          </cell>
        </row>
        <row r="32">
          <cell r="L32">
            <v>0</v>
          </cell>
        </row>
        <row r="33">
          <cell r="L33">
            <v>0</v>
          </cell>
        </row>
        <row r="34">
          <cell r="L34">
            <v>2400000</v>
          </cell>
        </row>
        <row r="35">
          <cell r="L35">
            <v>1400000</v>
          </cell>
        </row>
        <row r="36">
          <cell r="L36">
            <v>1400000</v>
          </cell>
        </row>
        <row r="37">
          <cell r="L37">
            <v>1400000</v>
          </cell>
        </row>
        <row r="38">
          <cell r="L38">
            <v>1400000</v>
          </cell>
        </row>
        <row r="39">
          <cell r="L39">
            <v>450000</v>
          </cell>
        </row>
        <row r="40">
          <cell r="L40">
            <v>0</v>
          </cell>
        </row>
        <row r="41">
          <cell r="L41">
            <v>0</v>
          </cell>
        </row>
        <row r="42">
          <cell r="L42">
            <v>0</v>
          </cell>
        </row>
        <row r="43">
          <cell r="L43">
            <v>200000</v>
          </cell>
        </row>
        <row r="44">
          <cell r="L44">
            <v>160000</v>
          </cell>
        </row>
      </sheetData>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sheetName val="RAB"/>
      <sheetName val="REKAP"/>
      <sheetName val="Schedule"/>
      <sheetName val="Alat"/>
      <sheetName val="Neraca"/>
      <sheetName val="Personil"/>
    </sheetNames>
    <sheetDataSet>
      <sheetData sheetId="0">
        <row r="19">
          <cell r="F19">
            <v>80000</v>
          </cell>
        </row>
        <row r="31">
          <cell r="F31">
            <v>7500</v>
          </cell>
        </row>
        <row r="44">
          <cell r="F44">
            <v>15000</v>
          </cell>
        </row>
      </sheetData>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wt."/>
      <sheetName val="drg.qty"/>
      <sheetName val="rf-qty"/>
      <sheetName val="str.stl"/>
      <sheetName val="Sheet1"/>
      <sheetName val="Sheet2"/>
      <sheetName val="rms"/>
    </sheetNames>
    <sheetDataSet>
      <sheetData sheetId="0" refreshError="1">
        <row r="1">
          <cell r="A1" t="str">
            <v>LAP</v>
          </cell>
        </row>
        <row r="2">
          <cell r="A2" t="str">
            <v>SECTION</v>
          </cell>
          <cell r="B2" t="str">
            <v>UNIT WT.(IS-808)</v>
          </cell>
        </row>
        <row r="3">
          <cell r="A3" t="str">
            <v>BEAMS</v>
          </cell>
        </row>
        <row r="4">
          <cell r="A4" t="str">
            <v>MB600</v>
          </cell>
          <cell r="B4">
            <v>123</v>
          </cell>
        </row>
        <row r="5">
          <cell r="A5" t="str">
            <v>MB550</v>
          </cell>
          <cell r="B5">
            <v>104</v>
          </cell>
        </row>
        <row r="6">
          <cell r="A6" t="str">
            <v>MB500</v>
          </cell>
          <cell r="B6">
            <v>86.9</v>
          </cell>
        </row>
        <row r="7">
          <cell r="A7" t="str">
            <v>MB450</v>
          </cell>
          <cell r="B7">
            <v>72.400000000000006</v>
          </cell>
        </row>
        <row r="8">
          <cell r="A8" t="str">
            <v>MB400</v>
          </cell>
          <cell r="B8">
            <v>61.5</v>
          </cell>
        </row>
        <row r="9">
          <cell r="A9" t="str">
            <v>MB350</v>
          </cell>
          <cell r="B9">
            <v>52.4</v>
          </cell>
        </row>
        <row r="10">
          <cell r="A10" t="str">
            <v>MB300</v>
          </cell>
          <cell r="B10">
            <v>46</v>
          </cell>
        </row>
        <row r="11">
          <cell r="A11" t="str">
            <v>MB250</v>
          </cell>
          <cell r="B11">
            <v>37.299999999999997</v>
          </cell>
        </row>
        <row r="12">
          <cell r="A12" t="str">
            <v>MB200</v>
          </cell>
          <cell r="B12">
            <v>24.2</v>
          </cell>
        </row>
        <row r="13">
          <cell r="A13" t="str">
            <v>MB150</v>
          </cell>
          <cell r="B13">
            <v>15</v>
          </cell>
        </row>
        <row r="14">
          <cell r="A14" t="str">
            <v>MB100</v>
          </cell>
          <cell r="B14">
            <v>11.5</v>
          </cell>
        </row>
        <row r="15">
          <cell r="A15" t="str">
            <v>CHANNELS</v>
          </cell>
        </row>
        <row r="16">
          <cell r="A16" t="str">
            <v>MC400</v>
          </cell>
          <cell r="B16">
            <v>50.1</v>
          </cell>
        </row>
        <row r="17">
          <cell r="A17" t="str">
            <v>MC350</v>
          </cell>
          <cell r="B17">
            <v>42.7</v>
          </cell>
        </row>
        <row r="18">
          <cell r="A18" t="str">
            <v>MC300</v>
          </cell>
          <cell r="B18">
            <v>36.299999999999997</v>
          </cell>
        </row>
        <row r="19">
          <cell r="A19" t="str">
            <v>MC250</v>
          </cell>
          <cell r="B19">
            <v>30.6</v>
          </cell>
        </row>
        <row r="20">
          <cell r="A20" t="str">
            <v>MC200</v>
          </cell>
          <cell r="B20">
            <v>22.3</v>
          </cell>
        </row>
        <row r="21">
          <cell r="A21" t="str">
            <v>MC 175</v>
          </cell>
          <cell r="B21">
            <v>19.100000000000001</v>
          </cell>
        </row>
        <row r="22">
          <cell r="A22" t="str">
            <v>MC150</v>
          </cell>
          <cell r="B22">
            <v>16.8</v>
          </cell>
        </row>
        <row r="23">
          <cell r="A23" t="str">
            <v>MC125</v>
          </cell>
          <cell r="B23">
            <v>13.1</v>
          </cell>
        </row>
        <row r="24">
          <cell r="A24" t="str">
            <v>MC100</v>
          </cell>
          <cell r="B24">
            <v>9.6</v>
          </cell>
        </row>
        <row r="25">
          <cell r="A25" t="str">
            <v>MC75</v>
          </cell>
          <cell r="B25">
            <v>7.1</v>
          </cell>
        </row>
        <row r="26">
          <cell r="A26" t="str">
            <v>GRATING</v>
          </cell>
        </row>
        <row r="27">
          <cell r="A27" t="str">
            <v>FLAT 50X6</v>
          </cell>
          <cell r="B27">
            <v>2.36</v>
          </cell>
        </row>
        <row r="28">
          <cell r="A28" t="str">
            <v>GRT.25X6</v>
          </cell>
          <cell r="B28">
            <v>1.18</v>
          </cell>
        </row>
        <row r="29">
          <cell r="A29" t="str">
            <v>GRT.25X3</v>
          </cell>
          <cell r="B29">
            <v>0.59</v>
          </cell>
        </row>
        <row r="30">
          <cell r="A30" t="str">
            <v>ANGLES</v>
          </cell>
          <cell r="B30">
            <v>27.2</v>
          </cell>
        </row>
        <row r="31">
          <cell r="A31" t="str">
            <v>150X150X15</v>
          </cell>
          <cell r="B31">
            <v>33.6</v>
          </cell>
        </row>
        <row r="32">
          <cell r="A32" t="str">
            <v>150X150X12</v>
          </cell>
          <cell r="B32">
            <v>27.3</v>
          </cell>
        </row>
        <row r="33">
          <cell r="A33" t="str">
            <v>150X150X10</v>
          </cell>
          <cell r="B33">
            <v>22.9</v>
          </cell>
        </row>
        <row r="34">
          <cell r="A34" t="str">
            <v>130X130X12</v>
          </cell>
          <cell r="B34">
            <v>23.5</v>
          </cell>
        </row>
        <row r="35">
          <cell r="A35" t="str">
            <v>130X130X10</v>
          </cell>
          <cell r="B35">
            <v>19.7</v>
          </cell>
        </row>
        <row r="36">
          <cell r="A36" t="str">
            <v>110X110X12</v>
          </cell>
          <cell r="B36">
            <v>19.600000000000001</v>
          </cell>
        </row>
        <row r="37">
          <cell r="A37" t="str">
            <v>110X110X10</v>
          </cell>
          <cell r="B37">
            <v>16.600000000000001</v>
          </cell>
        </row>
        <row r="38">
          <cell r="A38" t="str">
            <v>110X110X8</v>
          </cell>
          <cell r="B38">
            <v>13.4</v>
          </cell>
        </row>
        <row r="39">
          <cell r="A39" t="str">
            <v>100X100X10</v>
          </cell>
          <cell r="B39">
            <v>14.9</v>
          </cell>
        </row>
        <row r="40">
          <cell r="A40" t="str">
            <v>100X100X8</v>
          </cell>
          <cell r="B40">
            <v>12.1</v>
          </cell>
        </row>
        <row r="41">
          <cell r="A41" t="str">
            <v>100X100X6</v>
          </cell>
          <cell r="B41">
            <v>9.1999999999999993</v>
          </cell>
        </row>
        <row r="42">
          <cell r="A42" t="str">
            <v>90X90X10</v>
          </cell>
          <cell r="B42">
            <v>13.4</v>
          </cell>
        </row>
        <row r="43">
          <cell r="A43" t="str">
            <v>90X90X8</v>
          </cell>
          <cell r="B43">
            <v>10.8</v>
          </cell>
        </row>
        <row r="44">
          <cell r="A44" t="str">
            <v>90X90X6</v>
          </cell>
          <cell r="B44">
            <v>8.1999999999999993</v>
          </cell>
        </row>
        <row r="45">
          <cell r="A45" t="str">
            <v>80X80X6</v>
          </cell>
          <cell r="B45">
            <v>7.3</v>
          </cell>
        </row>
        <row r="46">
          <cell r="A46" t="str">
            <v>75X75X8</v>
          </cell>
          <cell r="B46">
            <v>8.9</v>
          </cell>
        </row>
        <row r="47">
          <cell r="A47" t="str">
            <v>75X75X6</v>
          </cell>
          <cell r="B47">
            <v>6.8</v>
          </cell>
        </row>
        <row r="48">
          <cell r="A48" t="str">
            <v>65X65X8</v>
          </cell>
          <cell r="B48">
            <v>7.7</v>
          </cell>
        </row>
        <row r="49">
          <cell r="A49" t="str">
            <v>65X65X6</v>
          </cell>
          <cell r="B49">
            <v>5.8</v>
          </cell>
        </row>
        <row r="50">
          <cell r="A50" t="str">
            <v>50X50X6</v>
          </cell>
          <cell r="B50">
            <v>4.5</v>
          </cell>
        </row>
        <row r="51">
          <cell r="A51" t="str">
            <v>BOX 94.50X47.25X3.25</v>
          </cell>
          <cell r="B51">
            <v>6.69</v>
          </cell>
        </row>
        <row r="52">
          <cell r="A52" t="str">
            <v>BOX 70.5X70.5X4.85</v>
          </cell>
          <cell r="B52">
            <v>9.76</v>
          </cell>
        </row>
        <row r="53">
          <cell r="A53" t="str">
            <v>BOX 70.5X70.5X4.05</v>
          </cell>
          <cell r="B53">
            <v>8.35</v>
          </cell>
        </row>
        <row r="54">
          <cell r="A54" t="str">
            <v>BOX 70.5X70.5X3.25</v>
          </cell>
          <cell r="B54">
            <v>6.82</v>
          </cell>
        </row>
        <row r="55">
          <cell r="A55" t="str">
            <v>BOX 50X50X2.9</v>
          </cell>
          <cell r="B55">
            <v>4.26</v>
          </cell>
        </row>
        <row r="56">
          <cell r="A56" t="str">
            <v>BOX 45X45X2.90</v>
          </cell>
          <cell r="B56">
            <v>3.81</v>
          </cell>
        </row>
        <row r="57">
          <cell r="A57" t="str">
            <v>BOX 38X38X3.25</v>
          </cell>
          <cell r="B57">
            <v>3.33</v>
          </cell>
        </row>
        <row r="58">
          <cell r="A58" t="str">
            <v>BOX 32X32X3.25</v>
          </cell>
          <cell r="B58">
            <v>2.92</v>
          </cell>
        </row>
        <row r="59">
          <cell r="A59" t="str">
            <v>PL28TH</v>
          </cell>
          <cell r="B59">
            <v>219.8</v>
          </cell>
        </row>
        <row r="60">
          <cell r="A60" t="str">
            <v>PL25TH</v>
          </cell>
          <cell r="B60">
            <v>196.25</v>
          </cell>
        </row>
        <row r="61">
          <cell r="A61" t="str">
            <v>PL20TH</v>
          </cell>
          <cell r="B61">
            <v>157</v>
          </cell>
        </row>
        <row r="62">
          <cell r="A62" t="str">
            <v>PL16TH</v>
          </cell>
          <cell r="B62">
            <v>125.6</v>
          </cell>
        </row>
        <row r="63">
          <cell r="A63" t="str">
            <v>PL12TH</v>
          </cell>
          <cell r="B63">
            <v>94.2</v>
          </cell>
        </row>
        <row r="64">
          <cell r="A64" t="str">
            <v>PL10TH</v>
          </cell>
          <cell r="B64">
            <v>78.5</v>
          </cell>
        </row>
        <row r="65">
          <cell r="A65" t="str">
            <v>PL8TH</v>
          </cell>
          <cell r="B65">
            <v>62.8</v>
          </cell>
        </row>
        <row r="66">
          <cell r="A66" t="str">
            <v>CHQ.PL.</v>
          </cell>
          <cell r="B66">
            <v>52.2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
      <sheetName val="harga bahan dan upah"/>
      <sheetName val="analisa"/>
      <sheetName val="rekap bahan"/>
      <sheetName val="tabel besi beton"/>
      <sheetName val="DAFTAR BHN &amp; UPAH"/>
      <sheetName val="pembesian"/>
      <sheetName val="ANALISA.SNI"/>
      <sheetName val="RAB"/>
      <sheetName val="An.ku"/>
      <sheetName val="Rekap"/>
      <sheetName val="Anl"/>
      <sheetName val="HSUB"/>
      <sheetName val="0000000"/>
      <sheetName val="0000001"/>
      <sheetName val="Srt Penawaran"/>
      <sheetName val="CO"/>
      <sheetName val="Time Schedule"/>
      <sheetName val="Metode"/>
      <sheetName val="Rekap. baru"/>
      <sheetName val="RAB. PLDON"/>
      <sheetName val="Anlsa Bar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PRINT"/>
      <sheetName val="ANALISA GABUNGAN PRINT"/>
      <sheetName val="TERMINAL UTAMA PRINT"/>
      <sheetName val="PAGAR KAYU JAWA PRINT"/>
      <sheetName val="REKAP PRINT"/>
    </sheetNames>
    <sheetDataSet>
      <sheetData sheetId="0">
        <row r="9">
          <cell r="F9">
            <v>57500</v>
          </cell>
        </row>
        <row r="48">
          <cell r="F48">
            <v>9000</v>
          </cell>
        </row>
        <row r="119">
          <cell r="F119">
            <v>34200</v>
          </cell>
        </row>
      </sheetData>
      <sheetData sheetId="1"/>
      <sheetData sheetId="2"/>
      <sheetData sheetId="3"/>
      <sheetData sheetId="4"/>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RE SURVEY"/>
      <sheetName val="survey"/>
      <sheetName val="uang muka"/>
      <sheetName val="Sheet1"/>
      <sheetName val="REKAP"/>
      <sheetName val="RAB"/>
      <sheetName val="Sheet2"/>
    </sheetNames>
    <sheetDataSet>
      <sheetData sheetId="0"/>
      <sheetData sheetId="1"/>
      <sheetData sheetId="2"/>
      <sheetData sheetId="3">
        <row r="8">
          <cell r="H8" t="str">
            <v>0</v>
          </cell>
          <cell r="I8" t="str">
            <v/>
          </cell>
        </row>
        <row r="9">
          <cell r="H9" t="str">
            <v>1</v>
          </cell>
          <cell r="I9" t="str">
            <v>Satu</v>
          </cell>
        </row>
        <row r="10">
          <cell r="H10" t="str">
            <v>2</v>
          </cell>
          <cell r="I10" t="str">
            <v>Dua</v>
          </cell>
        </row>
        <row r="11">
          <cell r="H11" t="str">
            <v>3</v>
          </cell>
          <cell r="I11" t="str">
            <v>Tiga</v>
          </cell>
        </row>
        <row r="12">
          <cell r="H12" t="str">
            <v>4</v>
          </cell>
          <cell r="I12" t="str">
            <v>Empat</v>
          </cell>
        </row>
        <row r="13">
          <cell r="H13" t="str">
            <v>5</v>
          </cell>
          <cell r="I13" t="str">
            <v>Lima</v>
          </cell>
        </row>
        <row r="14">
          <cell r="H14" t="str">
            <v>6</v>
          </cell>
          <cell r="I14" t="str">
            <v>Enam</v>
          </cell>
        </row>
        <row r="15">
          <cell r="H15" t="str">
            <v>7</v>
          </cell>
          <cell r="I15" t="str">
            <v>Tujuh</v>
          </cell>
        </row>
        <row r="16">
          <cell r="H16" t="str">
            <v>8</v>
          </cell>
          <cell r="I16" t="str">
            <v>Delapan</v>
          </cell>
        </row>
        <row r="17">
          <cell r="H17" t="str">
            <v>9</v>
          </cell>
          <cell r="I17" t="str">
            <v>Sembilan</v>
          </cell>
        </row>
      </sheetData>
      <sheetData sheetId="4"/>
      <sheetData sheetId="5"/>
      <sheetData sheetId="6"/>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Q poli"/>
      <sheetName val="DAFTAR HARGA"/>
      <sheetName val="RAB. OE"/>
      <sheetName val="EE"/>
      <sheetName val="ANALISA"/>
      <sheetName val="REKAP EE"/>
      <sheetName val="ANALISA UGD"/>
      <sheetName val="DAFTAR HARGA (bq )"/>
      <sheetName val="REKAP EE (BQ)"/>
      <sheetName val="DAFTAR HARGA (BQ)"/>
      <sheetName val="ANALISAUGD (BQ)"/>
      <sheetName val="BQ IG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
      <sheetName val="Analisa (2)"/>
      <sheetName val="Rekap Akhir"/>
      <sheetName val="Rekap"/>
      <sheetName val="RAB"/>
      <sheetName val="Porsi"/>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
      <sheetName val="Jadwal"/>
      <sheetName val="mpu"/>
      <sheetName val="Summary"/>
      <sheetName val="Estimate"/>
      <sheetName val="mobilisasi"/>
      <sheetName val="D2"/>
      <sheetName val="D4"/>
      <sheetName val="D5"/>
      <sheetName val="D6"/>
      <sheetName val="D7"/>
      <sheetName val="D8"/>
      <sheetName val="rutin"/>
      <sheetName val="10.1 (1)"/>
      <sheetName val="10.1 (2)"/>
      <sheetName val="10.1 (3)"/>
      <sheetName val="10.1 (4)"/>
      <sheetName val="10.1 (5)"/>
      <sheetName val="Harga S Dasar"/>
      <sheetName val="alat"/>
      <sheetName val="."/>
      <sheetName val="BBL"/>
      <sheetName val="H DSR"/>
      <sheetName val="ALT 1"/>
      <sheetName val="B6"/>
      <sheetName val="B7A"/>
    </sheetNames>
    <sheetDataSet>
      <sheetData sheetId="0"/>
      <sheetData sheetId="1"/>
      <sheetData sheetId="2"/>
      <sheetData sheetId="3"/>
      <sheetData sheetId="4"/>
      <sheetData sheetId="5"/>
      <sheetData sheetId="6">
        <row r="3">
          <cell r="B3" t="str">
            <v>FORMULIR STANDAR UNTUK</v>
          </cell>
        </row>
      </sheetData>
      <sheetData sheetId="7">
        <row r="4">
          <cell r="B4" t="str">
            <v>FORMULIR STANDAR UNTUK</v>
          </cell>
        </row>
      </sheetData>
      <sheetData sheetId="8">
        <row r="4">
          <cell r="B4" t="str">
            <v>FORMULIR STANDAR UNTUK</v>
          </cell>
        </row>
      </sheetData>
      <sheetData sheetId="9">
        <row r="3">
          <cell r="B3" t="str">
            <v>FORMULIR STANDAR UNTUK</v>
          </cell>
        </row>
      </sheetData>
      <sheetData sheetId="10">
        <row r="4">
          <cell r="B4" t="str">
            <v>FORMULIR STANDAR UNTUK</v>
          </cell>
        </row>
      </sheetData>
      <sheetData sheetId="11">
        <row r="4">
          <cell r="B4" t="str">
            <v>FORMULIR STANDAR UNTUK</v>
          </cell>
        </row>
      </sheetData>
      <sheetData sheetId="12"/>
      <sheetData sheetId="13"/>
      <sheetData sheetId="14"/>
      <sheetData sheetId="15"/>
      <sheetData sheetId="16"/>
      <sheetData sheetId="17"/>
      <sheetData sheetId="18">
        <row r="3">
          <cell r="B3" t="str">
            <v>HARGA SATUAN DASAR ( HSD )</v>
          </cell>
        </row>
        <row r="4">
          <cell r="B4" t="str">
            <v>TENAGA DAN BAHAN</v>
          </cell>
        </row>
        <row r="7">
          <cell r="B7" t="str">
            <v>NO.</v>
          </cell>
          <cell r="C7" t="str">
            <v>U R A I A N</v>
          </cell>
          <cell r="E7" t="str">
            <v>SATUAN</v>
          </cell>
          <cell r="F7" t="str">
            <v>HARGA</v>
          </cell>
        </row>
        <row r="8">
          <cell r="F8" t="str">
            <v>( Rp. )</v>
          </cell>
        </row>
        <row r="10">
          <cell r="B10" t="str">
            <v>A.</v>
          </cell>
          <cell r="D10" t="str">
            <v>UPAH</v>
          </cell>
        </row>
        <row r="11">
          <cell r="B11">
            <v>1</v>
          </cell>
          <cell r="D11" t="str">
            <v>Pekerja</v>
          </cell>
          <cell r="E11" t="str">
            <v>Jam</v>
          </cell>
          <cell r="F11">
            <v>2750</v>
          </cell>
        </row>
        <row r="12">
          <cell r="B12">
            <v>2</v>
          </cell>
          <cell r="D12" t="str">
            <v>Tukang</v>
          </cell>
          <cell r="E12" t="str">
            <v>Jam</v>
          </cell>
          <cell r="F12">
            <v>3500</v>
          </cell>
        </row>
        <row r="13">
          <cell r="B13">
            <v>3</v>
          </cell>
          <cell r="D13" t="str">
            <v>Mandor</v>
          </cell>
          <cell r="E13" t="str">
            <v>Jam</v>
          </cell>
          <cell r="F13">
            <v>3750</v>
          </cell>
        </row>
        <row r="14">
          <cell r="F14" t="str">
            <v/>
          </cell>
        </row>
        <row r="15">
          <cell r="B15" t="str">
            <v>B.</v>
          </cell>
          <cell r="D15" t="str">
            <v>BAHAN BANGUNAN</v>
          </cell>
          <cell r="F15" t="str">
            <v/>
          </cell>
        </row>
        <row r="16">
          <cell r="B16">
            <v>1</v>
          </cell>
          <cell r="D16" t="str">
            <v>Tanah Urug biasa</v>
          </cell>
          <cell r="E16" t="str">
            <v>M3</v>
          </cell>
          <cell r="F16">
            <v>15000</v>
          </cell>
        </row>
        <row r="17">
          <cell r="B17">
            <v>2</v>
          </cell>
          <cell r="D17" t="str">
            <v>Tanah Padas / Pilihan</v>
          </cell>
          <cell r="E17" t="str">
            <v>M3</v>
          </cell>
          <cell r="F17">
            <v>25000</v>
          </cell>
        </row>
        <row r="18">
          <cell r="B18">
            <v>3</v>
          </cell>
          <cell r="D18" t="str">
            <v>Batu belah hitam</v>
          </cell>
          <cell r="E18" t="str">
            <v>M3</v>
          </cell>
          <cell r="F18">
            <v>60000</v>
          </cell>
        </row>
        <row r="19">
          <cell r="B19">
            <v>4</v>
          </cell>
          <cell r="D19" t="str">
            <v>Batu Pecah 0.5/1</v>
          </cell>
          <cell r="E19" t="str">
            <v>M3</v>
          </cell>
          <cell r="F19">
            <v>125000</v>
          </cell>
        </row>
        <row r="20">
          <cell r="B20">
            <v>5</v>
          </cell>
          <cell r="D20" t="str">
            <v>Batu Pecah 1/1</v>
          </cell>
          <cell r="E20" t="str">
            <v>M3</v>
          </cell>
          <cell r="F20">
            <v>120000</v>
          </cell>
        </row>
        <row r="21">
          <cell r="B21">
            <v>6</v>
          </cell>
          <cell r="D21" t="str">
            <v>Batu Pecah 1/2</v>
          </cell>
          <cell r="E21" t="str">
            <v>M3</v>
          </cell>
          <cell r="F21">
            <v>115000</v>
          </cell>
        </row>
        <row r="22">
          <cell r="B22">
            <v>7</v>
          </cell>
          <cell r="D22" t="str">
            <v>Batu Pecah 2/3</v>
          </cell>
          <cell r="E22" t="str">
            <v>M3</v>
          </cell>
          <cell r="F22">
            <v>110000</v>
          </cell>
        </row>
        <row r="23">
          <cell r="B23">
            <v>8</v>
          </cell>
          <cell r="D23" t="str">
            <v>Batu Pecah 3/5</v>
          </cell>
          <cell r="E23" t="str">
            <v>M3</v>
          </cell>
          <cell r="F23">
            <v>105000</v>
          </cell>
        </row>
        <row r="24">
          <cell r="B24">
            <v>9</v>
          </cell>
          <cell r="D24" t="str">
            <v>Batu Pecah 5/7</v>
          </cell>
          <cell r="E24" t="str">
            <v>M3</v>
          </cell>
          <cell r="F24">
            <v>100000</v>
          </cell>
        </row>
        <row r="25">
          <cell r="B25">
            <v>10</v>
          </cell>
          <cell r="D25" t="str">
            <v>Filler</v>
          </cell>
          <cell r="E25" t="str">
            <v>Kg</v>
          </cell>
          <cell r="F25">
            <v>450</v>
          </cell>
        </row>
        <row r="26">
          <cell r="B26">
            <v>11</v>
          </cell>
          <cell r="D26" t="str">
            <v>Aggregate Halus u/ LPA</v>
          </cell>
          <cell r="E26" t="str">
            <v>M3</v>
          </cell>
          <cell r="F26">
            <v>117500</v>
          </cell>
        </row>
        <row r="27">
          <cell r="B27">
            <v>12</v>
          </cell>
          <cell r="D27" t="str">
            <v>Aggregate Halus u/ LPB</v>
          </cell>
          <cell r="E27" t="str">
            <v>M3</v>
          </cell>
          <cell r="F27">
            <v>112500</v>
          </cell>
        </row>
        <row r="28">
          <cell r="B28">
            <v>13</v>
          </cell>
          <cell r="D28" t="str">
            <v>Aggregate Halus u/ ATB / AC / HRS</v>
          </cell>
          <cell r="E28" t="str">
            <v>M3</v>
          </cell>
          <cell r="F28">
            <v>125000</v>
          </cell>
        </row>
        <row r="29">
          <cell r="B29">
            <v>14</v>
          </cell>
          <cell r="D29" t="str">
            <v xml:space="preserve">Aggregate Kasar u/ LPA </v>
          </cell>
          <cell r="E29" t="str">
            <v>M3</v>
          </cell>
          <cell r="F29">
            <v>105000</v>
          </cell>
        </row>
        <row r="30">
          <cell r="B30">
            <v>15</v>
          </cell>
          <cell r="D30" t="str">
            <v>Aggregate Kasar u/ LPB</v>
          </cell>
          <cell r="E30" t="str">
            <v>M3</v>
          </cell>
          <cell r="F30">
            <v>102500</v>
          </cell>
        </row>
        <row r="31">
          <cell r="B31">
            <v>16</v>
          </cell>
          <cell r="D31" t="str">
            <v>Aggregate Kasar u/ ATB / AC / HRS</v>
          </cell>
          <cell r="E31" t="str">
            <v>M3</v>
          </cell>
          <cell r="F31">
            <v>115000</v>
          </cell>
        </row>
        <row r="32">
          <cell r="B32">
            <v>17</v>
          </cell>
          <cell r="D32" t="str">
            <v>Agregate C</v>
          </cell>
          <cell r="E32" t="str">
            <v>m3</v>
          </cell>
          <cell r="F32">
            <v>70000</v>
          </cell>
        </row>
        <row r="33">
          <cell r="B33">
            <v>18</v>
          </cell>
          <cell r="D33" t="str">
            <v>Aggregate Kasar u/ beton ( 1/2+2/3 )</v>
          </cell>
          <cell r="E33" t="str">
            <v>M3</v>
          </cell>
          <cell r="F33">
            <v>112500</v>
          </cell>
        </row>
        <row r="34">
          <cell r="B34">
            <v>19</v>
          </cell>
          <cell r="D34" t="str">
            <v>Sirtu</v>
          </cell>
          <cell r="E34" t="str">
            <v>M3</v>
          </cell>
          <cell r="F34">
            <v>50000</v>
          </cell>
        </row>
        <row r="35">
          <cell r="B35">
            <v>20</v>
          </cell>
          <cell r="D35" t="str">
            <v>Pasir Urug</v>
          </cell>
          <cell r="E35" t="str">
            <v>M3</v>
          </cell>
          <cell r="F35">
            <v>60000</v>
          </cell>
        </row>
        <row r="36">
          <cell r="B36">
            <v>21</v>
          </cell>
          <cell r="D36" t="str">
            <v>Pasir Pasang</v>
          </cell>
          <cell r="E36" t="str">
            <v>M3</v>
          </cell>
          <cell r="F36">
            <v>70000</v>
          </cell>
        </row>
        <row r="37">
          <cell r="B37">
            <v>22</v>
          </cell>
          <cell r="D37" t="str">
            <v>Pasir Beton ( Muntilan )</v>
          </cell>
          <cell r="E37" t="str">
            <v>M3</v>
          </cell>
          <cell r="F37">
            <v>90000</v>
          </cell>
        </row>
        <row r="38">
          <cell r="B38">
            <v>23</v>
          </cell>
          <cell r="D38" t="str">
            <v>Kawat Bendrat</v>
          </cell>
          <cell r="E38" t="str">
            <v>Kg</v>
          </cell>
          <cell r="F38">
            <v>8000</v>
          </cell>
        </row>
        <row r="39">
          <cell r="B39">
            <v>24</v>
          </cell>
          <cell r="D39" t="str">
            <v>Besi Beton U 24 ( Polos )</v>
          </cell>
          <cell r="E39" t="str">
            <v>Kg</v>
          </cell>
          <cell r="F39">
            <v>6000</v>
          </cell>
        </row>
        <row r="40">
          <cell r="B40">
            <v>25</v>
          </cell>
          <cell r="D40" t="str">
            <v>Besi Beton U 32 ( Ulir )</v>
          </cell>
          <cell r="E40" t="str">
            <v>Kg</v>
          </cell>
          <cell r="F40">
            <v>6500</v>
          </cell>
        </row>
        <row r="41">
          <cell r="B41">
            <v>26</v>
          </cell>
          <cell r="D41" t="str">
            <v>Paku</v>
          </cell>
          <cell r="E41" t="str">
            <v>Kg</v>
          </cell>
          <cell r="F41">
            <v>8000</v>
          </cell>
        </row>
        <row r="42">
          <cell r="B42">
            <v>27</v>
          </cell>
          <cell r="D42" t="str">
            <v>Papan Begisting</v>
          </cell>
          <cell r="E42" t="str">
            <v>M3</v>
          </cell>
          <cell r="F42">
            <v>1000000</v>
          </cell>
        </row>
        <row r="43">
          <cell r="B43">
            <v>28</v>
          </cell>
          <cell r="D43" t="str">
            <v>Semen ( PC )</v>
          </cell>
          <cell r="E43" t="str">
            <v>Kg</v>
          </cell>
          <cell r="F43">
            <v>750</v>
          </cell>
        </row>
        <row r="44">
          <cell r="B44">
            <v>29</v>
          </cell>
          <cell r="D44" t="str">
            <v>Aspal Curah</v>
          </cell>
          <cell r="E44" t="str">
            <v>Kg</v>
          </cell>
          <cell r="F44">
            <v>2300</v>
          </cell>
        </row>
        <row r="45">
          <cell r="B45">
            <v>30</v>
          </cell>
          <cell r="D45" t="str">
            <v>Aspal Drum</v>
          </cell>
          <cell r="E45" t="str">
            <v>Kg</v>
          </cell>
          <cell r="F45">
            <v>2300</v>
          </cell>
        </row>
        <row r="46">
          <cell r="B46">
            <v>31</v>
          </cell>
          <cell r="D46" t="str">
            <v>Minyak Tanah / Kerosene</v>
          </cell>
          <cell r="E46" t="str">
            <v>Ltr</v>
          </cell>
          <cell r="F46">
            <v>1350</v>
          </cell>
        </row>
        <row r="47">
          <cell r="B47">
            <v>32</v>
          </cell>
          <cell r="D47" t="str">
            <v>Minyak Cat</v>
          </cell>
          <cell r="E47" t="str">
            <v>Ltr</v>
          </cell>
          <cell r="F47">
            <v>10000</v>
          </cell>
        </row>
        <row r="48">
          <cell r="B48">
            <v>33</v>
          </cell>
          <cell r="D48" t="str">
            <v>Cat Besi</v>
          </cell>
          <cell r="E48" t="str">
            <v>Kg</v>
          </cell>
          <cell r="F48">
            <v>25000</v>
          </cell>
        </row>
        <row r="49">
          <cell r="B49">
            <v>34</v>
          </cell>
          <cell r="D49" t="str">
            <v>Cat Tembok</v>
          </cell>
          <cell r="E49" t="str">
            <v>Kg</v>
          </cell>
          <cell r="F49">
            <v>25000</v>
          </cell>
        </row>
        <row r="50">
          <cell r="B50">
            <v>35</v>
          </cell>
          <cell r="D50" t="str">
            <v>Cat Marka ( Thermoplastic )</v>
          </cell>
          <cell r="E50" t="str">
            <v>Kg</v>
          </cell>
          <cell r="F50">
            <v>50000</v>
          </cell>
        </row>
        <row r="51">
          <cell r="B51">
            <v>36</v>
          </cell>
          <cell r="D51" t="str">
            <v>Glass Bit</v>
          </cell>
          <cell r="E51" t="str">
            <v>Kg</v>
          </cell>
          <cell r="F51">
            <v>40000</v>
          </cell>
        </row>
        <row r="52">
          <cell r="B52">
            <v>37</v>
          </cell>
          <cell r="D52" t="str">
            <v>Rel Pengaman</v>
          </cell>
          <cell r="E52" t="str">
            <v>M'</v>
          </cell>
          <cell r="F52">
            <v>250000</v>
          </cell>
        </row>
        <row r="53">
          <cell r="B53">
            <v>38</v>
          </cell>
          <cell r="D53" t="str">
            <v>Rambu Lalu lintas</v>
          </cell>
          <cell r="E53" t="str">
            <v>Bh</v>
          </cell>
          <cell r="F53">
            <v>250000</v>
          </cell>
        </row>
        <row r="54">
          <cell r="B54">
            <v>39</v>
          </cell>
          <cell r="D54" t="str">
            <v>Plat rambu jalan</v>
          </cell>
          <cell r="E54" t="str">
            <v>Bh</v>
          </cell>
          <cell r="F54">
            <v>300000</v>
          </cell>
        </row>
        <row r="55">
          <cell r="B55">
            <v>40</v>
          </cell>
          <cell r="D55" t="str">
            <v>Curing Compound</v>
          </cell>
          <cell r="E55" t="str">
            <v>kg</v>
          </cell>
          <cell r="F55">
            <v>95000</v>
          </cell>
        </row>
        <row r="56">
          <cell r="B56">
            <v>41</v>
          </cell>
          <cell r="D56" t="str">
            <v>Joint Sealent ( Aspal Cut Back )</v>
          </cell>
          <cell r="E56" t="str">
            <v>m</v>
          </cell>
          <cell r="F56">
            <v>20000</v>
          </cell>
        </row>
        <row r="57">
          <cell r="B57">
            <v>42</v>
          </cell>
          <cell r="D57" t="str">
            <v>Chipping</v>
          </cell>
          <cell r="E57" t="str">
            <v>kg</v>
          </cell>
          <cell r="F57">
            <v>150</v>
          </cell>
        </row>
        <row r="58">
          <cell r="B58">
            <v>43</v>
          </cell>
          <cell r="D58" t="str">
            <v>Kapur</v>
          </cell>
          <cell r="E58" t="str">
            <v>kg</v>
          </cell>
          <cell r="F58">
            <v>150</v>
          </cell>
        </row>
        <row r="59">
          <cell r="B59">
            <v>44</v>
          </cell>
          <cell r="D59" t="str">
            <v>Beton K-175</v>
          </cell>
          <cell r="E59" t="str">
            <v>m3</v>
          </cell>
          <cell r="F59">
            <v>500000</v>
          </cell>
        </row>
      </sheetData>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DULE"/>
      <sheetName val="Upah"/>
      <sheetName val="Analisa"/>
      <sheetName val="RAB"/>
      <sheetName val="REKAP"/>
      <sheetName val="RUMUS"/>
      <sheetName val="Div2"/>
    </sheetNames>
    <sheetDataSet>
      <sheetData sheetId="0"/>
      <sheetData sheetId="1">
        <row r="20">
          <cell r="J20">
            <v>80000</v>
          </cell>
        </row>
        <row r="27">
          <cell r="J27">
            <v>31500</v>
          </cell>
        </row>
      </sheetData>
      <sheetData sheetId="2"/>
      <sheetData sheetId="3"/>
      <sheetData sheetId="4"/>
      <sheetData sheetId="5" refreshError="1"/>
      <sheetData sheetId="6"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Rekap"/>
      <sheetName val="RAB. Rencana "/>
      <sheetName val="SRT_Penawaran1"/>
      <sheetName val="SRT_Penawaran2"/>
      <sheetName val="Data Alat"/>
      <sheetName val="Pengalaman"/>
      <sheetName val="Jadwal_Laksana"/>
      <sheetName val="Jadwal_Penugasan"/>
      <sheetName val="NyataSedia"/>
      <sheetName val="cvpaha"/>
      <sheetName val="CV-Darmono"/>
      <sheetName val="Personil ditugaskan"/>
    </sheetNames>
    <sheetDataSet>
      <sheetData sheetId="0"/>
      <sheetData sheetId="1"/>
      <sheetData sheetId="2"/>
      <sheetData sheetId="3"/>
      <sheetData sheetId="4"/>
      <sheetData sheetId="5"/>
      <sheetData sheetId="6"/>
      <sheetData sheetId="7"/>
      <sheetData sheetId="8">
        <row r="12">
          <cell r="E12" t="str">
            <v>Ir. FAHARUDDIN</v>
          </cell>
        </row>
      </sheetData>
      <sheetData sheetId="9"/>
      <sheetData sheetId="10"/>
      <sheetData sheetId="11"/>
      <sheetData sheetId="12"/>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rencana"/>
      <sheetName val="Rencana"/>
      <sheetName val="REKAP"/>
      <sheetName val="Awas"/>
    </sheetNames>
    <sheetDataSet>
      <sheetData sheetId="0" refreshError="1"/>
      <sheetData sheetId="1">
        <row r="4">
          <cell r="D4" t="str">
            <v>: PENINGKATAN DAN PEMELIHARAAN SARANA DAN PRASARANA PELATIHAN</v>
          </cell>
        </row>
      </sheetData>
      <sheetData sheetId="2" refreshError="1"/>
      <sheetData sheetId="3">
        <row r="13">
          <cell r="I13">
            <v>3500000</v>
          </cell>
        </row>
      </sheetData>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_TAWAR"/>
      <sheetName val="REKAP"/>
      <sheetName val="RAB"/>
      <sheetName val="ANALISA"/>
      <sheetName val="HARGA"/>
      <sheetName val="ALAT"/>
      <sheetName val="SCHEDULE"/>
      <sheetName val="NYATA"/>
      <sheetName val="Current"/>
    </sheetNames>
    <sheetDataSet>
      <sheetData sheetId="0"/>
      <sheetData sheetId="1"/>
      <sheetData sheetId="2"/>
      <sheetData sheetId="3">
        <row r="644">
          <cell r="I644">
            <v>470256.50100799999</v>
          </cell>
        </row>
      </sheetData>
      <sheetData sheetId="4">
        <row r="14">
          <cell r="T14">
            <v>133210.83199999999</v>
          </cell>
        </row>
        <row r="17">
          <cell r="I17">
            <v>3000</v>
          </cell>
        </row>
      </sheetData>
      <sheetData sheetId="5"/>
      <sheetData sheetId="6">
        <row r="25">
          <cell r="C25" t="str">
            <v xml:space="preserve">   ( %)</v>
          </cell>
        </row>
      </sheetData>
      <sheetData sheetId="7"/>
      <sheetData sheetId="8"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Total"/>
      <sheetName val="Balai Nelayan"/>
      <sheetName val="Pabrik Es"/>
      <sheetName val="Dat. Vol"/>
      <sheetName val="pagar malewa"/>
      <sheetName val="GARASI (2)"/>
      <sheetName val="GARASI"/>
      <sheetName val="GEREJA TUA"/>
      <sheetName val="TPI"/>
      <sheetName val="Analisa"/>
      <sheetName val="JADWAL"/>
      <sheetName val="Hrga Bhn"/>
    </sheetNames>
    <sheetDataSet>
      <sheetData sheetId="0"/>
      <sheetData sheetId="1"/>
      <sheetData sheetId="2"/>
      <sheetData sheetId="3"/>
      <sheetData sheetId="4"/>
      <sheetData sheetId="5"/>
      <sheetData sheetId="6"/>
      <sheetData sheetId="7"/>
      <sheetData sheetId="8"/>
      <sheetData sheetId="9"/>
      <sheetData sheetId="10"/>
      <sheetData sheetId="11" refreshError="1">
        <row r="17">
          <cell r="H17">
            <v>20000</v>
          </cell>
        </row>
        <row r="19">
          <cell r="H19">
            <v>26500</v>
          </cell>
        </row>
      </sheetData>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CAST FLOW"/>
      <sheetName val="TOTAL"/>
      <sheetName val="URAI"/>
      <sheetName val="REKAP"/>
      <sheetName val="BTL"/>
      <sheetName val="Metode"/>
      <sheetName val="rekap alat"/>
      <sheetName val="rekap mat"/>
      <sheetName val="sch- mat"/>
      <sheetName val="Gal C"/>
      <sheetName val="per raprab"/>
      <sheetName val="HSD"/>
      <sheetName val="Um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K-SNI (new)"/>
      <sheetName val="Upah dan Bahan"/>
      <sheetName val="MIS ALHARERAT PUSAT"/>
      <sheetName val="bahan.vol"/>
      <sheetName val="RINCIAN VOLUME"/>
    </sheetNames>
    <sheetDataSet>
      <sheetData sheetId="0"/>
      <sheetData sheetId="1">
        <row r="13">
          <cell r="F13">
            <v>50000</v>
          </cell>
        </row>
      </sheetData>
      <sheetData sheetId="2">
        <row r="18">
          <cell r="G18">
            <v>44.26</v>
          </cell>
        </row>
        <row r="19">
          <cell r="G19">
            <v>38.6</v>
          </cell>
        </row>
        <row r="20">
          <cell r="G20">
            <v>9.65</v>
          </cell>
        </row>
        <row r="22">
          <cell r="G22">
            <v>25.9</v>
          </cell>
        </row>
        <row r="23">
          <cell r="G23">
            <v>31.75</v>
          </cell>
        </row>
        <row r="27">
          <cell r="G27">
            <v>10.98</v>
          </cell>
        </row>
        <row r="28">
          <cell r="G28">
            <v>38.17</v>
          </cell>
        </row>
        <row r="43">
          <cell r="G43">
            <v>3.77</v>
          </cell>
        </row>
        <row r="44">
          <cell r="G44">
            <v>3.68</v>
          </cell>
        </row>
        <row r="46">
          <cell r="G46">
            <v>4.87</v>
          </cell>
        </row>
        <row r="48">
          <cell r="G48">
            <v>4.45</v>
          </cell>
        </row>
        <row r="49">
          <cell r="G49">
            <v>3.89</v>
          </cell>
        </row>
        <row r="50">
          <cell r="G50">
            <v>2.99</v>
          </cell>
        </row>
        <row r="51">
          <cell r="G51">
            <v>13.35</v>
          </cell>
        </row>
        <row r="52">
          <cell r="G52">
            <v>2.64</v>
          </cell>
        </row>
      </sheetData>
      <sheetData sheetId="3" refreshError="1"/>
      <sheetData sheetId="4"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s>
    <sheetDataSet>
      <sheetData sheetId="0">
        <row r="10">
          <cell r="L10">
            <v>3</v>
          </cell>
        </row>
        <row r="12">
          <cell r="L12">
            <v>31</v>
          </cell>
        </row>
        <row r="13">
          <cell r="L13">
            <v>1</v>
          </cell>
        </row>
        <row r="14">
          <cell r="L14">
            <v>0</v>
          </cell>
        </row>
        <row r="15">
          <cell r="L15">
            <v>0.05</v>
          </cell>
        </row>
        <row r="16">
          <cell r="L16">
            <v>0.3</v>
          </cell>
        </row>
        <row r="17">
          <cell r="L17">
            <v>0.2</v>
          </cell>
        </row>
        <row r="18">
          <cell r="L18">
            <v>1</v>
          </cell>
        </row>
        <row r="19">
          <cell r="L19">
            <v>2</v>
          </cell>
        </row>
        <row r="20">
          <cell r="L20">
            <v>1</v>
          </cell>
        </row>
        <row r="23">
          <cell r="L23">
            <v>1</v>
          </cell>
        </row>
        <row r="24">
          <cell r="L24">
            <v>0</v>
          </cell>
        </row>
        <row r="25">
          <cell r="L25">
            <v>2</v>
          </cell>
        </row>
        <row r="26">
          <cell r="L26">
            <v>1</v>
          </cell>
        </row>
        <row r="27">
          <cell r="L27">
            <v>0</v>
          </cell>
        </row>
        <row r="28">
          <cell r="L28">
            <v>0.5</v>
          </cell>
        </row>
        <row r="29">
          <cell r="L29">
            <v>1</v>
          </cell>
        </row>
        <row r="30">
          <cell r="L30">
            <v>2</v>
          </cell>
        </row>
        <row r="34">
          <cell r="L34">
            <v>1</v>
          </cell>
        </row>
        <row r="35">
          <cell r="L35">
            <v>1</v>
          </cell>
        </row>
        <row r="36">
          <cell r="L36">
            <v>1</v>
          </cell>
        </row>
        <row r="37">
          <cell r="L37">
            <v>1</v>
          </cell>
        </row>
        <row r="38">
          <cell r="L38">
            <v>1</v>
          </cell>
        </row>
        <row r="39">
          <cell r="L39">
            <v>1</v>
          </cell>
        </row>
        <row r="42">
          <cell r="L42">
            <v>0</v>
          </cell>
        </row>
        <row r="43">
          <cell r="L43">
            <v>1</v>
          </cell>
        </row>
        <row r="44">
          <cell r="L44">
            <v>1</v>
          </cell>
        </row>
      </sheetData>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Power &amp; Comp"/>
    </sheetNames>
    <sheetDataSet>
      <sheetData sheetId="0" refreshError="1">
        <row r="10">
          <cell r="J10" t="str">
            <v>1</v>
          </cell>
        </row>
        <row r="12">
          <cell r="J12">
            <v>31</v>
          </cell>
        </row>
        <row r="13">
          <cell r="J13">
            <v>1</v>
          </cell>
        </row>
        <row r="14">
          <cell r="J14">
            <v>0</v>
          </cell>
        </row>
        <row r="15">
          <cell r="J15">
            <v>0.05</v>
          </cell>
        </row>
        <row r="16">
          <cell r="J16">
            <v>0.3</v>
          </cell>
        </row>
        <row r="17">
          <cell r="J17">
            <v>0.2</v>
          </cell>
        </row>
        <row r="18">
          <cell r="J18">
            <v>1</v>
          </cell>
        </row>
        <row r="19">
          <cell r="J19">
            <v>2</v>
          </cell>
        </row>
        <row r="20">
          <cell r="J20">
            <v>1</v>
          </cell>
        </row>
        <row r="23">
          <cell r="J23">
            <v>1</v>
          </cell>
        </row>
        <row r="24">
          <cell r="J24">
            <v>0</v>
          </cell>
        </row>
        <row r="25">
          <cell r="J25">
            <v>0</v>
          </cell>
        </row>
        <row r="26">
          <cell r="J26">
            <v>0</v>
          </cell>
        </row>
        <row r="27">
          <cell r="J27">
            <v>0</v>
          </cell>
        </row>
        <row r="28">
          <cell r="J28">
            <v>0</v>
          </cell>
        </row>
        <row r="29">
          <cell r="J29">
            <v>0</v>
          </cell>
        </row>
        <row r="30">
          <cell r="J30">
            <v>1</v>
          </cell>
        </row>
        <row r="34">
          <cell r="J34">
            <v>1</v>
          </cell>
        </row>
        <row r="35">
          <cell r="J35">
            <v>1</v>
          </cell>
        </row>
        <row r="36">
          <cell r="J36">
            <v>1</v>
          </cell>
        </row>
        <row r="37">
          <cell r="J37">
            <v>1</v>
          </cell>
        </row>
        <row r="38">
          <cell r="J38">
            <v>1</v>
          </cell>
        </row>
        <row r="39">
          <cell r="J39">
            <v>1</v>
          </cell>
        </row>
        <row r="42">
          <cell r="J42">
            <v>0</v>
          </cell>
        </row>
        <row r="43">
          <cell r="J43">
            <v>1</v>
          </cell>
        </row>
        <row r="44">
          <cell r="J44">
            <v>1</v>
          </cell>
        </row>
      </sheetData>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HAN_07 Un_ TBHN ANALIS"/>
      <sheetName val="BAHAN_08"/>
      <sheetName val="HSPK ANALIS"/>
      <sheetName val="Analisa SNI"/>
      <sheetName val="HSPK Tamb++"/>
      <sheetName val="Analisa Tamb++"/>
      <sheetName val="HSPK ANALIS PJ"/>
      <sheetName val="Analis PJ"/>
      <sheetName val="ANALISA railing"/>
      <sheetName val="HSPK_BETON"/>
      <sheetName val="ANALISA BETON"/>
      <sheetName val="BESTAT_BESI"/>
      <sheetName val="RESUME BESI"/>
      <sheetName val="MASTER BAHAN ME"/>
      <sheetName val="MASTER HSPK ME"/>
      <sheetName val="MASTER Analis ME"/>
      <sheetName val="HSPK_JEMBATAN"/>
      <sheetName val="ANALISA PEK. JEMBAT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 Beton PRe"/>
      <sheetName val="strous"/>
      <sheetName val="shearwall"/>
      <sheetName val="T-Ngga"/>
      <sheetName val="P-late"/>
      <sheetName val="K-lom rev"/>
      <sheetName val="B-lox rev"/>
      <sheetName val="Sloop rev"/>
      <sheetName val="PC rev"/>
      <sheetName val="UPAH RIIL OK"/>
      <sheetName val="Material ALAM OK"/>
      <sheetName val="Material NON ALAM OK"/>
      <sheetName val="AnalisaSIPIL RIIL RAP"/>
      <sheetName val="REKAP BAHAN &amp; UPAH RIIL "/>
      <sheetName val="Analis Kusen"/>
      <sheetName val="ANALISA KUSEN RAP"/>
      <sheetName val="HSPK KUSEN RAP"/>
      <sheetName val="ACUAN BIAYA"/>
      <sheetName val="FORM 1"/>
      <sheetName val="REKAP"/>
      <sheetName val="RAP TRIBUN"/>
      <sheetName val="RAP ME"/>
      <sheetName val="RAB Sub Ground Tank"/>
      <sheetName val="Back up ARS-STR Sub Ground Tank"/>
      <sheetName val="Ged. B Lt. I Vik"/>
      <sheetName val="BU_ARC_B"/>
      <sheetName val="BU ARS ZONA B PLAF &amp; KERMK"/>
      <sheetName val="Gedung E"/>
      <sheetName val="Sheet3"/>
    </sheetNames>
    <sheetDataSet>
      <sheetData sheetId="0" refreshError="1"/>
      <sheetData sheetId="1" refreshError="1"/>
      <sheetData sheetId="2" refreshError="1"/>
      <sheetData sheetId="3" refreshError="1"/>
      <sheetData sheetId="4" refreshError="1">
        <row r="11">
          <cell r="B11">
            <v>1</v>
          </cell>
          <cell r="C11">
            <v>4.75</v>
          </cell>
          <cell r="D11">
            <v>3</v>
          </cell>
          <cell r="E11">
            <v>0.12</v>
          </cell>
          <cell r="F11">
            <v>12</v>
          </cell>
          <cell r="G11" t="str">
            <v>-</v>
          </cell>
          <cell r="H11">
            <v>150</v>
          </cell>
          <cell r="I11">
            <v>12</v>
          </cell>
          <cell r="J11" t="str">
            <v>-</v>
          </cell>
          <cell r="K11">
            <v>150</v>
          </cell>
          <cell r="N11">
            <v>62.324905263157902</v>
          </cell>
          <cell r="Q11">
            <v>8.3333333333333339</v>
          </cell>
          <cell r="R11" t="str">
            <v>atas</v>
          </cell>
          <cell r="U11">
            <v>62.324905263157902</v>
          </cell>
        </row>
        <row r="12">
          <cell r="F12">
            <v>12</v>
          </cell>
          <cell r="G12" t="str">
            <v>-</v>
          </cell>
          <cell r="H12">
            <v>150</v>
          </cell>
          <cell r="I12">
            <v>12</v>
          </cell>
          <cell r="J12" t="str">
            <v>-</v>
          </cell>
          <cell r="K12">
            <v>150</v>
          </cell>
          <cell r="N12">
            <v>53.603052631578954</v>
          </cell>
          <cell r="R12" t="str">
            <v xml:space="preserve">bawah </v>
          </cell>
          <cell r="U12">
            <v>53.603052631578954</v>
          </cell>
        </row>
        <row r="13">
          <cell r="U13">
            <v>115.92795789473686</v>
          </cell>
        </row>
        <row r="14">
          <cell r="B14">
            <v>2</v>
          </cell>
          <cell r="C14">
            <v>6</v>
          </cell>
          <cell r="D14">
            <v>4</v>
          </cell>
          <cell r="E14">
            <v>0.12</v>
          </cell>
          <cell r="F14">
            <v>12</v>
          </cell>
          <cell r="G14" t="str">
            <v>-</v>
          </cell>
          <cell r="H14">
            <v>150</v>
          </cell>
          <cell r="I14">
            <v>12</v>
          </cell>
          <cell r="J14" t="str">
            <v>-</v>
          </cell>
          <cell r="K14">
            <v>150</v>
          </cell>
          <cell r="N14">
            <v>60.293700000000008</v>
          </cell>
          <cell r="Q14">
            <v>8.3333333333333339</v>
          </cell>
          <cell r="R14" t="str">
            <v>atas</v>
          </cell>
        </row>
        <row r="15">
          <cell r="F15">
            <v>12</v>
          </cell>
          <cell r="G15" t="str">
            <v>-</v>
          </cell>
          <cell r="H15">
            <v>150</v>
          </cell>
          <cell r="I15">
            <v>12</v>
          </cell>
          <cell r="J15" t="str">
            <v>-</v>
          </cell>
          <cell r="K15">
            <v>150</v>
          </cell>
          <cell r="N15">
            <v>53.635500000000008</v>
          </cell>
          <cell r="R15" t="str">
            <v xml:space="preserve">bawah </v>
          </cell>
        </row>
        <row r="20">
          <cell r="B20">
            <v>4</v>
          </cell>
          <cell r="C20">
            <v>5</v>
          </cell>
          <cell r="D20">
            <v>4</v>
          </cell>
          <cell r="E20">
            <v>0.12</v>
          </cell>
          <cell r="F20">
            <v>12</v>
          </cell>
          <cell r="G20" t="str">
            <v>-</v>
          </cell>
          <cell r="H20">
            <v>150</v>
          </cell>
          <cell r="I20">
            <v>12</v>
          </cell>
          <cell r="J20" t="str">
            <v>-</v>
          </cell>
          <cell r="K20">
            <v>150</v>
          </cell>
          <cell r="N20">
            <v>61.699320000000021</v>
          </cell>
          <cell r="Q20">
            <v>8.3333333333333339</v>
          </cell>
          <cell r="R20" t="str">
            <v>atas</v>
          </cell>
        </row>
        <row r="21">
          <cell r="F21">
            <v>12</v>
          </cell>
          <cell r="G21" t="str">
            <v>-</v>
          </cell>
          <cell r="H21">
            <v>150</v>
          </cell>
          <cell r="I21">
            <v>12</v>
          </cell>
          <cell r="J21" t="str">
            <v>-</v>
          </cell>
          <cell r="K21">
            <v>150</v>
          </cell>
          <cell r="N21">
            <v>54.375300000000003</v>
          </cell>
          <cell r="R21" t="str">
            <v xml:space="preserve">bawah </v>
          </cell>
        </row>
        <row r="71">
          <cell r="B71" t="str">
            <v>PA1 T=10</v>
          </cell>
          <cell r="C71">
            <v>4</v>
          </cell>
          <cell r="D71">
            <v>4</v>
          </cell>
          <cell r="E71">
            <v>0.1</v>
          </cell>
          <cell r="F71">
            <v>12</v>
          </cell>
          <cell r="G71" t="str">
            <v>-</v>
          </cell>
          <cell r="H71">
            <v>300</v>
          </cell>
          <cell r="I71">
            <v>12</v>
          </cell>
          <cell r="J71" t="str">
            <v>-</v>
          </cell>
          <cell r="K71">
            <v>300</v>
          </cell>
          <cell r="N71">
            <v>40.836959999999998</v>
          </cell>
          <cell r="Q71">
            <v>10</v>
          </cell>
          <cell r="R71" t="str">
            <v>atas</v>
          </cell>
          <cell r="S71">
            <v>1.6</v>
          </cell>
          <cell r="T71">
            <v>4</v>
          </cell>
          <cell r="U71">
            <v>6.4</v>
          </cell>
          <cell r="V71" t="str">
            <v>Ø 10</v>
          </cell>
          <cell r="W71" t="str">
            <v>Ø 12</v>
          </cell>
          <cell r="X71" t="str">
            <v>Ø 10</v>
          </cell>
          <cell r="Y71" t="str">
            <v>Ø 12</v>
          </cell>
          <cell r="Z71" t="str">
            <v>Ø 10</v>
          </cell>
          <cell r="AA71" t="str">
            <v>Ø 12</v>
          </cell>
          <cell r="AB71">
            <v>1</v>
          </cell>
        </row>
        <row r="72">
          <cell r="F72">
            <v>12</v>
          </cell>
          <cell r="G72" t="str">
            <v>-</v>
          </cell>
          <cell r="H72">
            <v>300</v>
          </cell>
          <cell r="I72">
            <v>12</v>
          </cell>
          <cell r="J72" t="str">
            <v>-</v>
          </cell>
          <cell r="K72">
            <v>300</v>
          </cell>
          <cell r="N72">
            <v>35.510400000000004</v>
          </cell>
          <cell r="R72" t="str">
            <v xml:space="preserve">bawah </v>
          </cell>
          <cell r="V72">
            <v>0</v>
          </cell>
          <cell r="W72" t="e">
            <v>#REF!</v>
          </cell>
          <cell r="X72">
            <v>0</v>
          </cell>
          <cell r="Y72" t="e">
            <v>#REF!</v>
          </cell>
          <cell r="Z72">
            <v>0</v>
          </cell>
          <cell r="AA72" t="e">
            <v>#REF!</v>
          </cell>
        </row>
        <row r="73">
          <cell r="F73">
            <v>8</v>
          </cell>
          <cell r="G73" t="str">
            <v>-</v>
          </cell>
          <cell r="H73">
            <v>200</v>
          </cell>
          <cell r="I73">
            <v>8</v>
          </cell>
          <cell r="J73" t="str">
            <v>-</v>
          </cell>
          <cell r="K73">
            <v>200</v>
          </cell>
          <cell r="L73">
            <v>21.700799999999997</v>
          </cell>
          <cell r="R73" t="str">
            <v>tul. bagi/susut</v>
          </cell>
        </row>
        <row r="76">
          <cell r="S76">
            <v>0</v>
          </cell>
          <cell r="T76">
            <v>8</v>
          </cell>
          <cell r="U76">
            <v>0</v>
          </cell>
          <cell r="V76" t="e">
            <v>#REF!</v>
          </cell>
          <cell r="W76">
            <v>0</v>
          </cell>
          <cell r="X76" t="e">
            <v>#REF!</v>
          </cell>
          <cell r="Y76">
            <v>0</v>
          </cell>
          <cell r="Z76" t="e">
            <v>#REF!</v>
          </cell>
          <cell r="AA76">
            <v>0</v>
          </cell>
          <cell r="AB76">
            <v>6</v>
          </cell>
        </row>
        <row r="81">
          <cell r="B81" t="str">
            <v>Tandon</v>
          </cell>
          <cell r="C81">
            <v>2.8</v>
          </cell>
          <cell r="D81">
            <v>4.4000000000000004</v>
          </cell>
          <cell r="E81">
            <v>0.15</v>
          </cell>
          <cell r="F81">
            <v>12</v>
          </cell>
          <cell r="G81" t="str">
            <v>-</v>
          </cell>
          <cell r="H81">
            <v>125</v>
          </cell>
          <cell r="I81">
            <v>12</v>
          </cell>
          <cell r="J81" t="str">
            <v>-</v>
          </cell>
          <cell r="K81">
            <v>125</v>
          </cell>
          <cell r="N81">
            <v>62.258493506493515</v>
          </cell>
          <cell r="Q81">
            <v>6.666666666666667</v>
          </cell>
          <cell r="R81" t="str">
            <v>atas</v>
          </cell>
          <cell r="S81">
            <v>1.8479999999999999</v>
          </cell>
          <cell r="T81">
            <v>11</v>
          </cell>
          <cell r="U81">
            <v>20.327999999999999</v>
          </cell>
          <cell r="V81">
            <v>0</v>
          </cell>
          <cell r="W81">
            <v>62.258493506493515</v>
          </cell>
          <cell r="X81">
            <v>0</v>
          </cell>
          <cell r="Y81">
            <v>1265.5906560000001</v>
          </cell>
          <cell r="Z81">
            <v>0</v>
          </cell>
          <cell r="AA81">
            <v>0</v>
          </cell>
          <cell r="AB81">
            <v>5</v>
          </cell>
        </row>
        <row r="82">
          <cell r="B82" t="str">
            <v>t=15</v>
          </cell>
          <cell r="F82">
            <v>12</v>
          </cell>
          <cell r="G82" t="str">
            <v>-</v>
          </cell>
          <cell r="H82">
            <v>125</v>
          </cell>
          <cell r="I82">
            <v>12</v>
          </cell>
          <cell r="J82" t="str">
            <v>-</v>
          </cell>
          <cell r="K82">
            <v>125</v>
          </cell>
          <cell r="N82">
            <v>53.035012987013005</v>
          </cell>
          <cell r="R82" t="str">
            <v xml:space="preserve">bawah </v>
          </cell>
        </row>
        <row r="84">
          <cell r="B84" t="str">
            <v>Plat Precast</v>
          </cell>
        </row>
        <row r="85">
          <cell r="D85" t="str">
            <v>Bj</v>
          </cell>
          <cell r="E85" t="str">
            <v>panjang</v>
          </cell>
          <cell r="F85" t="str">
            <v>Berat</v>
          </cell>
          <cell r="L85" t="str">
            <v>Jumlah besi vertikal</v>
          </cell>
          <cell r="O85" t="str">
            <v>Luas bekisting</v>
          </cell>
        </row>
        <row r="86">
          <cell r="B86" t="str">
            <v>vertikal</v>
          </cell>
          <cell r="C86" t="str">
            <v>besi 10</v>
          </cell>
          <cell r="D86">
            <v>0.6166666666666667</v>
          </cell>
          <cell r="E86">
            <v>3.3678999999999997</v>
          </cell>
          <cell r="F86">
            <v>15.922682777777776</v>
          </cell>
          <cell r="I86">
            <v>7.666666666666667</v>
          </cell>
          <cell r="L86">
            <v>7.666666666666667</v>
          </cell>
          <cell r="O86">
            <v>10.56910569105691</v>
          </cell>
          <cell r="T86">
            <v>1</v>
          </cell>
          <cell r="V86">
            <v>0</v>
          </cell>
          <cell r="W86">
            <v>0</v>
          </cell>
          <cell r="X86">
            <v>0</v>
          </cell>
          <cell r="Y86">
            <v>0</v>
          </cell>
          <cell r="Z86">
            <v>0</v>
          </cell>
          <cell r="AA86">
            <v>0</v>
          </cell>
          <cell r="AB86">
            <v>4</v>
          </cell>
        </row>
        <row r="87">
          <cell r="C87" t="str">
            <v>besi 12</v>
          </cell>
          <cell r="D87">
            <v>0.89170000000000005</v>
          </cell>
          <cell r="F87">
            <v>0</v>
          </cell>
          <cell r="I87">
            <v>12.111111111111111</v>
          </cell>
          <cell r="L87" t="str">
            <v>Volume beton</v>
          </cell>
        </row>
        <row r="88">
          <cell r="B88" t="str">
            <v>horisontal</v>
          </cell>
          <cell r="C88" t="str">
            <v>besi 10</v>
          </cell>
          <cell r="D88">
            <v>0.6166666666666667</v>
          </cell>
          <cell r="E88">
            <v>16</v>
          </cell>
          <cell r="F88">
            <v>9.8666666666666671</v>
          </cell>
          <cell r="L88">
            <v>0.1845</v>
          </cell>
        </row>
        <row r="89">
          <cell r="C89" t="str">
            <v>besi 12</v>
          </cell>
          <cell r="D89">
            <v>0.89170000000000005</v>
          </cell>
          <cell r="E89">
            <v>4</v>
          </cell>
          <cell r="F89">
            <v>3.5668000000000002</v>
          </cell>
          <cell r="L89" t="str">
            <v>Berat besi per m3 beton</v>
          </cell>
        </row>
        <row r="90">
          <cell r="F90">
            <v>29.356149444444444</v>
          </cell>
          <cell r="G90" t="str">
            <v>total</v>
          </cell>
          <cell r="L90">
            <v>159.11192110809998</v>
          </cell>
        </row>
        <row r="91">
          <cell r="S91">
            <v>0</v>
          </cell>
          <cell r="T91">
            <v>1</v>
          </cell>
          <cell r="U91">
            <v>0</v>
          </cell>
          <cell r="V91">
            <v>0</v>
          </cell>
          <cell r="W91">
            <v>0</v>
          </cell>
          <cell r="X91">
            <v>0</v>
          </cell>
          <cell r="Y91">
            <v>0</v>
          </cell>
          <cell r="Z91">
            <v>0</v>
          </cell>
          <cell r="AA91">
            <v>0</v>
          </cell>
          <cell r="AB91">
            <v>3</v>
          </cell>
        </row>
        <row r="96">
          <cell r="B96" t="str">
            <v>G"</v>
          </cell>
          <cell r="C96">
            <v>6</v>
          </cell>
          <cell r="D96">
            <v>4.5999999999999996</v>
          </cell>
          <cell r="E96">
            <v>0.12</v>
          </cell>
          <cell r="F96">
            <v>12</v>
          </cell>
          <cell r="G96" t="str">
            <v>-</v>
          </cell>
          <cell r="H96">
            <v>200</v>
          </cell>
          <cell r="I96">
            <v>12</v>
          </cell>
          <cell r="J96" t="str">
            <v>-</v>
          </cell>
          <cell r="K96">
            <v>200</v>
          </cell>
          <cell r="N96">
            <v>45.299347826086965</v>
          </cell>
          <cell r="Q96">
            <v>8.3333333333333339</v>
          </cell>
          <cell r="R96" t="str">
            <v>atas</v>
          </cell>
          <cell r="S96">
            <v>3.3119999999999998</v>
          </cell>
          <cell r="T96">
            <v>1</v>
          </cell>
          <cell r="U96">
            <v>3.3119999999999998</v>
          </cell>
          <cell r="V96">
            <v>28.219021739130437</v>
          </cell>
          <cell r="W96">
            <v>45.299347826086965</v>
          </cell>
          <cell r="X96">
            <v>93.461399999999998</v>
          </cell>
          <cell r="Y96">
            <v>150.03144000000003</v>
          </cell>
          <cell r="Z96">
            <v>0</v>
          </cell>
          <cell r="AA96">
            <v>0</v>
          </cell>
          <cell r="AB96">
            <v>8</v>
          </cell>
        </row>
        <row r="97">
          <cell r="F97">
            <v>12</v>
          </cell>
          <cell r="G97" t="str">
            <v>-</v>
          </cell>
          <cell r="H97">
            <v>200</v>
          </cell>
          <cell r="I97">
            <v>12</v>
          </cell>
          <cell r="J97" t="str">
            <v>-</v>
          </cell>
          <cell r="K97">
            <v>200</v>
          </cell>
          <cell r="N97">
            <v>40.635391304347827</v>
          </cell>
          <cell r="R97" t="str">
            <v xml:space="preserve">bawah </v>
          </cell>
        </row>
        <row r="98">
          <cell r="F98">
            <v>10</v>
          </cell>
          <cell r="G98" t="str">
            <v>-</v>
          </cell>
          <cell r="H98">
            <v>200</v>
          </cell>
          <cell r="I98">
            <v>10</v>
          </cell>
          <cell r="J98" t="str">
            <v>-</v>
          </cell>
          <cell r="K98">
            <v>200</v>
          </cell>
          <cell r="M98">
            <v>28.219021739130437</v>
          </cell>
          <cell r="R98" t="str">
            <v xml:space="preserve">bawah </v>
          </cell>
        </row>
        <row r="99">
          <cell r="F99">
            <v>10</v>
          </cell>
          <cell r="G99" t="str">
            <v>-</v>
          </cell>
          <cell r="H99">
            <v>300</v>
          </cell>
          <cell r="I99">
            <v>10</v>
          </cell>
          <cell r="J99" t="str">
            <v>-</v>
          </cell>
          <cell r="K99">
            <v>300</v>
          </cell>
          <cell r="M99">
            <v>38.940760869565217</v>
          </cell>
          <cell r="R99" t="str">
            <v xml:space="preserve">susut </v>
          </cell>
        </row>
        <row r="101">
          <cell r="B101" t="str">
            <v>H"</v>
          </cell>
          <cell r="C101">
            <v>8</v>
          </cell>
          <cell r="D101">
            <v>3.5</v>
          </cell>
          <cell r="E101">
            <v>0.12</v>
          </cell>
          <cell r="F101">
            <v>12</v>
          </cell>
          <cell r="G101" t="str">
            <v>-</v>
          </cell>
          <cell r="H101">
            <v>200</v>
          </cell>
          <cell r="I101">
            <v>12</v>
          </cell>
          <cell r="J101" t="str">
            <v>-</v>
          </cell>
          <cell r="K101">
            <v>200</v>
          </cell>
          <cell r="N101">
            <v>45.471278571428577</v>
          </cell>
          <cell r="Q101">
            <v>8.3333333333333339</v>
          </cell>
          <cell r="R101" t="str">
            <v>atas</v>
          </cell>
          <cell r="S101">
            <v>3.36</v>
          </cell>
          <cell r="T101">
            <v>2</v>
          </cell>
          <cell r="U101">
            <v>6.72</v>
          </cell>
          <cell r="V101">
            <v>28.164508928571429</v>
          </cell>
          <cell r="W101">
            <v>45.471278571428577</v>
          </cell>
          <cell r="X101">
            <v>189.2655</v>
          </cell>
          <cell r="Y101">
            <v>305.56699200000003</v>
          </cell>
          <cell r="Z101">
            <v>0</v>
          </cell>
          <cell r="AA101">
            <v>0</v>
          </cell>
          <cell r="AB101">
            <v>9</v>
          </cell>
        </row>
        <row r="102">
          <cell r="F102">
            <v>12</v>
          </cell>
          <cell r="G102" t="str">
            <v>-</v>
          </cell>
          <cell r="H102">
            <v>200</v>
          </cell>
          <cell r="I102">
            <v>12</v>
          </cell>
          <cell r="J102" t="str">
            <v>-</v>
          </cell>
          <cell r="K102">
            <v>200</v>
          </cell>
          <cell r="N102">
            <v>40.556892857142863</v>
          </cell>
          <cell r="R102" t="str">
            <v xml:space="preserve">bawah </v>
          </cell>
        </row>
        <row r="103">
          <cell r="F103">
            <v>10</v>
          </cell>
          <cell r="G103" t="str">
            <v>-</v>
          </cell>
          <cell r="H103">
            <v>200</v>
          </cell>
          <cell r="I103">
            <v>10</v>
          </cell>
          <cell r="J103" t="str">
            <v>-</v>
          </cell>
          <cell r="K103">
            <v>200</v>
          </cell>
          <cell r="M103">
            <v>28.164508928571429</v>
          </cell>
          <cell r="R103" t="str">
            <v xml:space="preserve">bawah </v>
          </cell>
        </row>
        <row r="104">
          <cell r="F104">
            <v>10</v>
          </cell>
          <cell r="G104" t="str">
            <v>-</v>
          </cell>
          <cell r="H104">
            <v>300</v>
          </cell>
          <cell r="I104">
            <v>10</v>
          </cell>
          <cell r="J104" t="str">
            <v>-</v>
          </cell>
          <cell r="K104">
            <v>300</v>
          </cell>
          <cell r="M104">
            <v>39.815625000000004</v>
          </cell>
          <cell r="R104" t="str">
            <v xml:space="preserve">susut </v>
          </cell>
        </row>
        <row r="111">
          <cell r="B111" t="str">
            <v>J"</v>
          </cell>
          <cell r="C111">
            <v>4.5</v>
          </cell>
          <cell r="D111">
            <v>4.5999999999999996</v>
          </cell>
          <cell r="E111">
            <v>0.12</v>
          </cell>
          <cell r="F111">
            <v>12</v>
          </cell>
          <cell r="G111" t="str">
            <v>-</v>
          </cell>
          <cell r="H111">
            <v>200</v>
          </cell>
          <cell r="I111">
            <v>12</v>
          </cell>
          <cell r="J111" t="str">
            <v>-</v>
          </cell>
          <cell r="K111">
            <v>200</v>
          </cell>
          <cell r="N111">
            <v>47.854695652173909</v>
          </cell>
          <cell r="Q111">
            <v>8.3333333333333339</v>
          </cell>
          <cell r="R111" t="str">
            <v>atas</v>
          </cell>
          <cell r="S111">
            <v>2.484</v>
          </cell>
          <cell r="T111">
            <v>1</v>
          </cell>
          <cell r="U111">
            <v>2.484</v>
          </cell>
          <cell r="V111">
            <v>29.360688405797102</v>
          </cell>
          <cell r="W111">
            <v>47.854695652173909</v>
          </cell>
          <cell r="X111">
            <v>72.931950000000001</v>
          </cell>
          <cell r="Y111">
            <v>118.87106399999999</v>
          </cell>
          <cell r="Z111">
            <v>0</v>
          </cell>
          <cell r="AA111">
            <v>0</v>
          </cell>
          <cell r="AB111">
            <v>7</v>
          </cell>
        </row>
        <row r="112">
          <cell r="F112">
            <v>12</v>
          </cell>
          <cell r="G112" t="str">
            <v>-</v>
          </cell>
          <cell r="H112">
            <v>200</v>
          </cell>
          <cell r="I112">
            <v>12</v>
          </cell>
          <cell r="J112" t="str">
            <v>-</v>
          </cell>
          <cell r="K112">
            <v>200</v>
          </cell>
          <cell r="N112">
            <v>42.279391304347833</v>
          </cell>
          <cell r="R112" t="str">
            <v xml:space="preserve">bawah </v>
          </cell>
        </row>
        <row r="113">
          <cell r="F113">
            <v>10</v>
          </cell>
          <cell r="G113" t="str">
            <v>-</v>
          </cell>
          <cell r="H113">
            <v>200</v>
          </cell>
          <cell r="I113">
            <v>10</v>
          </cell>
          <cell r="J113" t="str">
            <v>-</v>
          </cell>
          <cell r="K113">
            <v>200</v>
          </cell>
          <cell r="M113">
            <v>29.360688405797102</v>
          </cell>
          <cell r="R113" t="str">
            <v xml:space="preserve">bawah </v>
          </cell>
        </row>
        <row r="114">
          <cell r="F114">
            <v>10</v>
          </cell>
          <cell r="G114" t="str">
            <v>-</v>
          </cell>
          <cell r="H114">
            <v>300</v>
          </cell>
          <cell r="I114">
            <v>10</v>
          </cell>
          <cell r="J114" t="str">
            <v>-</v>
          </cell>
          <cell r="K114">
            <v>300</v>
          </cell>
          <cell r="M114">
            <v>40.653260869565223</v>
          </cell>
          <cell r="R114" t="str">
            <v xml:space="preserve">susut </v>
          </cell>
        </row>
        <row r="115">
          <cell r="X115" t="str">
            <v>Ø 10</v>
          </cell>
          <cell r="Y115" t="str">
            <v>Ø 12</v>
          </cell>
        </row>
        <row r="126">
          <cell r="B126" t="str">
            <v>B'</v>
          </cell>
          <cell r="C126">
            <v>3.33</v>
          </cell>
          <cell r="D126">
            <v>2</v>
          </cell>
          <cell r="E126">
            <v>0.12</v>
          </cell>
          <cell r="F126">
            <v>10</v>
          </cell>
          <cell r="G126" t="str">
            <v>-</v>
          </cell>
          <cell r="H126">
            <v>175</v>
          </cell>
          <cell r="I126">
            <v>10</v>
          </cell>
          <cell r="J126" t="str">
            <v>-</v>
          </cell>
          <cell r="K126">
            <v>175</v>
          </cell>
          <cell r="M126">
            <v>43.283051801801804</v>
          </cell>
          <cell r="Q126">
            <v>8.3333333333333339</v>
          </cell>
          <cell r="R126" t="str">
            <v>atas</v>
          </cell>
        </row>
        <row r="127">
          <cell r="F127">
            <v>10</v>
          </cell>
          <cell r="G127" t="str">
            <v>-</v>
          </cell>
          <cell r="H127">
            <v>175</v>
          </cell>
          <cell r="I127">
            <v>10</v>
          </cell>
          <cell r="J127" t="str">
            <v>-</v>
          </cell>
          <cell r="K127">
            <v>175</v>
          </cell>
          <cell r="M127">
            <v>34.951970720720723</v>
          </cell>
          <cell r="R127" t="str">
            <v xml:space="preserve">bawah </v>
          </cell>
        </row>
        <row r="128">
          <cell r="F128">
            <v>10</v>
          </cell>
          <cell r="G128" t="str">
            <v>-</v>
          </cell>
          <cell r="H128">
            <v>175</v>
          </cell>
          <cell r="I128">
            <v>10</v>
          </cell>
          <cell r="J128" t="str">
            <v>-</v>
          </cell>
          <cell r="K128">
            <v>175</v>
          </cell>
          <cell r="M128">
            <v>43.283051801801804</v>
          </cell>
          <cell r="R128" t="str">
            <v xml:space="preserve">bawah </v>
          </cell>
        </row>
        <row r="129">
          <cell r="F129">
            <v>8</v>
          </cell>
          <cell r="G129" t="str">
            <v>-</v>
          </cell>
          <cell r="H129">
            <v>300</v>
          </cell>
          <cell r="I129">
            <v>8</v>
          </cell>
          <cell r="J129" t="str">
            <v>-</v>
          </cell>
          <cell r="K129">
            <v>300</v>
          </cell>
          <cell r="L129">
            <v>30.263423423423422</v>
          </cell>
          <cell r="R129" t="str">
            <v xml:space="preserve">susut </v>
          </cell>
        </row>
        <row r="131">
          <cell r="B131" t="str">
            <v>C'</v>
          </cell>
          <cell r="C131">
            <v>2</v>
          </cell>
          <cell r="D131">
            <v>6</v>
          </cell>
          <cell r="E131">
            <v>0.12</v>
          </cell>
          <cell r="F131">
            <v>10</v>
          </cell>
          <cell r="G131" t="str">
            <v>-</v>
          </cell>
          <cell r="H131">
            <v>175</v>
          </cell>
          <cell r="I131">
            <v>10</v>
          </cell>
          <cell r="J131" t="str">
            <v>-</v>
          </cell>
          <cell r="K131">
            <v>175</v>
          </cell>
          <cell r="M131">
            <v>40.928750000000001</v>
          </cell>
          <cell r="Q131">
            <v>8.3333333333333339</v>
          </cell>
          <cell r="R131" t="str">
            <v>atas</v>
          </cell>
        </row>
        <row r="132">
          <cell r="F132">
            <v>10</v>
          </cell>
          <cell r="G132" t="str">
            <v>-</v>
          </cell>
          <cell r="H132">
            <v>175</v>
          </cell>
          <cell r="I132">
            <v>10</v>
          </cell>
          <cell r="J132" t="str">
            <v>-</v>
          </cell>
          <cell r="K132">
            <v>175</v>
          </cell>
          <cell r="M132">
            <v>34.250000000000007</v>
          </cell>
          <cell r="R132" t="str">
            <v xml:space="preserve">bawah </v>
          </cell>
        </row>
        <row r="133">
          <cell r="F133">
            <v>10</v>
          </cell>
          <cell r="G133" t="str">
            <v>-</v>
          </cell>
          <cell r="H133">
            <v>175</v>
          </cell>
          <cell r="I133">
            <v>10</v>
          </cell>
          <cell r="J133" t="str">
            <v>-</v>
          </cell>
          <cell r="K133">
            <v>175</v>
          </cell>
          <cell r="M133">
            <v>40.928750000000001</v>
          </cell>
          <cell r="R133" t="str">
            <v xml:space="preserve">bawah </v>
          </cell>
        </row>
        <row r="134">
          <cell r="F134">
            <v>8</v>
          </cell>
          <cell r="G134" t="str">
            <v>-</v>
          </cell>
          <cell r="H134">
            <v>300</v>
          </cell>
          <cell r="I134">
            <v>8</v>
          </cell>
          <cell r="J134" t="str">
            <v>-</v>
          </cell>
          <cell r="K134">
            <v>300</v>
          </cell>
          <cell r="L134">
            <v>28.496000000000002</v>
          </cell>
          <cell r="R134" t="str">
            <v xml:space="preserve">susut </v>
          </cell>
        </row>
        <row r="136">
          <cell r="B136" t="str">
            <v>D'</v>
          </cell>
          <cell r="C136">
            <v>2</v>
          </cell>
          <cell r="D136">
            <v>4</v>
          </cell>
          <cell r="E136">
            <v>0.12</v>
          </cell>
          <cell r="F136">
            <v>10</v>
          </cell>
          <cell r="G136" t="str">
            <v>-</v>
          </cell>
          <cell r="H136">
            <v>175</v>
          </cell>
          <cell r="I136">
            <v>10</v>
          </cell>
          <cell r="J136" t="str">
            <v>-</v>
          </cell>
          <cell r="K136">
            <v>175</v>
          </cell>
          <cell r="M136">
            <v>42.384374999999999</v>
          </cell>
          <cell r="Q136">
            <v>8.3333333333333339</v>
          </cell>
          <cell r="R136" t="str">
            <v>atas</v>
          </cell>
        </row>
        <row r="137">
          <cell r="F137">
            <v>10</v>
          </cell>
          <cell r="G137" t="str">
            <v>-</v>
          </cell>
          <cell r="H137">
            <v>175</v>
          </cell>
          <cell r="I137">
            <v>10</v>
          </cell>
          <cell r="J137" t="str">
            <v>-</v>
          </cell>
          <cell r="K137">
            <v>175</v>
          </cell>
          <cell r="M137">
            <v>34.678125000000009</v>
          </cell>
          <cell r="R137" t="str">
            <v xml:space="preserve">bawah </v>
          </cell>
        </row>
        <row r="138">
          <cell r="F138">
            <v>10</v>
          </cell>
          <cell r="G138" t="str">
            <v>-</v>
          </cell>
          <cell r="H138">
            <v>175</v>
          </cell>
          <cell r="I138">
            <v>10</v>
          </cell>
          <cell r="J138" t="str">
            <v>-</v>
          </cell>
          <cell r="K138">
            <v>175</v>
          </cell>
          <cell r="M138">
            <v>42.384374999999999</v>
          </cell>
          <cell r="R138" t="str">
            <v xml:space="preserve">bawah </v>
          </cell>
        </row>
        <row r="139">
          <cell r="F139">
            <v>8</v>
          </cell>
          <cell r="G139" t="str">
            <v>-</v>
          </cell>
          <cell r="H139">
            <v>300</v>
          </cell>
          <cell r="I139">
            <v>8</v>
          </cell>
          <cell r="J139" t="str">
            <v>-</v>
          </cell>
          <cell r="K139">
            <v>300</v>
          </cell>
          <cell r="L139">
            <v>29.592000000000006</v>
          </cell>
          <cell r="R139" t="str">
            <v xml:space="preserve">susut </v>
          </cell>
        </row>
        <row r="141">
          <cell r="B141" t="str">
            <v>E'</v>
          </cell>
          <cell r="C141">
            <v>2</v>
          </cell>
          <cell r="D141">
            <v>4.6500000000000004</v>
          </cell>
          <cell r="E141">
            <v>0.12</v>
          </cell>
          <cell r="F141">
            <v>10</v>
          </cell>
          <cell r="G141" t="str">
            <v>-</v>
          </cell>
          <cell r="H141">
            <v>175</v>
          </cell>
          <cell r="I141">
            <v>10</v>
          </cell>
          <cell r="J141" t="str">
            <v>-</v>
          </cell>
          <cell r="K141">
            <v>175</v>
          </cell>
          <cell r="M141">
            <v>41.845766129032256</v>
          </cell>
          <cell r="Q141">
            <v>8.3333333333333339</v>
          </cell>
          <cell r="R141" t="str">
            <v>atas</v>
          </cell>
        </row>
        <row r="142">
          <cell r="F142">
            <v>10</v>
          </cell>
          <cell r="G142" t="str">
            <v>-</v>
          </cell>
          <cell r="H142">
            <v>175</v>
          </cell>
          <cell r="I142">
            <v>10</v>
          </cell>
          <cell r="J142" t="str">
            <v>-</v>
          </cell>
          <cell r="K142">
            <v>175</v>
          </cell>
          <cell r="M142">
            <v>34.553830645161291</v>
          </cell>
          <cell r="R142" t="str">
            <v xml:space="preserve">bawah </v>
          </cell>
        </row>
        <row r="143">
          <cell r="F143">
            <v>10</v>
          </cell>
          <cell r="G143" t="str">
            <v>-</v>
          </cell>
          <cell r="H143">
            <v>175</v>
          </cell>
          <cell r="I143">
            <v>10</v>
          </cell>
          <cell r="J143" t="str">
            <v>-</v>
          </cell>
          <cell r="K143">
            <v>175</v>
          </cell>
          <cell r="M143">
            <v>41.845766129032256</v>
          </cell>
          <cell r="R143" t="str">
            <v xml:space="preserve">bawah </v>
          </cell>
        </row>
        <row r="144">
          <cell r="F144">
            <v>8</v>
          </cell>
          <cell r="G144" t="str">
            <v>-</v>
          </cell>
          <cell r="H144">
            <v>300</v>
          </cell>
          <cell r="I144">
            <v>8</v>
          </cell>
          <cell r="J144" t="str">
            <v>-</v>
          </cell>
          <cell r="K144">
            <v>300</v>
          </cell>
          <cell r="L144">
            <v>29.167741935483871</v>
          </cell>
          <cell r="R144" t="str">
            <v xml:space="preserve">susut </v>
          </cell>
        </row>
        <row r="147">
          <cell r="B147" t="str">
            <v>A</v>
          </cell>
          <cell r="C147">
            <v>2</v>
          </cell>
          <cell r="D147">
            <v>2.6</v>
          </cell>
          <cell r="E147">
            <v>0.12</v>
          </cell>
          <cell r="F147">
            <v>10</v>
          </cell>
          <cell r="G147" t="str">
            <v>-</v>
          </cell>
          <cell r="H147">
            <v>175</v>
          </cell>
          <cell r="I147">
            <v>10</v>
          </cell>
          <cell r="J147" t="str">
            <v>-</v>
          </cell>
          <cell r="K147">
            <v>175</v>
          </cell>
          <cell r="M147">
            <v>45.249519230769238</v>
          </cell>
          <cell r="Q147">
            <v>8.3333333333333339</v>
          </cell>
          <cell r="R147" t="str">
            <v>atas</v>
          </cell>
        </row>
        <row r="148">
          <cell r="F148">
            <v>10</v>
          </cell>
          <cell r="G148" t="str">
            <v>-</v>
          </cell>
          <cell r="H148">
            <v>175</v>
          </cell>
          <cell r="I148">
            <v>10</v>
          </cell>
          <cell r="J148" t="str">
            <v>-</v>
          </cell>
          <cell r="K148">
            <v>175</v>
          </cell>
          <cell r="M148">
            <v>35.76490384615385</v>
          </cell>
          <cell r="R148" t="str">
            <v xml:space="preserve">bawah </v>
          </cell>
          <cell r="T148" t="str">
            <v>SAMBUNGANE TULANGAN ATAS</v>
          </cell>
        </row>
        <row r="149">
          <cell r="F149">
            <v>10</v>
          </cell>
          <cell r="G149" t="str">
            <v>-</v>
          </cell>
          <cell r="H149">
            <v>175</v>
          </cell>
          <cell r="I149">
            <v>10</v>
          </cell>
          <cell r="J149" t="str">
            <v>-</v>
          </cell>
          <cell r="K149">
            <v>175</v>
          </cell>
          <cell r="M149">
            <v>45.249519230769238</v>
          </cell>
          <cell r="R149" t="str">
            <v xml:space="preserve">bawah </v>
          </cell>
          <cell r="T149" t="str">
            <v xml:space="preserve">TULANGAN TUMPUAN BAGIAN BAWAH </v>
          </cell>
        </row>
        <row r="150">
          <cell r="F150">
            <v>8</v>
          </cell>
          <cell r="G150" t="str">
            <v>-</v>
          </cell>
          <cell r="H150">
            <v>300</v>
          </cell>
          <cell r="I150">
            <v>8</v>
          </cell>
          <cell r="J150" t="str">
            <v>-</v>
          </cell>
          <cell r="K150">
            <v>300</v>
          </cell>
          <cell r="L150">
            <v>31.615384615384617</v>
          </cell>
          <cell r="R150" t="str">
            <v xml:space="preserve">susut </v>
          </cell>
        </row>
        <row r="152">
          <cell r="B152" t="str">
            <v>B</v>
          </cell>
          <cell r="C152">
            <v>2.6</v>
          </cell>
          <cell r="D152">
            <v>3</v>
          </cell>
          <cell r="E152">
            <v>0.12</v>
          </cell>
          <cell r="F152">
            <v>10</v>
          </cell>
          <cell r="G152" t="str">
            <v>-</v>
          </cell>
          <cell r="H152">
            <v>175</v>
          </cell>
          <cell r="I152">
            <v>10</v>
          </cell>
          <cell r="J152" t="str">
            <v>-</v>
          </cell>
          <cell r="K152">
            <v>175</v>
          </cell>
          <cell r="M152">
            <v>42.417307692307695</v>
          </cell>
          <cell r="Q152">
            <v>8.3333333333333339</v>
          </cell>
          <cell r="R152" t="str">
            <v>atas</v>
          </cell>
        </row>
        <row r="153">
          <cell r="F153">
            <v>10</v>
          </cell>
          <cell r="G153" t="str">
            <v>-</v>
          </cell>
          <cell r="H153">
            <v>175</v>
          </cell>
          <cell r="I153">
            <v>10</v>
          </cell>
          <cell r="J153" t="str">
            <v>-</v>
          </cell>
          <cell r="K153">
            <v>175</v>
          </cell>
          <cell r="M153">
            <v>34.908653846153847</v>
          </cell>
          <cell r="R153" t="str">
            <v xml:space="preserve">bawah </v>
          </cell>
        </row>
        <row r="154">
          <cell r="F154">
            <v>10</v>
          </cell>
          <cell r="G154" t="str">
            <v>-</v>
          </cell>
          <cell r="H154">
            <v>175</v>
          </cell>
          <cell r="I154">
            <v>10</v>
          </cell>
          <cell r="J154" t="str">
            <v>-</v>
          </cell>
          <cell r="K154">
            <v>175</v>
          </cell>
          <cell r="M154">
            <v>42.417307692307695</v>
          </cell>
          <cell r="R154" t="str">
            <v xml:space="preserve">bawah </v>
          </cell>
        </row>
        <row r="155">
          <cell r="F155">
            <v>8</v>
          </cell>
          <cell r="G155" t="str">
            <v>-</v>
          </cell>
          <cell r="H155">
            <v>300</v>
          </cell>
          <cell r="I155">
            <v>8</v>
          </cell>
          <cell r="J155" t="str">
            <v>-</v>
          </cell>
          <cell r="K155">
            <v>300</v>
          </cell>
          <cell r="L155">
            <v>28.327384615384616</v>
          </cell>
          <cell r="R155" t="str">
            <v xml:space="preserve">susut </v>
          </cell>
        </row>
        <row r="157">
          <cell r="B157" t="str">
            <v>C</v>
          </cell>
          <cell r="C157">
            <v>2.6</v>
          </cell>
          <cell r="D157">
            <v>4</v>
          </cell>
          <cell r="E157">
            <v>0.12</v>
          </cell>
          <cell r="F157">
            <v>10</v>
          </cell>
          <cell r="G157" t="str">
            <v>-</v>
          </cell>
          <cell r="H157">
            <v>175</v>
          </cell>
          <cell r="I157">
            <v>10</v>
          </cell>
          <cell r="J157" t="str">
            <v>-</v>
          </cell>
          <cell r="K157">
            <v>175</v>
          </cell>
          <cell r="M157">
            <v>41.001201923076927</v>
          </cell>
          <cell r="Q157">
            <v>8.3333333333333339</v>
          </cell>
          <cell r="R157" t="str">
            <v>atas</v>
          </cell>
        </row>
        <row r="158">
          <cell r="F158">
            <v>10</v>
          </cell>
          <cell r="G158" t="str">
            <v>-</v>
          </cell>
          <cell r="H158">
            <v>175</v>
          </cell>
          <cell r="I158">
            <v>10</v>
          </cell>
          <cell r="J158" t="str">
            <v>-</v>
          </cell>
          <cell r="K158">
            <v>175</v>
          </cell>
          <cell r="M158">
            <v>34.480528846153852</v>
          </cell>
          <cell r="R158" t="str">
            <v xml:space="preserve">bawah </v>
          </cell>
        </row>
        <row r="159">
          <cell r="F159">
            <v>10</v>
          </cell>
          <cell r="G159" t="str">
            <v>-</v>
          </cell>
          <cell r="H159">
            <v>175</v>
          </cell>
          <cell r="I159">
            <v>10</v>
          </cell>
          <cell r="J159" t="str">
            <v>-</v>
          </cell>
          <cell r="K159">
            <v>175</v>
          </cell>
          <cell r="M159">
            <v>41.001201923076927</v>
          </cell>
          <cell r="R159" t="str">
            <v xml:space="preserve">bawah </v>
          </cell>
        </row>
        <row r="160">
          <cell r="F160">
            <v>8</v>
          </cell>
          <cell r="G160" t="str">
            <v>-</v>
          </cell>
          <cell r="H160">
            <v>300</v>
          </cell>
          <cell r="I160">
            <v>8</v>
          </cell>
          <cell r="J160" t="str">
            <v>-</v>
          </cell>
          <cell r="K160">
            <v>300</v>
          </cell>
          <cell r="L160">
            <v>28.327384615384613</v>
          </cell>
          <cell r="R160" t="str">
            <v xml:space="preserve">susut </v>
          </cell>
        </row>
        <row r="162">
          <cell r="B162" t="str">
            <v>D</v>
          </cell>
          <cell r="C162">
            <v>2.35</v>
          </cell>
          <cell r="D162">
            <v>3</v>
          </cell>
          <cell r="E162">
            <v>0.12</v>
          </cell>
          <cell r="F162">
            <v>10</v>
          </cell>
          <cell r="G162" t="str">
            <v>-</v>
          </cell>
          <cell r="H162">
            <v>175</v>
          </cell>
          <cell r="I162">
            <v>10</v>
          </cell>
          <cell r="J162" t="str">
            <v>-</v>
          </cell>
          <cell r="K162">
            <v>175</v>
          </cell>
          <cell r="M162">
            <v>42.4845744680851</v>
          </cell>
          <cell r="Q162">
            <v>8.3333333333333339</v>
          </cell>
          <cell r="R162" t="str">
            <v>atas</v>
          </cell>
        </row>
        <row r="163">
          <cell r="F163">
            <v>10</v>
          </cell>
          <cell r="G163" t="str">
            <v>-</v>
          </cell>
          <cell r="H163">
            <v>175</v>
          </cell>
          <cell r="I163">
            <v>10</v>
          </cell>
          <cell r="J163" t="str">
            <v>-</v>
          </cell>
          <cell r="K163">
            <v>175</v>
          </cell>
          <cell r="M163">
            <v>34.61436170212766</v>
          </cell>
          <cell r="R163" t="str">
            <v xml:space="preserve">bawah </v>
          </cell>
        </row>
        <row r="164">
          <cell r="F164">
            <v>10</v>
          </cell>
          <cell r="G164" t="str">
            <v>-</v>
          </cell>
          <cell r="H164">
            <v>175</v>
          </cell>
          <cell r="I164">
            <v>10</v>
          </cell>
          <cell r="J164" t="str">
            <v>-</v>
          </cell>
          <cell r="K164">
            <v>175</v>
          </cell>
          <cell r="M164">
            <v>42.4845744680851</v>
          </cell>
          <cell r="R164" t="str">
            <v xml:space="preserve">bawah </v>
          </cell>
        </row>
        <row r="165">
          <cell r="F165">
            <v>8</v>
          </cell>
          <cell r="G165" t="str">
            <v>-</v>
          </cell>
          <cell r="H165">
            <v>300</v>
          </cell>
          <cell r="I165">
            <v>8</v>
          </cell>
          <cell r="J165" t="str">
            <v>-</v>
          </cell>
          <cell r="K165">
            <v>300</v>
          </cell>
          <cell r="L165">
            <v>27.143489361702127</v>
          </cell>
          <cell r="R165" t="str">
            <v xml:space="preserve">susut </v>
          </cell>
        </row>
        <row r="167">
          <cell r="B167" t="str">
            <v>E</v>
          </cell>
          <cell r="C167">
            <v>3</v>
          </cell>
          <cell r="D167">
            <v>3</v>
          </cell>
          <cell r="E167">
            <v>0.12</v>
          </cell>
          <cell r="F167">
            <v>10</v>
          </cell>
          <cell r="G167" t="str">
            <v>-</v>
          </cell>
          <cell r="H167">
            <v>175</v>
          </cell>
          <cell r="I167">
            <v>10</v>
          </cell>
          <cell r="J167" t="str">
            <v>-</v>
          </cell>
          <cell r="K167">
            <v>175</v>
          </cell>
          <cell r="M167">
            <v>41.1</v>
          </cell>
          <cell r="Q167">
            <v>8.3333333333333321</v>
          </cell>
          <cell r="R167" t="str">
            <v>atas</v>
          </cell>
        </row>
        <row r="168">
          <cell r="F168">
            <v>10</v>
          </cell>
          <cell r="G168" t="str">
            <v>-</v>
          </cell>
          <cell r="H168">
            <v>175</v>
          </cell>
          <cell r="I168">
            <v>10</v>
          </cell>
          <cell r="J168" t="str">
            <v>-</v>
          </cell>
          <cell r="K168">
            <v>175</v>
          </cell>
          <cell r="M168">
            <v>34.25</v>
          </cell>
          <cell r="R168" t="str">
            <v xml:space="preserve">bawah </v>
          </cell>
        </row>
        <row r="169">
          <cell r="F169">
            <v>10</v>
          </cell>
          <cell r="G169" t="str">
            <v>-</v>
          </cell>
          <cell r="H169">
            <v>175</v>
          </cell>
          <cell r="I169">
            <v>10</v>
          </cell>
          <cell r="J169" t="str">
            <v>-</v>
          </cell>
          <cell r="K169">
            <v>175</v>
          </cell>
          <cell r="M169">
            <v>41.1</v>
          </cell>
          <cell r="R169" t="str">
            <v xml:space="preserve">bawah </v>
          </cell>
        </row>
        <row r="170">
          <cell r="F170">
            <v>8</v>
          </cell>
          <cell r="G170" t="str">
            <v>-</v>
          </cell>
          <cell r="H170">
            <v>300</v>
          </cell>
          <cell r="I170">
            <v>8</v>
          </cell>
          <cell r="J170" t="str">
            <v>-</v>
          </cell>
          <cell r="K170">
            <v>300</v>
          </cell>
          <cell r="L170">
            <v>26.304000000000002</v>
          </cell>
          <cell r="R170" t="str">
            <v xml:space="preserve">susut </v>
          </cell>
        </row>
        <row r="172">
          <cell r="B172" t="str">
            <v>F</v>
          </cell>
          <cell r="C172">
            <v>4</v>
          </cell>
          <cell r="D172">
            <v>4.7</v>
          </cell>
          <cell r="E172">
            <v>0.12</v>
          </cell>
          <cell r="F172">
            <v>10</v>
          </cell>
          <cell r="G172" t="str">
            <v>-</v>
          </cell>
          <cell r="H172">
            <v>175</v>
          </cell>
          <cell r="I172">
            <v>10</v>
          </cell>
          <cell r="J172" t="str">
            <v>-</v>
          </cell>
          <cell r="K172">
            <v>175</v>
          </cell>
          <cell r="M172">
            <v>37.684109042553196</v>
          </cell>
          <cell r="Q172">
            <v>8.3333333333333339</v>
          </cell>
          <cell r="R172" t="str">
            <v>atas</v>
          </cell>
        </row>
        <row r="173">
          <cell r="F173">
            <v>10</v>
          </cell>
          <cell r="G173" t="str">
            <v>-</v>
          </cell>
          <cell r="H173">
            <v>175</v>
          </cell>
          <cell r="I173">
            <v>10</v>
          </cell>
          <cell r="J173" t="str">
            <v>-</v>
          </cell>
          <cell r="K173">
            <v>175</v>
          </cell>
          <cell r="M173">
            <v>33.093151595744686</v>
          </cell>
          <cell r="R173" t="str">
            <v xml:space="preserve">bawah </v>
          </cell>
        </row>
        <row r="174">
          <cell r="F174">
            <v>10</v>
          </cell>
          <cell r="G174" t="str">
            <v>-</v>
          </cell>
          <cell r="H174">
            <v>175</v>
          </cell>
          <cell r="I174">
            <v>10</v>
          </cell>
          <cell r="J174" t="str">
            <v>-</v>
          </cell>
          <cell r="K174">
            <v>175</v>
          </cell>
          <cell r="M174">
            <v>37.684109042553196</v>
          </cell>
          <cell r="R174" t="str">
            <v xml:space="preserve">bawah </v>
          </cell>
        </row>
        <row r="175">
          <cell r="F175">
            <v>8</v>
          </cell>
          <cell r="G175" t="str">
            <v>-</v>
          </cell>
          <cell r="H175">
            <v>300</v>
          </cell>
          <cell r="I175">
            <v>8</v>
          </cell>
          <cell r="J175" t="str">
            <v>-</v>
          </cell>
          <cell r="K175">
            <v>300</v>
          </cell>
          <cell r="L175">
            <v>25.744340425531917</v>
          </cell>
          <cell r="R175" t="str">
            <v xml:space="preserve">susut </v>
          </cell>
        </row>
        <row r="177">
          <cell r="B177" t="str">
            <v>G</v>
          </cell>
          <cell r="C177">
            <v>2</v>
          </cell>
          <cell r="D177">
            <v>6</v>
          </cell>
          <cell r="E177">
            <v>0.12</v>
          </cell>
          <cell r="F177">
            <v>10</v>
          </cell>
          <cell r="G177" t="str">
            <v>-</v>
          </cell>
          <cell r="H177">
            <v>175</v>
          </cell>
          <cell r="I177">
            <v>10</v>
          </cell>
          <cell r="J177" t="str">
            <v>-</v>
          </cell>
          <cell r="K177">
            <v>175</v>
          </cell>
          <cell r="M177">
            <v>40.928750000000001</v>
          </cell>
          <cell r="Q177">
            <v>8.3333333333333339</v>
          </cell>
          <cell r="R177" t="str">
            <v>atas</v>
          </cell>
        </row>
        <row r="178">
          <cell r="F178">
            <v>10</v>
          </cell>
          <cell r="G178" t="str">
            <v>-</v>
          </cell>
          <cell r="H178">
            <v>175</v>
          </cell>
          <cell r="I178">
            <v>10</v>
          </cell>
          <cell r="J178" t="str">
            <v>-</v>
          </cell>
          <cell r="K178">
            <v>175</v>
          </cell>
          <cell r="M178">
            <v>34.250000000000007</v>
          </cell>
          <cell r="R178" t="str">
            <v xml:space="preserve">bawah </v>
          </cell>
        </row>
        <row r="179">
          <cell r="F179">
            <v>10</v>
          </cell>
          <cell r="G179" t="str">
            <v>-</v>
          </cell>
          <cell r="H179">
            <v>175</v>
          </cell>
          <cell r="I179">
            <v>10</v>
          </cell>
          <cell r="J179" t="str">
            <v>-</v>
          </cell>
          <cell r="K179">
            <v>175</v>
          </cell>
          <cell r="M179">
            <v>40.928750000000001</v>
          </cell>
          <cell r="R179" t="str">
            <v xml:space="preserve">bawah </v>
          </cell>
        </row>
        <row r="180">
          <cell r="F180">
            <v>8</v>
          </cell>
          <cell r="G180" t="str">
            <v>-</v>
          </cell>
          <cell r="H180">
            <v>300</v>
          </cell>
          <cell r="I180">
            <v>8</v>
          </cell>
          <cell r="J180" t="str">
            <v>-</v>
          </cell>
          <cell r="K180">
            <v>300</v>
          </cell>
          <cell r="L180">
            <v>28.496000000000002</v>
          </cell>
          <cell r="R180" t="str">
            <v xml:space="preserve">susut </v>
          </cell>
        </row>
        <row r="182">
          <cell r="B182" t="str">
            <v>H</v>
          </cell>
          <cell r="C182">
            <v>3</v>
          </cell>
          <cell r="D182">
            <v>4.5</v>
          </cell>
          <cell r="E182">
            <v>0.12</v>
          </cell>
          <cell r="F182">
            <v>10</v>
          </cell>
          <cell r="G182" t="str">
            <v>-</v>
          </cell>
          <cell r="H182">
            <v>175</v>
          </cell>
          <cell r="I182">
            <v>10</v>
          </cell>
          <cell r="J182" t="str">
            <v>-</v>
          </cell>
          <cell r="K182">
            <v>175</v>
          </cell>
          <cell r="M182">
            <v>38.588333333333338</v>
          </cell>
          <cell r="Q182">
            <v>8.3333333333333339</v>
          </cell>
          <cell r="R182" t="str">
            <v>atas</v>
          </cell>
        </row>
        <row r="183">
          <cell r="F183">
            <v>10</v>
          </cell>
          <cell r="G183" t="str">
            <v>-</v>
          </cell>
          <cell r="H183">
            <v>175</v>
          </cell>
          <cell r="I183">
            <v>10</v>
          </cell>
          <cell r="J183" t="str">
            <v>-</v>
          </cell>
          <cell r="K183">
            <v>175</v>
          </cell>
          <cell r="M183">
            <v>33.108333333333341</v>
          </cell>
          <cell r="R183" t="str">
            <v xml:space="preserve">bawah </v>
          </cell>
        </row>
        <row r="184">
          <cell r="F184">
            <v>10</v>
          </cell>
          <cell r="G184" t="str">
            <v>-</v>
          </cell>
          <cell r="H184">
            <v>175</v>
          </cell>
          <cell r="I184">
            <v>10</v>
          </cell>
          <cell r="J184" t="str">
            <v>-</v>
          </cell>
          <cell r="K184">
            <v>175</v>
          </cell>
          <cell r="M184">
            <v>38.588333333333338</v>
          </cell>
          <cell r="R184" t="str">
            <v xml:space="preserve">bawah </v>
          </cell>
        </row>
        <row r="185">
          <cell r="F185">
            <v>8</v>
          </cell>
          <cell r="G185" t="str">
            <v>-</v>
          </cell>
          <cell r="H185">
            <v>300</v>
          </cell>
          <cell r="I185">
            <v>8</v>
          </cell>
          <cell r="J185" t="str">
            <v>-</v>
          </cell>
          <cell r="K185">
            <v>300</v>
          </cell>
          <cell r="L185">
            <v>26.304000000000006</v>
          </cell>
          <cell r="R185" t="str">
            <v xml:space="preserve">susut </v>
          </cell>
        </row>
        <row r="187">
          <cell r="B187" t="str">
            <v>I</v>
          </cell>
          <cell r="C187">
            <v>4</v>
          </cell>
          <cell r="D187">
            <v>4.5</v>
          </cell>
          <cell r="E187">
            <v>0.12</v>
          </cell>
          <cell r="F187">
            <v>10</v>
          </cell>
          <cell r="G187" t="str">
            <v>-</v>
          </cell>
          <cell r="H187">
            <v>175</v>
          </cell>
          <cell r="I187">
            <v>10</v>
          </cell>
          <cell r="J187" t="str">
            <v>-</v>
          </cell>
          <cell r="K187">
            <v>175</v>
          </cell>
          <cell r="M187">
            <v>37.303958333333327</v>
          </cell>
          <cell r="Q187">
            <v>8.3333333333333321</v>
          </cell>
          <cell r="R187" t="str">
            <v>atas</v>
          </cell>
          <cell r="AA187">
            <v>0</v>
          </cell>
        </row>
        <row r="188">
          <cell r="F188">
            <v>10</v>
          </cell>
          <cell r="G188" t="str">
            <v>-</v>
          </cell>
          <cell r="H188">
            <v>175</v>
          </cell>
          <cell r="I188">
            <v>10</v>
          </cell>
          <cell r="J188" t="str">
            <v>-</v>
          </cell>
          <cell r="K188">
            <v>175</v>
          </cell>
          <cell r="M188">
            <v>32.680208333333333</v>
          </cell>
          <cell r="R188" t="str">
            <v xml:space="preserve">bawah </v>
          </cell>
        </row>
        <row r="189">
          <cell r="F189">
            <v>10</v>
          </cell>
          <cell r="G189" t="str">
            <v>-</v>
          </cell>
          <cell r="H189">
            <v>175</v>
          </cell>
          <cell r="I189">
            <v>10</v>
          </cell>
          <cell r="J189" t="str">
            <v>-</v>
          </cell>
          <cell r="K189">
            <v>175</v>
          </cell>
          <cell r="M189">
            <v>37.303958333333327</v>
          </cell>
          <cell r="R189" t="str">
            <v xml:space="preserve">bawah </v>
          </cell>
        </row>
        <row r="190">
          <cell r="F190">
            <v>8</v>
          </cell>
          <cell r="G190" t="str">
            <v>-</v>
          </cell>
          <cell r="H190">
            <v>300</v>
          </cell>
          <cell r="I190">
            <v>8</v>
          </cell>
          <cell r="J190" t="str">
            <v>-</v>
          </cell>
          <cell r="K190">
            <v>300</v>
          </cell>
          <cell r="L190">
            <v>26.304000000000002</v>
          </cell>
          <cell r="R190" t="str">
            <v xml:space="preserve">susut </v>
          </cell>
        </row>
        <row r="192">
          <cell r="B192" t="str">
            <v>J</v>
          </cell>
          <cell r="C192">
            <v>3</v>
          </cell>
          <cell r="D192">
            <v>4</v>
          </cell>
          <cell r="E192">
            <v>0.12</v>
          </cell>
          <cell r="F192">
            <v>10</v>
          </cell>
          <cell r="G192" t="str">
            <v>-</v>
          </cell>
          <cell r="H192">
            <v>175</v>
          </cell>
          <cell r="I192">
            <v>10</v>
          </cell>
          <cell r="J192" t="str">
            <v>-</v>
          </cell>
          <cell r="K192">
            <v>175</v>
          </cell>
          <cell r="M192">
            <v>39.730000000000011</v>
          </cell>
          <cell r="Q192">
            <v>8.3333333333333339</v>
          </cell>
          <cell r="R192" t="str">
            <v>atas</v>
          </cell>
        </row>
        <row r="193">
          <cell r="F193">
            <v>10</v>
          </cell>
          <cell r="G193" t="str">
            <v>-</v>
          </cell>
          <cell r="H193">
            <v>175</v>
          </cell>
          <cell r="I193">
            <v>10</v>
          </cell>
          <cell r="J193" t="str">
            <v>-</v>
          </cell>
          <cell r="K193">
            <v>175</v>
          </cell>
          <cell r="M193">
            <v>33.821875000000006</v>
          </cell>
          <cell r="R193" t="str">
            <v xml:space="preserve">bawah </v>
          </cell>
        </row>
        <row r="194">
          <cell r="F194">
            <v>10</v>
          </cell>
          <cell r="G194" t="str">
            <v>-</v>
          </cell>
          <cell r="H194">
            <v>175</v>
          </cell>
          <cell r="I194">
            <v>10</v>
          </cell>
          <cell r="J194" t="str">
            <v>-</v>
          </cell>
          <cell r="K194">
            <v>175</v>
          </cell>
          <cell r="M194">
            <v>39.730000000000011</v>
          </cell>
          <cell r="R194" t="str">
            <v xml:space="preserve">bawah </v>
          </cell>
        </row>
        <row r="195">
          <cell r="F195">
            <v>8</v>
          </cell>
          <cell r="G195" t="str">
            <v>-</v>
          </cell>
          <cell r="H195">
            <v>300</v>
          </cell>
          <cell r="I195">
            <v>8</v>
          </cell>
          <cell r="J195" t="str">
            <v>-</v>
          </cell>
          <cell r="K195">
            <v>300</v>
          </cell>
          <cell r="L195">
            <v>26.304000000000002</v>
          </cell>
          <cell r="R195" t="str">
            <v xml:space="preserve">susut </v>
          </cell>
        </row>
        <row r="197">
          <cell r="B197" t="str">
            <v>K</v>
          </cell>
          <cell r="C197">
            <v>3</v>
          </cell>
          <cell r="D197">
            <v>4.6500000000000004</v>
          </cell>
          <cell r="E197">
            <v>0.12</v>
          </cell>
          <cell r="F197">
            <v>10</v>
          </cell>
          <cell r="G197" t="str">
            <v>-</v>
          </cell>
          <cell r="H197">
            <v>175</v>
          </cell>
          <cell r="I197">
            <v>10</v>
          </cell>
          <cell r="J197" t="str">
            <v>-</v>
          </cell>
          <cell r="K197">
            <v>175</v>
          </cell>
          <cell r="M197">
            <v>39.221774193548384</v>
          </cell>
          <cell r="Q197">
            <v>8.3333333333333339</v>
          </cell>
          <cell r="R197" t="str">
            <v>atas</v>
          </cell>
        </row>
        <row r="198">
          <cell r="F198">
            <v>10</v>
          </cell>
          <cell r="G198" t="str">
            <v>-</v>
          </cell>
          <cell r="H198">
            <v>175</v>
          </cell>
          <cell r="I198">
            <v>10</v>
          </cell>
          <cell r="J198" t="str">
            <v>-</v>
          </cell>
          <cell r="K198">
            <v>175</v>
          </cell>
          <cell r="M198">
            <v>33.697580645161288</v>
          </cell>
          <cell r="R198" t="str">
            <v xml:space="preserve">bawah </v>
          </cell>
        </row>
        <row r="199">
          <cell r="F199">
            <v>10</v>
          </cell>
          <cell r="G199" t="str">
            <v>-</v>
          </cell>
          <cell r="H199">
            <v>175</v>
          </cell>
          <cell r="I199">
            <v>10</v>
          </cell>
          <cell r="J199" t="str">
            <v>-</v>
          </cell>
          <cell r="K199">
            <v>175</v>
          </cell>
          <cell r="M199">
            <v>39.221774193548384</v>
          </cell>
          <cell r="R199" t="str">
            <v xml:space="preserve">bawah </v>
          </cell>
        </row>
        <row r="200">
          <cell r="F200">
            <v>8</v>
          </cell>
          <cell r="G200" t="str">
            <v>-</v>
          </cell>
          <cell r="H200">
            <v>300</v>
          </cell>
          <cell r="I200">
            <v>8</v>
          </cell>
          <cell r="J200" t="str">
            <v>-</v>
          </cell>
          <cell r="K200">
            <v>300</v>
          </cell>
          <cell r="L200">
            <v>25.879741935483871</v>
          </cell>
          <cell r="R200" t="str">
            <v xml:space="preserve">susut </v>
          </cell>
        </row>
        <row r="202">
          <cell r="B202" t="str">
            <v>L</v>
          </cell>
          <cell r="C202">
            <v>2</v>
          </cell>
          <cell r="D202">
            <v>4.6500000000000004</v>
          </cell>
          <cell r="E202">
            <v>0.12</v>
          </cell>
          <cell r="F202">
            <v>10</v>
          </cell>
          <cell r="G202" t="str">
            <v>-</v>
          </cell>
          <cell r="H202">
            <v>175</v>
          </cell>
          <cell r="I202">
            <v>10</v>
          </cell>
          <cell r="J202" t="str">
            <v>-</v>
          </cell>
          <cell r="K202">
            <v>175</v>
          </cell>
          <cell r="M202">
            <v>41.845766129032256</v>
          </cell>
          <cell r="Q202">
            <v>8.3333333333333339</v>
          </cell>
          <cell r="R202" t="str">
            <v>atas</v>
          </cell>
        </row>
        <row r="203">
          <cell r="F203">
            <v>10</v>
          </cell>
          <cell r="G203" t="str">
            <v>-</v>
          </cell>
          <cell r="H203">
            <v>175</v>
          </cell>
          <cell r="I203">
            <v>10</v>
          </cell>
          <cell r="J203" t="str">
            <v>-</v>
          </cell>
          <cell r="K203">
            <v>175</v>
          </cell>
          <cell r="M203">
            <v>34.553830645161291</v>
          </cell>
          <cell r="R203" t="str">
            <v xml:space="preserve">bawah </v>
          </cell>
        </row>
        <row r="204">
          <cell r="F204">
            <v>10</v>
          </cell>
          <cell r="G204" t="str">
            <v>-</v>
          </cell>
          <cell r="H204">
            <v>175</v>
          </cell>
          <cell r="I204">
            <v>10</v>
          </cell>
          <cell r="J204" t="str">
            <v>-</v>
          </cell>
          <cell r="K204">
            <v>175</v>
          </cell>
          <cell r="M204">
            <v>41.845766129032256</v>
          </cell>
          <cell r="R204" t="str">
            <v xml:space="preserve">bawah </v>
          </cell>
        </row>
        <row r="205">
          <cell r="F205">
            <v>8</v>
          </cell>
          <cell r="G205" t="str">
            <v>-</v>
          </cell>
          <cell r="H205">
            <v>300</v>
          </cell>
          <cell r="I205">
            <v>8</v>
          </cell>
          <cell r="J205" t="str">
            <v>-</v>
          </cell>
          <cell r="K205">
            <v>300</v>
          </cell>
          <cell r="L205">
            <v>29.167741935483871</v>
          </cell>
          <cell r="R205" t="str">
            <v xml:space="preserve">susut </v>
          </cell>
        </row>
        <row r="207">
          <cell r="B207" t="str">
            <v>M</v>
          </cell>
          <cell r="C207">
            <v>2</v>
          </cell>
          <cell r="D207">
            <v>3.35</v>
          </cell>
          <cell r="E207">
            <v>0.12</v>
          </cell>
          <cell r="F207">
            <v>10</v>
          </cell>
          <cell r="G207" t="str">
            <v>-</v>
          </cell>
          <cell r="H207">
            <v>175</v>
          </cell>
          <cell r="I207">
            <v>10</v>
          </cell>
          <cell r="J207" t="str">
            <v>-</v>
          </cell>
          <cell r="K207">
            <v>175</v>
          </cell>
          <cell r="M207">
            <v>43.131996268656721</v>
          </cell>
          <cell r="Q207">
            <v>8.3333333333333339</v>
          </cell>
          <cell r="R207" t="str">
            <v>atas</v>
          </cell>
        </row>
        <row r="208">
          <cell r="F208">
            <v>10</v>
          </cell>
          <cell r="G208" t="str">
            <v>-</v>
          </cell>
          <cell r="H208">
            <v>175</v>
          </cell>
          <cell r="I208">
            <v>10</v>
          </cell>
          <cell r="J208" t="str">
            <v>-</v>
          </cell>
          <cell r="K208">
            <v>175</v>
          </cell>
          <cell r="M208">
            <v>34.850652985074632</v>
          </cell>
          <cell r="R208" t="str">
            <v xml:space="preserve">bawah </v>
          </cell>
        </row>
        <row r="209">
          <cell r="F209">
            <v>10</v>
          </cell>
          <cell r="G209" t="str">
            <v>-</v>
          </cell>
          <cell r="H209">
            <v>175</v>
          </cell>
          <cell r="I209">
            <v>10</v>
          </cell>
          <cell r="J209" t="str">
            <v>-</v>
          </cell>
          <cell r="K209">
            <v>175</v>
          </cell>
          <cell r="M209">
            <v>43.131996268656721</v>
          </cell>
          <cell r="R209" t="str">
            <v xml:space="preserve">bawah </v>
          </cell>
        </row>
        <row r="210">
          <cell r="F210">
            <v>8</v>
          </cell>
          <cell r="G210" t="str">
            <v>-</v>
          </cell>
          <cell r="H210">
            <v>300</v>
          </cell>
          <cell r="I210">
            <v>8</v>
          </cell>
          <cell r="J210" t="str">
            <v>-</v>
          </cell>
          <cell r="K210">
            <v>300</v>
          </cell>
          <cell r="L210">
            <v>30.180895522388063</v>
          </cell>
          <cell r="R210" t="str">
            <v xml:space="preserve">susut </v>
          </cell>
        </row>
        <row r="212">
          <cell r="B212" t="str">
            <v>N</v>
          </cell>
          <cell r="C212">
            <v>2.5</v>
          </cell>
          <cell r="D212">
            <v>3</v>
          </cell>
          <cell r="E212">
            <v>0.12</v>
          </cell>
          <cell r="F212">
            <v>10</v>
          </cell>
          <cell r="G212" t="str">
            <v>-</v>
          </cell>
          <cell r="H212">
            <v>175</v>
          </cell>
          <cell r="I212">
            <v>10</v>
          </cell>
          <cell r="J212" t="str">
            <v>-</v>
          </cell>
          <cell r="K212">
            <v>175</v>
          </cell>
          <cell r="M212">
            <v>43.429000000000009</v>
          </cell>
          <cell r="Q212">
            <v>8.3333333333333339</v>
          </cell>
          <cell r="R212" t="str">
            <v>atas</v>
          </cell>
        </row>
        <row r="213">
          <cell r="F213">
            <v>10</v>
          </cell>
          <cell r="G213" t="str">
            <v>-</v>
          </cell>
          <cell r="H213">
            <v>175</v>
          </cell>
          <cell r="I213">
            <v>10</v>
          </cell>
          <cell r="J213" t="str">
            <v>-</v>
          </cell>
          <cell r="K213">
            <v>175</v>
          </cell>
          <cell r="M213">
            <v>35.620000000000005</v>
          </cell>
          <cell r="R213" t="str">
            <v xml:space="preserve">bawah </v>
          </cell>
        </row>
        <row r="214">
          <cell r="F214">
            <v>10</v>
          </cell>
          <cell r="G214" t="str">
            <v>-</v>
          </cell>
          <cell r="H214">
            <v>175</v>
          </cell>
          <cell r="I214">
            <v>10</v>
          </cell>
          <cell r="J214" t="str">
            <v>-</v>
          </cell>
          <cell r="K214">
            <v>175</v>
          </cell>
          <cell r="M214">
            <v>43.429000000000009</v>
          </cell>
          <cell r="R214" t="str">
            <v xml:space="preserve">bawah </v>
          </cell>
        </row>
        <row r="215">
          <cell r="F215">
            <v>8</v>
          </cell>
          <cell r="G215" t="str">
            <v>-</v>
          </cell>
          <cell r="H215">
            <v>300</v>
          </cell>
          <cell r="I215">
            <v>8</v>
          </cell>
          <cell r="J215" t="str">
            <v>-</v>
          </cell>
          <cell r="K215">
            <v>300</v>
          </cell>
          <cell r="L215">
            <v>28.934400000000004</v>
          </cell>
          <cell r="R215" t="str">
            <v xml:space="preserve">susut </v>
          </cell>
        </row>
        <row r="217">
          <cell r="B217" t="str">
            <v>O</v>
          </cell>
          <cell r="C217">
            <v>2.5</v>
          </cell>
          <cell r="D217">
            <v>4</v>
          </cell>
          <cell r="E217">
            <v>0.12</v>
          </cell>
          <cell r="F217">
            <v>10</v>
          </cell>
          <cell r="G217" t="str">
            <v>-</v>
          </cell>
          <cell r="H217">
            <v>175</v>
          </cell>
          <cell r="I217">
            <v>10</v>
          </cell>
          <cell r="J217" t="str">
            <v>-</v>
          </cell>
          <cell r="K217">
            <v>175</v>
          </cell>
          <cell r="M217">
            <v>41.973375000000004</v>
          </cell>
          <cell r="Q217">
            <v>8.3333333333333339</v>
          </cell>
          <cell r="R217" t="str">
            <v>atas</v>
          </cell>
        </row>
        <row r="218">
          <cell r="F218">
            <v>10</v>
          </cell>
          <cell r="G218" t="str">
            <v>-</v>
          </cell>
          <cell r="H218">
            <v>175</v>
          </cell>
          <cell r="I218">
            <v>10</v>
          </cell>
          <cell r="J218" t="str">
            <v>-</v>
          </cell>
          <cell r="K218">
            <v>175</v>
          </cell>
          <cell r="M218">
            <v>35.191875000000003</v>
          </cell>
          <cell r="R218" t="str">
            <v xml:space="preserve">bawah </v>
          </cell>
        </row>
        <row r="219">
          <cell r="F219">
            <v>10</v>
          </cell>
          <cell r="G219" t="str">
            <v>-</v>
          </cell>
          <cell r="H219">
            <v>175</v>
          </cell>
          <cell r="I219">
            <v>10</v>
          </cell>
          <cell r="J219" t="str">
            <v>-</v>
          </cell>
          <cell r="K219">
            <v>175</v>
          </cell>
          <cell r="M219">
            <v>41.973375000000004</v>
          </cell>
          <cell r="R219" t="str">
            <v xml:space="preserve">bawah </v>
          </cell>
        </row>
        <row r="220">
          <cell r="F220">
            <v>8</v>
          </cell>
          <cell r="G220" t="str">
            <v>-</v>
          </cell>
          <cell r="H220">
            <v>300</v>
          </cell>
          <cell r="I220">
            <v>8</v>
          </cell>
          <cell r="J220" t="str">
            <v>-</v>
          </cell>
          <cell r="K220">
            <v>300</v>
          </cell>
          <cell r="L220">
            <v>28.9344</v>
          </cell>
          <cell r="R220" t="str">
            <v xml:space="preserve">susut </v>
          </cell>
        </row>
        <row r="222">
          <cell r="B222" t="str">
            <v>P</v>
          </cell>
          <cell r="C222">
            <v>1.1499999999999999</v>
          </cell>
          <cell r="D222">
            <v>4</v>
          </cell>
          <cell r="E222">
            <v>0.12</v>
          </cell>
          <cell r="F222">
            <v>10</v>
          </cell>
          <cell r="G222" t="str">
            <v>-</v>
          </cell>
          <cell r="H222">
            <v>175</v>
          </cell>
          <cell r="I222">
            <v>10</v>
          </cell>
          <cell r="J222" t="str">
            <v>-</v>
          </cell>
          <cell r="K222">
            <v>175</v>
          </cell>
          <cell r="M222">
            <v>51.095788043478272</v>
          </cell>
          <cell r="Q222">
            <v>8.3333333333333339</v>
          </cell>
          <cell r="R222" t="str">
            <v>atas</v>
          </cell>
        </row>
        <row r="223">
          <cell r="F223">
            <v>10</v>
          </cell>
          <cell r="G223" t="str">
            <v>-</v>
          </cell>
          <cell r="H223">
            <v>175</v>
          </cell>
          <cell r="I223">
            <v>10</v>
          </cell>
          <cell r="J223" t="str">
            <v>-</v>
          </cell>
          <cell r="K223">
            <v>175</v>
          </cell>
          <cell r="M223">
            <v>39.033831521739145</v>
          </cell>
          <cell r="R223" t="str">
            <v xml:space="preserve">bawah </v>
          </cell>
        </row>
        <row r="224">
          <cell r="F224">
            <v>10</v>
          </cell>
          <cell r="G224" t="str">
            <v>-</v>
          </cell>
          <cell r="H224">
            <v>175</v>
          </cell>
          <cell r="I224">
            <v>10</v>
          </cell>
          <cell r="J224" t="str">
            <v>-</v>
          </cell>
          <cell r="K224">
            <v>175</v>
          </cell>
          <cell r="M224">
            <v>51.095788043478272</v>
          </cell>
          <cell r="R224" t="str">
            <v xml:space="preserve">bawah </v>
          </cell>
        </row>
        <row r="225">
          <cell r="F225">
            <v>8</v>
          </cell>
          <cell r="G225" t="str">
            <v>-</v>
          </cell>
          <cell r="H225">
            <v>300</v>
          </cell>
          <cell r="I225">
            <v>8</v>
          </cell>
          <cell r="J225" t="str">
            <v>-</v>
          </cell>
          <cell r="K225">
            <v>300</v>
          </cell>
          <cell r="L225">
            <v>30.306782608695659</v>
          </cell>
          <cell r="R225" t="str">
            <v xml:space="preserve">susut </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ous"/>
      <sheetName val="shearwall"/>
      <sheetName val="T-Ngga"/>
      <sheetName val="P-late"/>
      <sheetName val="K-lom rev"/>
      <sheetName val="B-lox rev"/>
      <sheetName val="Sloop rev"/>
      <sheetName val="PC rev"/>
      <sheetName val="UPAH RIIL OK"/>
      <sheetName val="Material ALAM OK"/>
      <sheetName val="Material NON ALAM OK"/>
      <sheetName val="ANALISA KUSEN RAP"/>
      <sheetName val="Analis Kusen"/>
      <sheetName val="AnalisaSIPIL RIIL RAP"/>
      <sheetName val="REKAP BAHAN &amp; UPAH RIIL "/>
      <sheetName val="HSPK KUSEN RAP"/>
      <sheetName val="1.A. STD_STR"/>
      <sheetName val="1. B. STD_ARC"/>
      <sheetName val="RAB Kawasan"/>
      <sheetName val="RAB Kawasan p. irawan"/>
      <sheetName val="1.B. STD_STR (tiketing)"/>
      <sheetName val="1. B. STD_ARC (tike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 ME"/>
      <sheetName val="ANALISA ME"/>
      <sheetName val="Analis Upah Beton , UPAH RIIL "/>
      <sheetName val="Material RIIL"/>
      <sheetName val="AnalisaSIPIL RIIL"/>
      <sheetName val="REKAP BAHAN &amp; UPAH RIIL "/>
      <sheetName val="REKAP TOTAL"/>
      <sheetName val="TERMINAL UNIT 1"/>
      <sheetName val="TERMINAL UNIT 2"/>
      <sheetName val="MENARA PANTAU"/>
      <sheetName val="POS JAGA"/>
      <sheetName val="DEPO"/>
      <sheetName val="LANDSCP"/>
      <sheetName val="DNDNG PENAHAN"/>
      <sheetName val="ME"/>
      <sheetName val="PLAMBNG"/>
      <sheetName val="ALAT"/>
      <sheetName val="Estimate"/>
      <sheetName val="HRG BAHAN &amp; UPAH okk"/>
      <sheetName val="Analis Kusen okk"/>
      <sheetName val="Analis_ME"/>
      <sheetName val="ANALISA_ME"/>
      <sheetName val="Analis_Upah_Beton_,_UPAH_RIIL_"/>
      <sheetName val="Material_RIIL"/>
      <sheetName val="AnalisaSIPIL_RIIL"/>
      <sheetName val="REKAP_BAHAN_&amp;_UPAH_RIIL_"/>
      <sheetName val="REKAP_TOTAL"/>
      <sheetName val="TERMINAL_UNIT_1"/>
      <sheetName val="TERMINAL_UNIT_2"/>
      <sheetName val="MENARA_PANTAU"/>
      <sheetName val="POS_JAGA"/>
      <sheetName val="DNDNG_PENAHAN"/>
      <sheetName val="HRG_BAHAN_&amp;_UPAH_okk"/>
      <sheetName val="Analis_Kusen_okk"/>
      <sheetName val="Kuantitas &amp; Harga"/>
      <sheetName val="Kuantitas _ Harga"/>
      <sheetName val="H_Satuan"/>
      <sheetName val="PEMBESIAN BALOK tukang (2)"/>
      <sheetName val="D &amp; W sizes"/>
      <sheetName val="AnalisaSIPIL RIIL RAP"/>
      <sheetName val="ANALISA railing"/>
      <sheetName val="DAF-2"/>
      <sheetName val="ganda"/>
      <sheetName val="Analisa"/>
      <sheetName val="BAG-2"/>
      <sheetName val="Analisa SNI STANDART "/>
      <sheetName val="Fill this out first..."/>
      <sheetName val="Uraian Teknis"/>
      <sheetName val="analisa upah_bahan"/>
      <sheetName val="FAKTOR"/>
      <sheetName val="Elektrikal"/>
      <sheetName val="struktur tdk dipakai"/>
      <sheetName val="Listrik"/>
      <sheetName val="A"/>
      <sheetName val="Analis_ME1"/>
      <sheetName val="ANALISA_ME1"/>
      <sheetName val="Analis_Upah_Beton_,_UPAH_RIIL_1"/>
      <sheetName val="Material_RIIL1"/>
      <sheetName val="AnalisaSIPIL_RIIL1"/>
      <sheetName val="REKAP_BAHAN_&amp;_UPAH_RIIL_1"/>
      <sheetName val="REKAP_TOTAL1"/>
      <sheetName val="TERMINAL_UNIT_11"/>
      <sheetName val="TERMINAL_UNIT_21"/>
      <sheetName val="MENARA_PANTAU1"/>
      <sheetName val="POS_JAGA1"/>
      <sheetName val="DNDNG_PENAHAN1"/>
      <sheetName val="HRG_BAHAN_&amp;_UPAH_okk1"/>
      <sheetName val="Analis_Kusen_okk1"/>
      <sheetName val="PLUMBING"/>
      <sheetName val="CondPol"/>
      <sheetName val="Sub"/>
      <sheetName val="RAP"/>
      <sheetName val="BoQ"/>
      <sheetName val="Konfirm"/>
      <sheetName val="Indirect_Const"/>
      <sheetName val="Rekapitulasi"/>
      <sheetName val="REKAP"/>
      <sheetName val="BASIC"/>
      <sheetName val="Cover Daf-2"/>
      <sheetName val="Cover"/>
      <sheetName val="JADWAL(1)"/>
      <sheetName val="LPP-201"/>
      <sheetName val="P-late"/>
      <sheetName val="BOQ_INT"/>
      <sheetName val="Analis (2)"/>
      <sheetName val="List Material"/>
      <sheetName val="Data Base"/>
      <sheetName val="Mobilisasi"/>
      <sheetName val="Fill this out first___"/>
      <sheetName val="MC_strp CoDa "/>
      <sheetName val="산근"/>
      <sheetName val="Breakdown"/>
      <sheetName val="K - Drywall-Presd"/>
      <sheetName val="MINGGU 2"/>
      <sheetName val="NP"/>
      <sheetName val="4-Basic Price"/>
      <sheetName val="Parameters"/>
      <sheetName val=" schedule AMD-2 Rev III"/>
      <sheetName val="RAB.SEKRETARIAT (1)"/>
      <sheetName val="HB me"/>
      <sheetName val="Sheet1"/>
      <sheetName val="k341k612"/>
      <sheetName val="Pol"/>
      <sheetName val="H.Satuan"/>
      <sheetName val="Rekap Prelim"/>
      <sheetName val="Analis_ME2"/>
      <sheetName val="ANALISA_ME2"/>
      <sheetName val="Analis_Upah_Beton_,_UPAH_RIIL_2"/>
      <sheetName val="Material_RIIL2"/>
      <sheetName val="AnalisaSIPIL_RIIL2"/>
      <sheetName val="REKAP_BAHAN_&amp;_UPAH_RIIL_2"/>
      <sheetName val="REKAP_TOTAL2"/>
      <sheetName val="TERMINAL_UNIT_12"/>
      <sheetName val="TERMINAL_UNIT_22"/>
      <sheetName val="MENARA_PANTAU2"/>
      <sheetName val="POS_JAGA2"/>
      <sheetName val="DNDNG_PENAHAN2"/>
      <sheetName val="HRG_BAHAN_&amp;_UPAH_okk2"/>
      <sheetName val="Analis_Kusen_okk2"/>
      <sheetName val="AnalisaSIPIL_RIIL_RAP"/>
      <sheetName val="ANALISA_railing"/>
      <sheetName val="Kuantitas_&amp;_Harga"/>
      <sheetName val="Kuantitas___Harga"/>
      <sheetName val="PEMBESIAN_BALOK_tukang_(2)"/>
      <sheetName val="D_&amp;_W_sizes"/>
      <sheetName val="Pipe"/>
      <sheetName val="UNIT PRICE"/>
      <sheetName val="Basic Price"/>
      <sheetName val="Sheet3"/>
      <sheetName val="HARGA MATERIAL"/>
      <sheetName val="FINISHING"/>
      <sheetName val="Pt"/>
      <sheetName val="Rekap "/>
      <sheetName val="Cover Daf_2"/>
      <sheetName val="Ch"/>
      <sheetName val="AHSbj"/>
      <sheetName val="M Edit"/>
      <sheetName val="DAF_2"/>
      <sheetName val="bq"/>
      <sheetName val="概総括1"/>
      <sheetName val="Rinci Progress Payment"/>
      <sheetName val="Man Power"/>
      <sheetName val="EE-PROP"/>
      <sheetName val="rab lt 2 bo"/>
      <sheetName val="I-KAMAR"/>
      <sheetName val="harga-SD"/>
      <sheetName val="faktor &amp; disc"/>
      <sheetName val="RAB"/>
      <sheetName val="TOWN"/>
      <sheetName val="IN OUT"/>
      <sheetName val="Analisa RAP"/>
      <sheetName val="AHS Marka"/>
      <sheetName val="harsat"/>
      <sheetName val="1.Surat (2)"/>
      <sheetName val="Daf.Harga-Upah"/>
      <sheetName val="Ana. PU"/>
      <sheetName val="SAT-DAS"/>
      <sheetName val="3-DIV5"/>
      <sheetName val="인사자료총집계"/>
      <sheetName val="Analisa_SNI_STANDART_"/>
      <sheetName val="struktur_tdk_dipakai"/>
      <sheetName val="Fill_this_out_first___"/>
      <sheetName val="Fill_this_out_first___1"/>
      <sheetName val="Analisa_RAP"/>
      <sheetName val="MC_strp_CoDa_"/>
      <sheetName val="Uraian_Teknis"/>
      <sheetName val="analisa_upah_bahan"/>
      <sheetName val="_schedule_AMD-2_Rev_III"/>
      <sheetName val="Analis_(2)"/>
      <sheetName val="List_Material"/>
      <sheetName val="Data_Base"/>
      <sheetName val="Basic_Price"/>
      <sheetName val="HARGA_MATERIAL"/>
      <sheetName val="HB_me"/>
      <sheetName val="M_Edit"/>
      <sheetName val="Cover_Daf-2"/>
      <sheetName val="faktor_&amp;_disc"/>
      <sheetName val="H_Satuan1"/>
      <sheetName val="IN_OUT"/>
      <sheetName val="1_Surat_(2)"/>
      <sheetName val="Bahan"/>
      <sheetName val="SAP"/>
      <sheetName val="Input monthly capex"/>
      <sheetName val="name"/>
      <sheetName val="HSBU ANA"/>
      <sheetName val="Penwrn"/>
      <sheetName val="HARGA"/>
      <sheetName val="Sheet2"/>
      <sheetName val="Ana PasBatu 7.4"/>
      <sheetName val="Isolasi Luar Dalam"/>
      <sheetName val="Isolasi Luar"/>
      <sheetName val="MAP"/>
      <sheetName val="Data-Masukan"/>
      <sheetName val="PNT"/>
      <sheetName val="Divisi1"/>
      <sheetName val="대비표"/>
      <sheetName val="B"/>
      <sheetName val="Gedung Kantor"/>
      <sheetName val="1"/>
      <sheetName val="DASAR"/>
      <sheetName val="Master 1.0"/>
      <sheetName val="Harga Sat_APP"/>
      <sheetName val="pricing"/>
      <sheetName val="Upah"/>
      <sheetName val="gvl"/>
      <sheetName val="INPUT"/>
    </sheetNames>
    <sheetDataSet>
      <sheetData sheetId="0"/>
      <sheetData sheetId="1" refreshError="1"/>
      <sheetData sheetId="2" refreshError="1"/>
      <sheetData sheetId="3" refreshError="1"/>
      <sheetData sheetId="4" refreshError="1">
        <row r="208">
          <cell r="B208" t="str">
            <v>C.13</v>
          </cell>
          <cell r="C208" t="str">
            <v>1 M3 Sloof 150x300 K225</v>
          </cell>
        </row>
        <row r="209">
          <cell r="C209">
            <v>1</v>
          </cell>
          <cell r="D209" t="str">
            <v>M3</v>
          </cell>
          <cell r="E209" t="str">
            <v>Beton Readymix</v>
          </cell>
          <cell r="F209" t="str">
            <v>@Rp</v>
          </cell>
          <cell r="G209">
            <v>430000</v>
          </cell>
          <cell r="H209" t="str">
            <v>=Rp</v>
          </cell>
          <cell r="I209">
            <v>430000</v>
          </cell>
        </row>
        <row r="210">
          <cell r="C210">
            <v>104.6743765591079</v>
          </cell>
          <cell r="D210" t="str">
            <v>Kg</v>
          </cell>
          <cell r="E210" t="str">
            <v>Pembesian Polos</v>
          </cell>
          <cell r="F210" t="str">
            <v>@Rp</v>
          </cell>
          <cell r="G210">
            <v>6100</v>
          </cell>
          <cell r="H210" t="str">
            <v>=Rp</v>
          </cell>
          <cell r="I210">
            <v>638513.69701055821</v>
          </cell>
        </row>
        <row r="211">
          <cell r="C211">
            <v>0</v>
          </cell>
          <cell r="D211" t="str">
            <v>Kg</v>
          </cell>
          <cell r="E211" t="str">
            <v>Pembesian Ulir</v>
          </cell>
          <cell r="F211" t="str">
            <v>@Rp</v>
          </cell>
          <cell r="G211">
            <v>5850</v>
          </cell>
          <cell r="H211" t="str">
            <v>=Rp</v>
          </cell>
          <cell r="I211">
            <v>0</v>
          </cell>
        </row>
        <row r="212">
          <cell r="C212">
            <v>13.333333333333334</v>
          </cell>
          <cell r="D212" t="str">
            <v>M2</v>
          </cell>
          <cell r="E212" t="str">
            <v>Bekisting Non Struktur</v>
          </cell>
          <cell r="F212" t="str">
            <v>@Rp</v>
          </cell>
          <cell r="G212">
            <v>31900</v>
          </cell>
          <cell r="H212" t="str">
            <v>=Rp</v>
          </cell>
          <cell r="I212">
            <v>425333.33333333337</v>
          </cell>
        </row>
        <row r="213">
          <cell r="G213" t="str">
            <v>Jumlah</v>
          </cell>
          <cell r="H213" t="str">
            <v>=Rp</v>
          </cell>
          <cell r="I213">
            <v>1493847.0303438916</v>
          </cell>
        </row>
        <row r="214">
          <cell r="G214" t="str">
            <v>Dibulatkan</v>
          </cell>
          <cell r="H214" t="str">
            <v>=Rp</v>
          </cell>
          <cell r="I214">
            <v>1493900</v>
          </cell>
        </row>
        <row r="225">
          <cell r="B225" t="str">
            <v>C.15</v>
          </cell>
          <cell r="C225" t="str">
            <v>1 M3 Sloof 150x200 K225</v>
          </cell>
        </row>
        <row r="226">
          <cell r="C226">
            <v>1</v>
          </cell>
          <cell r="D226" t="str">
            <v>M3</v>
          </cell>
          <cell r="E226" t="str">
            <v>Beton Readymix</v>
          </cell>
          <cell r="F226" t="str">
            <v>@Rp</v>
          </cell>
          <cell r="G226">
            <v>430000</v>
          </cell>
          <cell r="H226" t="str">
            <v>=Rp</v>
          </cell>
          <cell r="I226">
            <v>430000</v>
          </cell>
        </row>
        <row r="227">
          <cell r="C227">
            <v>131.36360241475481</v>
          </cell>
          <cell r="D227" t="str">
            <v>Kg</v>
          </cell>
          <cell r="E227" t="str">
            <v>Pembesian Polos</v>
          </cell>
          <cell r="F227" t="str">
            <v>@Rp</v>
          </cell>
          <cell r="G227">
            <v>6100</v>
          </cell>
          <cell r="H227" t="str">
            <v>=Rp</v>
          </cell>
          <cell r="I227">
            <v>801317.97473000432</v>
          </cell>
        </row>
        <row r="228">
          <cell r="C228">
            <v>0</v>
          </cell>
          <cell r="D228" t="str">
            <v>Kg</v>
          </cell>
          <cell r="E228" t="str">
            <v>Pembesian Ulir</v>
          </cell>
          <cell r="F228" t="str">
            <v>@Rp</v>
          </cell>
          <cell r="G228">
            <v>5850</v>
          </cell>
          <cell r="H228" t="str">
            <v>=Rp</v>
          </cell>
          <cell r="I228">
            <v>0</v>
          </cell>
        </row>
        <row r="229">
          <cell r="C229">
            <v>13.333333333333334</v>
          </cell>
          <cell r="D229" t="str">
            <v>M2</v>
          </cell>
          <cell r="E229" t="str">
            <v>Bekisting Non Struktur</v>
          </cell>
          <cell r="F229" t="str">
            <v>@Rp</v>
          </cell>
          <cell r="G229">
            <v>31900</v>
          </cell>
          <cell r="H229" t="str">
            <v>=Rp</v>
          </cell>
          <cell r="I229">
            <v>425333.33333333337</v>
          </cell>
        </row>
        <row r="230">
          <cell r="G230" t="str">
            <v>Jumlah</v>
          </cell>
          <cell r="H230" t="str">
            <v>=Rp</v>
          </cell>
          <cell r="I230">
            <v>1656651.3080633376</v>
          </cell>
        </row>
        <row r="231">
          <cell r="G231" t="str">
            <v>Dibulatkan</v>
          </cell>
          <cell r="H231" t="str">
            <v>=Rp</v>
          </cell>
          <cell r="I231">
            <v>1656700</v>
          </cell>
        </row>
        <row r="468">
          <cell r="B468" t="str">
            <v>C.37</v>
          </cell>
          <cell r="C468" t="str">
            <v>1 M3 Kolom 500x500 K225</v>
          </cell>
        </row>
        <row r="469">
          <cell r="C469">
            <v>1</v>
          </cell>
          <cell r="D469" t="str">
            <v>M3</v>
          </cell>
          <cell r="E469" t="str">
            <v>Beton Readymix</v>
          </cell>
          <cell r="F469" t="str">
            <v>@Rp</v>
          </cell>
          <cell r="G469">
            <v>430000</v>
          </cell>
          <cell r="H469" t="str">
            <v>=Rp</v>
          </cell>
          <cell r="I469">
            <v>430000</v>
          </cell>
        </row>
        <row r="470">
          <cell r="C470">
            <v>31.936645518230439</v>
          </cell>
          <cell r="D470" t="str">
            <v>Kg</v>
          </cell>
          <cell r="E470" t="str">
            <v>Pembesian Polos</v>
          </cell>
          <cell r="F470" t="str">
            <v>@Rp</v>
          </cell>
          <cell r="G470">
            <v>6100</v>
          </cell>
          <cell r="H470" t="str">
            <v>=Rp</v>
          </cell>
          <cell r="I470">
            <v>194813.53766120569</v>
          </cell>
        </row>
        <row r="471">
          <cell r="C471">
            <v>178.05604682750868</v>
          </cell>
          <cell r="D471" t="str">
            <v>Kg</v>
          </cell>
          <cell r="E471" t="str">
            <v>Pembesian Ulir</v>
          </cell>
          <cell r="F471" t="str">
            <v>@Rp</v>
          </cell>
          <cell r="G471">
            <v>5850</v>
          </cell>
          <cell r="H471" t="str">
            <v>=Rp</v>
          </cell>
          <cell r="I471">
            <v>1041627.8739409258</v>
          </cell>
        </row>
        <row r="472">
          <cell r="C472">
            <v>8</v>
          </cell>
          <cell r="D472" t="str">
            <v>M2</v>
          </cell>
          <cell r="E472" t="str">
            <v>Bekisting Struktur+Scafolding</v>
          </cell>
          <cell r="F472" t="str">
            <v>@Rp</v>
          </cell>
          <cell r="G472">
            <v>44200</v>
          </cell>
          <cell r="H472" t="str">
            <v>=Rp</v>
          </cell>
          <cell r="I472">
            <v>353600</v>
          </cell>
        </row>
        <row r="473">
          <cell r="G473" t="str">
            <v>Jumlah</v>
          </cell>
          <cell r="H473" t="str">
            <v>=Rp</v>
          </cell>
          <cell r="I473">
            <v>2020041.4116021316</v>
          </cell>
        </row>
        <row r="474">
          <cell r="G474" t="str">
            <v>Dibulatkan</v>
          </cell>
          <cell r="H474" t="str">
            <v>=Rp</v>
          </cell>
          <cell r="I474">
            <v>2020100</v>
          </cell>
        </row>
        <row r="476">
          <cell r="B476" t="str">
            <v>C.38</v>
          </cell>
          <cell r="C476" t="str">
            <v>1 M3 Kolom 450x450 K225</v>
          </cell>
        </row>
        <row r="477">
          <cell r="C477">
            <v>1</v>
          </cell>
          <cell r="D477" t="str">
            <v>M3</v>
          </cell>
          <cell r="E477" t="str">
            <v>Beton Readymix</v>
          </cell>
          <cell r="F477" t="str">
            <v>@Rp</v>
          </cell>
          <cell r="G477">
            <v>430000</v>
          </cell>
          <cell r="H477" t="str">
            <v>=Rp</v>
          </cell>
          <cell r="I477">
            <v>430000</v>
          </cell>
        </row>
        <row r="478">
          <cell r="C478">
            <v>35.16547554559908</v>
          </cell>
          <cell r="D478" t="str">
            <v>Kg</v>
          </cell>
          <cell r="E478" t="str">
            <v>Pembesian Polos</v>
          </cell>
          <cell r="F478" t="str">
            <v>@Rp</v>
          </cell>
          <cell r="G478">
            <v>6100</v>
          </cell>
          <cell r="H478" t="str">
            <v>=Rp</v>
          </cell>
          <cell r="I478">
            <v>214509.40082815438</v>
          </cell>
        </row>
        <row r="479">
          <cell r="C479">
            <v>175.85782402716904</v>
          </cell>
          <cell r="D479" t="str">
            <v>Kg</v>
          </cell>
          <cell r="E479" t="str">
            <v>Pembesian Ulir</v>
          </cell>
          <cell r="F479" t="str">
            <v>@Rp</v>
          </cell>
          <cell r="G479">
            <v>5850</v>
          </cell>
          <cell r="H479" t="str">
            <v>=Rp</v>
          </cell>
          <cell r="I479">
            <v>1028768.270558939</v>
          </cell>
        </row>
        <row r="480">
          <cell r="C480">
            <v>8.8888888888888893</v>
          </cell>
          <cell r="D480" t="str">
            <v>M2</v>
          </cell>
          <cell r="E480" t="str">
            <v>Bekisting Struktur+Scafolding</v>
          </cell>
          <cell r="F480" t="str">
            <v>@Rp</v>
          </cell>
          <cell r="G480">
            <v>44200</v>
          </cell>
          <cell r="H480" t="str">
            <v>=Rp</v>
          </cell>
          <cell r="I480">
            <v>392888.88888888893</v>
          </cell>
        </row>
        <row r="481">
          <cell r="G481" t="str">
            <v>Jumlah</v>
          </cell>
          <cell r="H481" t="str">
            <v>=Rp</v>
          </cell>
          <cell r="I481">
            <v>2066166.5602759824</v>
          </cell>
        </row>
        <row r="482">
          <cell r="G482" t="str">
            <v>Dibulatkan</v>
          </cell>
          <cell r="H482" t="str">
            <v>=Rp</v>
          </cell>
          <cell r="I482">
            <v>2066200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er Output Keg"/>
      <sheetName val="Cover lampiran RKP"/>
      <sheetName val="Daftar Isi"/>
      <sheetName val="Perdes RKP-Des TA 2026"/>
      <sheetName val="Lamp informasi pembiayaan"/>
      <sheetName val="Lamp Ranc RKPDes TA 2025"/>
      <sheetName val="Rekap Usulan"/>
      <sheetName val="BA Kesepakatan bersama"/>
      <sheetName val="Matriks RKPDes TA 2026"/>
      <sheetName val="Lamp  DURK"/>
      <sheetName val="Lamp Info Pembiayaan "/>
      <sheetName val="Lamp Prog Msk Desa"/>
      <sheetName val="Lamp  evalusi RKP"/>
      <sheetName val="Lamp Kerjasama antar desa"/>
      <sheetName val="Lamp Kerjasama Phk ke 3"/>
      <sheetName val="Lamp Usulan kegiatan RKP"/>
      <sheetName val="Lamp Usulan Prioritas Keg"/>
      <sheetName val="Lamp Dftr usulan masyarakat"/>
      <sheetName val="Lap Perkembangan Pemb"/>
      <sheetName val="Lamp 1 BA Musdes Perenc Ds."/>
      <sheetName val="Notulen Musdes Perenc Ds"/>
      <sheetName val="Dftr Hdr Perenc Desa"/>
      <sheetName val="Undangan Musdes Perenc ds"/>
      <sheetName val="Foto Rapat perenc desa"/>
      <sheetName val="Cofer pandangan BPD"/>
      <sheetName val="Pandangan BPD"/>
      <sheetName val="Lam BA Musrenbang"/>
      <sheetName val="Lamp Notulen Musrenbang"/>
      <sheetName val="Lamp Undangan Musrenbang"/>
      <sheetName val="Dftr Hdr Musrenbang"/>
      <sheetName val="Foto Musrenbang Desa"/>
      <sheetName val="Surat RKPDes ke BPD"/>
      <sheetName val="Undangan rapat BPD"/>
      <sheetName val="Lamp Notulen Musdes Penetapan"/>
      <sheetName val="Dftr hadir musdes penetapan"/>
      <sheetName val="Lamp Undangan Penetapan"/>
      <sheetName val="Foto Penetapan RKP"/>
      <sheetName val="BA penyusunan ranc RKPDes"/>
      <sheetName val="Daftar Hadir rapat tim "/>
      <sheetName val="Undangan Tim RKPDes"/>
      <sheetName val="Foto Rapat Tim RKPDes"/>
      <sheetName val="Lamp SK Tim Penyusun  "/>
      <sheetName val="RKTL"/>
      <sheetName val="Lamp RAB Infrastruktur"/>
      <sheetName val="Desain RAB"/>
      <sheetName val="Peta lokasi pemb"/>
      <sheetName val="RAB Pagar Poskesdes"/>
      <sheetName val="RAB Rabat Jl GPI"/>
      <sheetName val="RAB Rabat Jl Kofrontua 3"/>
      <sheetName val="RAB Rabat Jl ex PNPM"/>
      <sheetName val="RAB Rabat Korontua 4"/>
      <sheetName val="Foto pengukuran titik nol."/>
      <sheetName val="Proposal Teknis"/>
      <sheetName val="Undangan Musrenbang"/>
      <sheetName val="Dftr Hdr Musrenbang (2)"/>
      <sheetName val="SK Standarisasi Harga"/>
      <sheetName val="Daftar Surfey Harga"/>
      <sheetName val="Lamp SK Standarisasi harga"/>
      <sheetName val="Foto pengukuran titik nol. (2)"/>
      <sheetName val="Sasaran SDGs Desa"/>
      <sheetName val="Pandangan resmi BPD"/>
      <sheetName val="Siltap Kades"/>
      <sheetName val="Siltap Perangkat Desa"/>
      <sheetName val="BPJS."/>
      <sheetName val="Operasional Ktr Desa"/>
      <sheetName val="Tunjangan BPD"/>
      <sheetName val="Operasional BPD"/>
      <sheetName val="Operasional RT"/>
      <sheetName val="O.Kades"/>
      <sheetName val="BPJS Pekerja rentan"/>
      <sheetName val="Rehab Kantor Desa."/>
      <sheetName val="Profil desa."/>
      <sheetName val="SIKS NG."/>
      <sheetName val="Musyawarah Desa"/>
      <sheetName val="PBB."/>
      <sheetName val="Paud"/>
      <sheetName val="Penyuluhan Masyarakat"/>
      <sheetName val="Taman Bacaan"/>
      <sheetName val="Poskesdes."/>
      <sheetName val="Posyandu."/>
      <sheetName val="Siaga Kesehatan"/>
      <sheetName val="Pagar Poskesdes"/>
      <sheetName val="Pemeliharaan pokesdes"/>
      <sheetName val="Pemeliharaan jalan"/>
      <sheetName val="Rabat Beton."/>
      <sheetName val="Baliho APBDes"/>
      <sheetName val="Informasi Desa."/>
      <sheetName val="Honor Imam_pdt"/>
      <sheetName val="L Adat"/>
      <sheetName val="LPM."/>
      <sheetName val="PKK."/>
      <sheetName val="Pelatihan Koperasi"/>
      <sheetName val="Pelatihan Pengurus BUMDes"/>
      <sheetName val="BLT."/>
      <sheetName val="Dftr bayar BLT Jan 2025"/>
      <sheetName val="Lamp Dftr format"/>
      <sheetName val="Prameter belanja 2023"/>
      <sheetName val="Form RAB."/>
      <sheetName val="Rehab Kantor Desa"/>
      <sheetName val="Form RAB"/>
      <sheetName val="Parameter Keg "/>
      <sheetName val="Paramenter belanja"/>
      <sheetName val="Sampul"/>
      <sheetName val="Parameter Keg"/>
      <sheetName val="Parameter Kegiatan 2023"/>
      <sheetName val="Pemeriksaan Dokumen"/>
      <sheetName val="Rekap ADD+PBB+DDS 2025"/>
      <sheetName val="Foto Pengukuran titik nol"/>
      <sheetName val="Gbr Rabat beton Jl RT2 "/>
      <sheetName val="Gbr Rabat beton Jl RT2  (2)"/>
      <sheetName val="Gbr Rbt Beton Jl RT3"/>
      <sheetName val="Gbr Drainase RT4"/>
      <sheetName val="Gbr Tiang listrik"/>
      <sheetName val="Gambar irigasi tersier"/>
      <sheetName val="Lamp  RAB"/>
      <sheetName val="RKTL Lamp 3"/>
      <sheetName val="Lamp 3)_RKTL"/>
      <sheetName val="Lamp 2)_SK Tim 7"/>
      <sheetName val="Usulan kegiatan"/>
      <sheetName val="BA Musrenbang Desa"/>
      <sheetName val=" BA Peny.RKP"/>
      <sheetName val=" Notulen Musrenbang"/>
      <sheetName val="Dftr hadir Musrenbang"/>
      <sheetName val="Dftr hadir tim 11"/>
      <sheetName val="Undangan Mudes Perenc Ds"/>
      <sheetName val="Undangan Musrenbang Des"/>
      <sheetName val="Undangan Tim 7"/>
      <sheetName val="Usulan Stunting"/>
      <sheetName val="Pagu ADD 2024"/>
      <sheetName val="Foto Musdes RKPDes TA 2024"/>
      <sheetName val="REKAPITULASI ADD 2025"/>
      <sheetName val="Siltap Kades "/>
      <sheetName val="Siltap Perades"/>
      <sheetName val="BPJS"/>
      <sheetName val="O.Ktr Desa"/>
      <sheetName val="TJ BPD"/>
      <sheetName val="O.BPD"/>
      <sheetName val="O.RT"/>
      <sheetName val="Pekerja Rentan"/>
      <sheetName val="O.Kades DDS"/>
      <sheetName val="Data Perangkat Desa"/>
      <sheetName val="Profil desa"/>
      <sheetName val="SIKS NG"/>
      <sheetName val="Musdes"/>
      <sheetName val="PBB"/>
      <sheetName val="O.TK_SM.SS"/>
      <sheetName val="Pelatihan masyarakat"/>
      <sheetName val="Perpusdes"/>
      <sheetName val="Poskesdes"/>
      <sheetName val="Peny.Posyandu"/>
      <sheetName val="Rehap pintu+jendela Poskesdes"/>
      <sheetName val="Pemb Pagar Poskesdes"/>
      <sheetName val="Penyuluhan kesehatan"/>
      <sheetName val="Bina Kel Balita"/>
      <sheetName val="Rabat beton"/>
      <sheetName val="Drainase"/>
      <sheetName val="Rehap Tower RT4"/>
      <sheetName val="Baliho"/>
      <sheetName val="Informasi Desa"/>
      <sheetName val="Lampu Jalan"/>
      <sheetName val="Linmas"/>
      <sheetName val="Keagamaan&amp;Budaya"/>
      <sheetName val="Olahraga"/>
      <sheetName val="LPM"/>
      <sheetName val="PKK"/>
      <sheetName val="Bantuan alat pancing"/>
      <sheetName val="Bimtek Kades"/>
      <sheetName val="Saluran Irigasi"/>
      <sheetName val="BLT"/>
      <sheetName val="REKAPITUALSI BELANJA DD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8">
          <cell r="D8" t="str">
            <v>1.1.01</v>
          </cell>
        </row>
        <row r="16">
          <cell r="K16">
            <v>28769880</v>
          </cell>
        </row>
        <row r="21">
          <cell r="D21" t="str">
            <v>Tunjangan kepala desa</v>
          </cell>
          <cell r="K21">
            <v>12000000</v>
          </cell>
        </row>
      </sheetData>
      <sheetData sheetId="62">
        <row r="8">
          <cell r="D8" t="str">
            <v>1.1.02</v>
          </cell>
        </row>
        <row r="16">
          <cell r="D16" t="str">
            <v>Penghasilan Tetap Perangkat Desa</v>
          </cell>
          <cell r="K16">
            <v>155248440</v>
          </cell>
        </row>
        <row r="23">
          <cell r="D23" t="str">
            <v>Tunjangan perangkat desa</v>
          </cell>
          <cell r="K23">
            <v>8400000</v>
          </cell>
        </row>
      </sheetData>
      <sheetData sheetId="63">
        <row r="8">
          <cell r="D8" t="str">
            <v>1.1.03</v>
          </cell>
        </row>
        <row r="16">
          <cell r="D16" t="str">
            <v xml:space="preserve">Jaminan sosial kepala desa  </v>
          </cell>
          <cell r="K16">
            <v>349800</v>
          </cell>
        </row>
        <row r="21">
          <cell r="D21" t="str">
            <v>Jaminan sosial perangkat desa</v>
          </cell>
          <cell r="K21">
            <v>2448600</v>
          </cell>
        </row>
      </sheetData>
      <sheetData sheetId="64">
        <row r="8">
          <cell r="D8" t="str">
            <v>1.1.04</v>
          </cell>
        </row>
      </sheetData>
      <sheetData sheetId="65">
        <row r="8">
          <cell r="D8" t="str">
            <v>1.1.05</v>
          </cell>
        </row>
        <row r="16">
          <cell r="D16" t="str">
            <v>Tunjangan BPD</v>
          </cell>
          <cell r="K16">
            <v>22200000</v>
          </cell>
        </row>
      </sheetData>
      <sheetData sheetId="66">
        <row r="8">
          <cell r="D8" t="str">
            <v>1.1.06</v>
          </cell>
        </row>
        <row r="16">
          <cell r="D16" t="str">
            <v>Operasional BPD</v>
          </cell>
          <cell r="K16">
            <v>5000000</v>
          </cell>
        </row>
      </sheetData>
      <sheetData sheetId="67">
        <row r="8">
          <cell r="D8" t="str">
            <v>1.1.07</v>
          </cell>
        </row>
        <row r="16">
          <cell r="D16" t="str">
            <v>Operasional RT</v>
          </cell>
        </row>
      </sheetData>
      <sheetData sheetId="68">
        <row r="8">
          <cell r="D8" t="str">
            <v>1.1.08</v>
          </cell>
        </row>
      </sheetData>
      <sheetData sheetId="69">
        <row r="8">
          <cell r="D8" t="str">
            <v>1.1.90</v>
          </cell>
        </row>
      </sheetData>
      <sheetData sheetId="70"/>
      <sheetData sheetId="71"/>
      <sheetData sheetId="72"/>
      <sheetData sheetId="73">
        <row r="8">
          <cell r="D8" t="str">
            <v>1.4.01</v>
          </cell>
        </row>
      </sheetData>
      <sheetData sheetId="74">
        <row r="8">
          <cell r="D8" t="str">
            <v>1.5.06</v>
          </cell>
        </row>
      </sheetData>
      <sheetData sheetId="75">
        <row r="8">
          <cell r="D8" t="str">
            <v>2.1.01</v>
          </cell>
        </row>
        <row r="16">
          <cell r="D16" t="str">
            <v>Operasional TK/Paud milik desa Earmark stunting</v>
          </cell>
          <cell r="K16">
            <v>12350000</v>
          </cell>
        </row>
        <row r="28">
          <cell r="D28" t="str">
            <v>Dukungan penyelenggaraan Paud non milik desa Earmark Stunting</v>
          </cell>
          <cell r="K28">
            <v>9600000</v>
          </cell>
        </row>
        <row r="33">
          <cell r="D33" t="str">
            <v>Dukungan penyelenggaraan Taman Belajar Keagamaan Non Earmark</v>
          </cell>
          <cell r="K33">
            <v>5400000</v>
          </cell>
        </row>
      </sheetData>
      <sheetData sheetId="76">
        <row r="8">
          <cell r="D8" t="str">
            <v>2.1.03</v>
          </cell>
        </row>
        <row r="16">
          <cell r="D16" t="str">
            <v>Penyuluhan hukum Non Earmark</v>
          </cell>
          <cell r="K16">
            <v>10345000</v>
          </cell>
        </row>
      </sheetData>
      <sheetData sheetId="77">
        <row r="8">
          <cell r="D8" t="str">
            <v>2.1.08</v>
          </cell>
        </row>
        <row r="16">
          <cell r="D16" t="str">
            <v>Dukungan Pengelolaan Taman Bacaan Desa Non Earmark</v>
          </cell>
          <cell r="K16">
            <v>6000000</v>
          </cell>
        </row>
      </sheetData>
      <sheetData sheetId="78">
        <row r="7">
          <cell r="D7" t="str">
            <v>2.2</v>
          </cell>
        </row>
        <row r="8">
          <cell r="D8" t="str">
            <v>2.2.01</v>
          </cell>
        </row>
        <row r="16">
          <cell r="D16" t="str">
            <v>Dukungan penyelenggaraan Poskesdes Eramark Stunting</v>
          </cell>
          <cell r="K16">
            <v>2672000</v>
          </cell>
        </row>
      </sheetData>
      <sheetData sheetId="79">
        <row r="8">
          <cell r="D8" t="str">
            <v>2.2.02</v>
          </cell>
        </row>
        <row r="16">
          <cell r="D16" t="str">
            <v>Dukungan Penyelenggaraan Posyandu Eramark Stunting</v>
          </cell>
          <cell r="K16">
            <v>49446000</v>
          </cell>
        </row>
        <row r="31">
          <cell r="D31" t="str">
            <v>Pemberian PMT Bumil Balita Earmark Stunting</v>
          </cell>
          <cell r="K31">
            <v>9600000</v>
          </cell>
        </row>
        <row r="42">
          <cell r="D42" t="str">
            <v>Kegiatan extra posyandu Eramark Stunting</v>
          </cell>
          <cell r="K42">
            <v>1000000</v>
          </cell>
        </row>
        <row r="50">
          <cell r="D50" t="str">
            <v>Pemberian PMT Lansia Non Earmark</v>
          </cell>
          <cell r="K50">
            <v>14400000</v>
          </cell>
        </row>
      </sheetData>
      <sheetData sheetId="80">
        <row r="8">
          <cell r="D8" t="str">
            <v>2.2.04</v>
          </cell>
        </row>
        <row r="16">
          <cell r="D16" t="str">
            <v>Dukungan penyelenggaraan desa siaga kesehatan Earmark</v>
          </cell>
          <cell r="K16">
            <v>44000000</v>
          </cell>
        </row>
      </sheetData>
      <sheetData sheetId="81">
        <row r="8">
          <cell r="D8" t="str">
            <v>2.2.09</v>
          </cell>
        </row>
        <row r="15">
          <cell r="K15">
            <v>20247000</v>
          </cell>
        </row>
        <row r="16">
          <cell r="D16" t="str">
            <v>Pembangunan pagar Poskesdes Earmark PKTD 35,20 mtr</v>
          </cell>
        </row>
      </sheetData>
      <sheetData sheetId="82">
        <row r="8">
          <cell r="D8" t="str">
            <v>2.2.08</v>
          </cell>
        </row>
        <row r="17">
          <cell r="D17" t="str">
            <v>Pemeliharaan gedung poskesdes Non Earmark</v>
          </cell>
          <cell r="J17">
            <v>2250000</v>
          </cell>
        </row>
      </sheetData>
      <sheetData sheetId="83">
        <row r="7">
          <cell r="D7" t="str">
            <v>2.3</v>
          </cell>
        </row>
        <row r="8">
          <cell r="D8" t="str">
            <v>2.3.01</v>
          </cell>
        </row>
        <row r="15">
          <cell r="K15">
            <v>2820000</v>
          </cell>
        </row>
        <row r="16">
          <cell r="D16" t="str">
            <v>Pemeliharaan jalan desa sepanjang 1610 mtr Non Earmark</v>
          </cell>
        </row>
      </sheetData>
      <sheetData sheetId="84">
        <row r="8">
          <cell r="D8" t="str">
            <v>2.3.10</v>
          </cell>
        </row>
        <row r="16">
          <cell r="K16">
            <v>81325000</v>
          </cell>
        </row>
        <row r="17">
          <cell r="D17" t="str">
            <v>Pembangunan Rabat beton Jl Lrg Gereja Dsn II  (0,15x3,0 x 114 mtr) Earmark PKTD</v>
          </cell>
        </row>
        <row r="49">
          <cell r="D49" t="str">
            <v>Pembangunan Rabat beton Jl Lrg Korontua 3 Dsn II  (0,15x3,0 x 119 mtr)</v>
          </cell>
          <cell r="K49">
            <v>84500000</v>
          </cell>
        </row>
        <row r="82">
          <cell r="D82" t="str">
            <v>Pembangunan Rabat beton Jl ex PNPM  Dsn II  (0,15x3,0 x 257,60 mtr)</v>
          </cell>
          <cell r="K82">
            <v>158000000</v>
          </cell>
        </row>
        <row r="115">
          <cell r="D115" t="str">
            <v>Pembangunan Rabat beton Jl Korontua 4 Dsn II  (0,15x3,0 x 76 mtr)</v>
          </cell>
          <cell r="K115">
            <v>61275000</v>
          </cell>
        </row>
      </sheetData>
      <sheetData sheetId="85">
        <row r="7">
          <cell r="D7" t="str">
            <v>2.6</v>
          </cell>
        </row>
        <row r="8">
          <cell r="D8" t="str">
            <v>2.6.02</v>
          </cell>
        </row>
        <row r="16">
          <cell r="D16" t="str">
            <v>Pengadaan baliho APBDes TA 2026</v>
          </cell>
          <cell r="K16">
            <v>900000</v>
          </cell>
        </row>
      </sheetData>
      <sheetData sheetId="86">
        <row r="8">
          <cell r="D8" t="str">
            <v>2.6.03</v>
          </cell>
        </row>
        <row r="16">
          <cell r="D16" t="str">
            <v>Iuran Internet Desa</v>
          </cell>
          <cell r="K16">
            <v>3600000</v>
          </cell>
        </row>
        <row r="21">
          <cell r="D21" t="str">
            <v>Pembuatan dan Pengelolaan Jaringan/Instalasi Komunikasi dan Informasi Lokal Desa</v>
          </cell>
          <cell r="K21">
            <v>125000000</v>
          </cell>
        </row>
        <row r="34">
          <cell r="D34" t="str">
            <v>Pengelolaan informasi desa</v>
          </cell>
          <cell r="K34">
            <v>12000000</v>
          </cell>
        </row>
      </sheetData>
      <sheetData sheetId="87">
        <row r="7">
          <cell r="D7" t="str">
            <v>3.2</v>
          </cell>
        </row>
        <row r="8">
          <cell r="D8" t="str">
            <v>3.2.03</v>
          </cell>
        </row>
        <row r="16">
          <cell r="D16" t="str">
            <v>Honorarium Imam/pegawai sara dan Pendeta</v>
          </cell>
          <cell r="K16">
            <v>19200000</v>
          </cell>
        </row>
        <row r="22">
          <cell r="D22" t="str">
            <v>Bantuan kegiatan keagamaan</v>
          </cell>
          <cell r="K22">
            <v>9000000</v>
          </cell>
        </row>
      </sheetData>
      <sheetData sheetId="88">
        <row r="7">
          <cell r="D7" t="str">
            <v>3.4</v>
          </cell>
        </row>
        <row r="8">
          <cell r="D8" t="str">
            <v>3.4.01</v>
          </cell>
        </row>
        <row r="16">
          <cell r="D16" t="str">
            <v>Dukungan operasional Lembaga Adat Desa</v>
          </cell>
          <cell r="K16">
            <v>1000000</v>
          </cell>
        </row>
      </sheetData>
      <sheetData sheetId="89">
        <row r="8">
          <cell r="D8" t="str">
            <v>3.4.02</v>
          </cell>
        </row>
        <row r="16">
          <cell r="D16" t="str">
            <v>Dukungan operasional LPM</v>
          </cell>
          <cell r="K16">
            <v>1000000</v>
          </cell>
        </row>
      </sheetData>
      <sheetData sheetId="90">
        <row r="8">
          <cell r="D8" t="str">
            <v>3.4.03</v>
          </cell>
        </row>
        <row r="16">
          <cell r="D16" t="str">
            <v>Dukungan operasional PKK</v>
          </cell>
          <cell r="K16">
            <v>7000000</v>
          </cell>
        </row>
      </sheetData>
      <sheetData sheetId="91">
        <row r="7">
          <cell r="D7" t="str">
            <v>4.5</v>
          </cell>
        </row>
        <row r="8">
          <cell r="D8" t="str">
            <v>4.5.01</v>
          </cell>
        </row>
        <row r="16">
          <cell r="D16" t="str">
            <v>Pelatihan pengurus Koperasi Mera Putih</v>
          </cell>
          <cell r="K16">
            <v>9916000</v>
          </cell>
        </row>
      </sheetData>
      <sheetData sheetId="92">
        <row r="7">
          <cell r="D7" t="str">
            <v>4.6</v>
          </cell>
        </row>
        <row r="8">
          <cell r="D8" t="str">
            <v>4.6.02</v>
          </cell>
        </row>
        <row r="16">
          <cell r="D16" t="str">
            <v>Pelatihan pengurus BUMDes</v>
          </cell>
          <cell r="K16">
            <v>9916000</v>
          </cell>
        </row>
      </sheetData>
      <sheetData sheetId="93">
        <row r="7">
          <cell r="D7" t="str">
            <v>5.3</v>
          </cell>
        </row>
        <row r="8">
          <cell r="D8" t="str">
            <v>5.3.00</v>
          </cell>
        </row>
        <row r="16">
          <cell r="D16" t="str">
            <v>BLT DANA DESA</v>
          </cell>
          <cell r="K16">
            <v>122400000</v>
          </cell>
        </row>
      </sheetData>
      <sheetData sheetId="94"/>
      <sheetData sheetId="95"/>
      <sheetData sheetId="96"/>
      <sheetData sheetId="97"/>
      <sheetData sheetId="98"/>
      <sheetData sheetId="99"/>
      <sheetData sheetId="100">
        <row r="3">
          <cell r="B3">
            <v>1</v>
          </cell>
          <cell r="C3" t="str">
            <v>BIDANG PENYELENGGARAN PEMERINTAHAN DESA</v>
          </cell>
        </row>
        <row r="4">
          <cell r="B4" t="str">
            <v>1.1</v>
          </cell>
          <cell r="C4" t="str">
            <v>Penyelenggaran Belanja Siltap, Tunjangan dan Operasional Pemerintahan Desa</v>
          </cell>
        </row>
        <row r="5">
          <cell r="B5" t="str">
            <v>1.1.01</v>
          </cell>
          <cell r="C5" t="str">
            <v>Penyediaan Penghasilan Tetap dan Tunjangan Kepala Desa</v>
          </cell>
        </row>
        <row r="6">
          <cell r="B6" t="str">
            <v>1.1.02</v>
          </cell>
          <cell r="C6" t="str">
            <v>Penyediaan Penghasilan Tetap dan Tunjangan Perangkat Desa</v>
          </cell>
        </row>
        <row r="7">
          <cell r="B7" t="str">
            <v>1.1.03</v>
          </cell>
          <cell r="C7" t="str">
            <v>Penyediaan Jaminan Sosial bagi Kepala Desa dan Perangkat Desa</v>
          </cell>
        </row>
        <row r="8">
          <cell r="B8" t="str">
            <v>1.1.04</v>
          </cell>
          <cell r="C8" t="str">
            <v>Penyediaan Operasional Pemerintah Desa (ATK, Honor PKPKD dan PPKD dll)</v>
          </cell>
        </row>
        <row r="9">
          <cell r="B9" t="str">
            <v>1.1.05</v>
          </cell>
          <cell r="C9" t="str">
            <v>Penyediaan Tunjangan BPD</v>
          </cell>
        </row>
        <row r="10">
          <cell r="B10" t="str">
            <v>1.1.06</v>
          </cell>
          <cell r="C10" t="str">
            <v>Penyediaan Operasional BPD (rapat, ATK, Makan Minum, Pakaian Seragam, Listrik dll)</v>
          </cell>
        </row>
        <row r="11">
          <cell r="B11" t="str">
            <v>1.1.07</v>
          </cell>
          <cell r="C11" t="str">
            <v>Penyediaan Insentif/Operasional RT/RW</v>
          </cell>
        </row>
        <row r="12">
          <cell r="B12" t="str">
            <v>1.1.08</v>
          </cell>
          <cell r="C12" t="str">
            <v>Penyediaan Operasional Pemerintah Desa yang bersumber dari Dana Desa</v>
          </cell>
        </row>
        <row r="13">
          <cell r="B13" t="str">
            <v>1.1.90</v>
          </cell>
          <cell r="C13" t="str">
            <v>Penyediaan jaminan sosial bagi pekerja rentan</v>
          </cell>
        </row>
        <row r="14">
          <cell r="B14" t="str">
            <v>1.2</v>
          </cell>
          <cell r="C14" t="str">
            <v>Penyediaan Sarana Prasarana Pemerintahan Desa</v>
          </cell>
        </row>
        <row r="15">
          <cell r="B15" t="str">
            <v>1.2.01</v>
          </cell>
          <cell r="C15" t="str">
            <v>Penyediaan Sarana (Aset Tetap) Perkantoran/Pemerintahan</v>
          </cell>
        </row>
        <row r="16">
          <cell r="B16" t="str">
            <v>1.2.02</v>
          </cell>
          <cell r="C16" t="str">
            <v>Pemeliharaan Gedung/Prasarana Kantor Desa</v>
          </cell>
        </row>
        <row r="17">
          <cell r="B17" t="str">
            <v>1.2.03</v>
          </cell>
          <cell r="C17" t="str">
            <v>Pembangunan/Rehabilitasi/Peningkatan Gedung/Prasarana Kantor Desa **)</v>
          </cell>
        </row>
        <row r="18">
          <cell r="B18" t="str">
            <v>1.3</v>
          </cell>
          <cell r="C18" t="str">
            <v>Pengelolaan Administrasi Kependudukan, Pencatatan Sipil, Statistik dan Kearsipan</v>
          </cell>
        </row>
        <row r="19">
          <cell r="B19" t="str">
            <v>1.3.01</v>
          </cell>
          <cell r="C19" t="str">
            <v>Pelayanan Administrasi Umum dan  Kependudukan</v>
          </cell>
        </row>
        <row r="20">
          <cell r="B20" t="str">
            <v>1.3.02</v>
          </cell>
          <cell r="C20" t="str">
            <v>Penyusunan, Pendataan, dan Pemutakhiran Profil Desa **)</v>
          </cell>
        </row>
        <row r="21">
          <cell r="B21" t="str">
            <v>1.3.03</v>
          </cell>
          <cell r="C21" t="str">
            <v>Pengelolaan Adminstrasi dan Kearsipan Pemerintahan Desa</v>
          </cell>
        </row>
        <row r="22">
          <cell r="B22" t="str">
            <v>1.3.04</v>
          </cell>
          <cell r="C22" t="str">
            <v>Penyuluhan dan Penyadaran Masyarakat tentang Kependudukan dan Capil</v>
          </cell>
        </row>
        <row r="23">
          <cell r="B23" t="str">
            <v>1.3.05</v>
          </cell>
          <cell r="C23" t="str">
            <v>Pemetaan dan Analisis Kemiskinan Desa secara Partisipatif</v>
          </cell>
        </row>
        <row r="24">
          <cell r="B24" t="str">
            <v>1.4</v>
          </cell>
          <cell r="C24" t="str">
            <v>Penyelenggaraan Tata Praja Pemerintahan, Perencanaan, Keuangan dan Pelaporan</v>
          </cell>
        </row>
        <row r="25">
          <cell r="B25" t="str">
            <v>1.4.01</v>
          </cell>
          <cell r="C25" t="str">
            <v>Penyelenggaraan Musyawarah Perencanaan Desa/Pembahasan APBDes (Reguler)</v>
          </cell>
        </row>
        <row r="26">
          <cell r="B26" t="str">
            <v>1.4.02</v>
          </cell>
          <cell r="C26" t="str">
            <v>Penyelenggaraan Musyawaran Desa Lainnya (Musdus, rembug desa Non Reguler)</v>
          </cell>
        </row>
        <row r="27">
          <cell r="B27" t="str">
            <v>1.4.03</v>
          </cell>
          <cell r="C27" t="str">
            <v>Penyusunan Dokumen Perencanaan Desa (RPJMDesa/RKPDesa dll)</v>
          </cell>
        </row>
        <row r="28">
          <cell r="B28" t="str">
            <v>1.4.04</v>
          </cell>
          <cell r="C28" t="str">
            <v>Penyusunan Dokumen Keuangan Desa (APBDes, APBDes Perubahan, LPJ dll)</v>
          </cell>
        </row>
        <row r="29">
          <cell r="B29" t="str">
            <v>1.4.05</v>
          </cell>
          <cell r="C29" t="str">
            <v>Pengelolaan Administrasi/ Inventarisasi/Penilaian Aset Desa</v>
          </cell>
        </row>
        <row r="30">
          <cell r="B30" t="str">
            <v>1.4.06</v>
          </cell>
          <cell r="C30" t="str">
            <v>Penyusunan Kebijakan Desa (Perdes/Perkades selain Perencanaan/Keuangan)</v>
          </cell>
        </row>
        <row r="31">
          <cell r="B31" t="str">
            <v>1.4.07</v>
          </cell>
          <cell r="C31" t="str">
            <v>Penyusunan Laporan Kepala Desa, LPPDesa dan Informasi Kepada Masyarakat</v>
          </cell>
        </row>
        <row r="32">
          <cell r="B32" t="str">
            <v>1.4.08</v>
          </cell>
          <cell r="C32" t="str">
            <v>Pengembangan Sistem Informasi Desa</v>
          </cell>
        </row>
        <row r="33">
          <cell r="B33" t="str">
            <v>1.4.09</v>
          </cell>
          <cell r="C33" t="str">
            <v>Koordinasi/Kerjasama Penyelenggaraan Pemerintahan &amp; Pembangunan Desa</v>
          </cell>
        </row>
        <row r="34">
          <cell r="B34" t="str">
            <v>1.4.10</v>
          </cell>
          <cell r="C34" t="str">
            <v>Dukungan &amp; Sosialisasi Pelaksanaan Pilkades, Pemilihan Ka. Kewilayahan &amp; BPD</v>
          </cell>
        </row>
        <row r="35">
          <cell r="B35" t="str">
            <v>1.4.11</v>
          </cell>
          <cell r="C35" t="str">
            <v>Penyelenggaran Lomba antar Kewilayahan &amp; Pengiriman Kontingen dlm Lomdes</v>
          </cell>
        </row>
        <row r="36">
          <cell r="B36" t="str">
            <v>1.4.12</v>
          </cell>
          <cell r="C36" t="str">
            <v>Dukungan Biaya Oprasional dan Biaya Lainnya untuk Desa Persiapan</v>
          </cell>
        </row>
        <row r="37">
          <cell r="B37" t="str">
            <v>1.5</v>
          </cell>
          <cell r="C37" t="str">
            <v>Sub Bidang Pertanahan</v>
          </cell>
        </row>
        <row r="38">
          <cell r="B38" t="str">
            <v>1.5.01</v>
          </cell>
          <cell r="C38" t="str">
            <v>Sertifikasi Tanah Kas Desa</v>
          </cell>
        </row>
        <row r="39">
          <cell r="B39" t="str">
            <v>1.5.02</v>
          </cell>
          <cell r="C39" t="str">
            <v>Administrasi Pertanahan (Pendaftaran Tanah dan Pemberian Registrasi Agenda Pertanahan)</v>
          </cell>
        </row>
        <row r="40">
          <cell r="B40" t="str">
            <v>1.5.03</v>
          </cell>
          <cell r="C40" t="str">
            <v>Fasilitasi Sertifikasi Tanah untuk Masyarakat Miskin</v>
          </cell>
        </row>
        <row r="41">
          <cell r="B41" t="str">
            <v>1.5.04</v>
          </cell>
          <cell r="C41" t="str">
            <v>Kegiatan Mediasi Konflik Pertanahan</v>
          </cell>
        </row>
        <row r="42">
          <cell r="B42" t="str">
            <v>1.5.05</v>
          </cell>
          <cell r="C42" t="str">
            <v>Kegiatan Penyuluhan Pertanahan</v>
          </cell>
        </row>
        <row r="43">
          <cell r="B43" t="str">
            <v>1.5.06</v>
          </cell>
          <cell r="C43" t="str">
            <v>Adminstrasi Pajak Bumi dan Bangunan (PBB)</v>
          </cell>
        </row>
        <row r="44">
          <cell r="B44" t="str">
            <v>1.5.07</v>
          </cell>
          <cell r="C44" t="str">
            <v>Penentuan/Penegasan Batas/patok Tanah Kas Desa</v>
          </cell>
        </row>
        <row r="45">
          <cell r="B45">
            <v>2</v>
          </cell>
          <cell r="C45" t="str">
            <v>BIDANG PELAKSANAAN PEMBANGUNAN DESA</v>
          </cell>
        </row>
        <row r="46">
          <cell r="B46" t="str">
            <v>2.1</v>
          </cell>
          <cell r="C46" t="str">
            <v>Sub Bidang Pendidikan</v>
          </cell>
        </row>
        <row r="47">
          <cell r="B47" t="str">
            <v>2.1.01</v>
          </cell>
          <cell r="C47" t="str">
            <v>Penyelenggaran PAUD/TK/TPA/TKA/TPQ/Madrasah NonFormal Milik Desa (Honor, Pakaian dll)</v>
          </cell>
        </row>
        <row r="48">
          <cell r="B48" t="str">
            <v>2.1.02</v>
          </cell>
          <cell r="C48" t="str">
            <v>Dukungan Penyelenggaran PAUD (APE, Sarana PAUD dst)</v>
          </cell>
        </row>
        <row r="49">
          <cell r="B49" t="str">
            <v>2.1.03</v>
          </cell>
          <cell r="C49" t="str">
            <v>Penyuluhan dan Pelatihan Pendidikan Bagi Masyarakat</v>
          </cell>
        </row>
        <row r="50">
          <cell r="B50" t="str">
            <v>2.1.04</v>
          </cell>
          <cell r="C50" t="str">
            <v>Pemeliharaan Sarana Prasarana Perpustakaan/Taman Bacaan/Sanggar Belajar Milik Desa</v>
          </cell>
        </row>
        <row r="51">
          <cell r="B51" t="str">
            <v>2.1.05</v>
          </cell>
          <cell r="C51" t="str">
            <v>Pemeliharaan Sarana Prasarana PAUD/TK/TPA/TKA/TPQ/Madrasah Nonformal Milik Desa</v>
          </cell>
        </row>
        <row r="52">
          <cell r="B52" t="str">
            <v>2.1.06</v>
          </cell>
          <cell r="C52" t="str">
            <v>Pembangunan/Rehabilitasi/Peningkatan/Pengadaan Sarana/Prasarana/Alat Peraga   PAUD/ TK/TPA/TKA/TPQ/Madrasah Nonformal</v>
          </cell>
        </row>
        <row r="53">
          <cell r="B53" t="str">
            <v>2.1.07</v>
          </cell>
          <cell r="C53" t="str">
            <v>Pembangunan/Rehabilitasi/Peningkatan Sarana/Prasarana Perpustakaan/Taman  Bacaan Desa/ Sanggar Belajar Milik Desa</v>
          </cell>
        </row>
        <row r="54">
          <cell r="B54" t="str">
            <v>2.1.08</v>
          </cell>
          <cell r="C54" t="str">
            <v>Pengelolaan Perpustakaan Milik Desa (Pengadaan Buku, Honor, Taman Baca)</v>
          </cell>
        </row>
        <row r="55">
          <cell r="B55" t="str">
            <v>2.1.09</v>
          </cell>
          <cell r="C55" t="str">
            <v>Pengembangan dan Pembinaan Sanggar Seni dan Belajar</v>
          </cell>
        </row>
        <row r="56">
          <cell r="B56" t="str">
            <v>2.1.10</v>
          </cell>
          <cell r="C56" t="str">
            <v>Dukungan Pendidikan bagi Siswa Miskin/Berprestasi</v>
          </cell>
        </row>
        <row r="57">
          <cell r="B57" t="str">
            <v>2.2</v>
          </cell>
          <cell r="C57" t="str">
            <v>Sub Bidang Kesehatan</v>
          </cell>
        </row>
        <row r="58">
          <cell r="B58" t="str">
            <v>2.2.01</v>
          </cell>
          <cell r="C58" t="str">
            <v>Penyelenggaraan Pos Kesehatan Desa/Polindes Milik Desa (obat, Insentif, KB, dsb)</v>
          </cell>
        </row>
        <row r="59">
          <cell r="B59" t="str">
            <v>2.2.02</v>
          </cell>
          <cell r="C59" t="str">
            <v>Penyelenggaraan Posyandu (Mkn Tambahan, Kls Bumil, Lamsia, Insentif)</v>
          </cell>
        </row>
        <row r="60">
          <cell r="B60" t="str">
            <v>2.2.03</v>
          </cell>
          <cell r="C60" t="str">
            <v>Penyuluhan dan Pelatihan Bidang Kesehatan (Untuk Masy, Tenaga dan Kader Kesehatan dll)</v>
          </cell>
        </row>
        <row r="61">
          <cell r="B61" t="str">
            <v>2.2.04</v>
          </cell>
          <cell r="C61" t="str">
            <v>Penyelenggaraan Desa Siaga Kesehatan</v>
          </cell>
        </row>
        <row r="62">
          <cell r="B62" t="str">
            <v>2.2.05</v>
          </cell>
          <cell r="C62" t="str">
            <v>Pembinaan Palang Merah Remaja (PMR) Tingkat Desa</v>
          </cell>
        </row>
        <row r="63">
          <cell r="B63" t="str">
            <v>2.2.06</v>
          </cell>
          <cell r="C63" t="str">
            <v>Pengasuhan Bersama atau Bina Keluarga Balita (BKB)</v>
          </cell>
        </row>
        <row r="64">
          <cell r="B64" t="str">
            <v>2.2.07</v>
          </cell>
          <cell r="C64" t="str">
            <v>Pembinaan dan Pengawasan Upaya Kesehatan Tradisional</v>
          </cell>
        </row>
        <row r="65">
          <cell r="B65" t="str">
            <v>2.2.08</v>
          </cell>
          <cell r="C65" t="str">
            <v>Pemeliharaan Sarana Prasarana Posyandu/Polindes/PKD</v>
          </cell>
        </row>
        <row r="66">
          <cell r="B66" t="str">
            <v>2.2.09</v>
          </cell>
          <cell r="C66" t="str">
            <v>Pembangunan/Rehabilitasi/Peningkatan/Pengadaan Sarana/Prasarana Posyandu/Polindes/PKD **</v>
          </cell>
        </row>
        <row r="67">
          <cell r="B67" t="str">
            <v>2.3</v>
          </cell>
          <cell r="C67" t="str">
            <v>Sub Bidang Pekerjaan Umum dan Penataan Ruang</v>
          </cell>
        </row>
        <row r="68">
          <cell r="B68" t="str">
            <v>2.3.01</v>
          </cell>
          <cell r="C68" t="str">
            <v>Pemeliharaan Jalan Desa</v>
          </cell>
        </row>
        <row r="69">
          <cell r="B69" t="str">
            <v>2.3.02</v>
          </cell>
          <cell r="C69" t="str">
            <v>Pemeliharaan Jalan Lingkungan Pemukiman/Gang</v>
          </cell>
        </row>
        <row r="70">
          <cell r="B70" t="str">
            <v>2.3.03</v>
          </cell>
          <cell r="C70" t="str">
            <v>Pemeliharaan Jalan Usaha Tani</v>
          </cell>
        </row>
        <row r="71">
          <cell r="B71" t="str">
            <v>2.3.04</v>
          </cell>
          <cell r="C71" t="str">
            <v>Pemeliharaan Jembatan Desa</v>
          </cell>
        </row>
        <row r="72">
          <cell r="B72" t="str">
            <v>2.3.05</v>
          </cell>
          <cell r="C72" t="str">
            <v>Pemeliharaan Prasarana Jalan Desa (Gorong-gorong/Selokan/Parit/Drainase dll)</v>
          </cell>
        </row>
        <row r="73">
          <cell r="B73" t="str">
            <v>2.3.06</v>
          </cell>
          <cell r="C73" t="str">
            <v>Pemeliharaan Gedung/Prasarana Balai Desa/Balai Kemasyarakatan</v>
          </cell>
        </row>
        <row r="74">
          <cell r="B74" t="str">
            <v>2.3.07</v>
          </cell>
          <cell r="C74" t="str">
            <v>Pemeliharaan Pemakaman /Situs Bersejarah/Petilasan Milik Desa</v>
          </cell>
        </row>
        <row r="75">
          <cell r="B75" t="str">
            <v>2.3.08</v>
          </cell>
          <cell r="C75" t="str">
            <v>Pemeliharaan Embung Milik Desa</v>
          </cell>
        </row>
        <row r="76">
          <cell r="B76" t="str">
            <v>2.3.09</v>
          </cell>
          <cell r="C76" t="str">
            <v>Pemelharaan Monumen/Gapura/Batas Desa</v>
          </cell>
        </row>
        <row r="77">
          <cell r="B77" t="str">
            <v>2.3.10</v>
          </cell>
          <cell r="C77" t="str">
            <v>Pembangunan/Rehabilitas/Peningkatan/Pengerasan Jalan Desa **)</v>
          </cell>
        </row>
        <row r="78">
          <cell r="B78" t="str">
            <v>2.3.11</v>
          </cell>
          <cell r="C78" t="str">
            <v>Pembangunan/Rehabilitasi/Peningkatan/Pengerasan Jalan Lingkungan  Permukiman **)</v>
          </cell>
        </row>
        <row r="79">
          <cell r="B79" t="str">
            <v>2.3.12</v>
          </cell>
          <cell r="C79" t="str">
            <v>Pembangunan/Rehabilitasi/Peningkatan/Pengerasan Jalan Usaha Tani **)</v>
          </cell>
        </row>
        <row r="80">
          <cell r="B80" t="str">
            <v>2.3.13</v>
          </cell>
          <cell r="C80" t="str">
            <v>Pembangunan/Rehabilitasi/Peningkatan/Pengerasan Jembatan Milik Desa **)</v>
          </cell>
        </row>
        <row r="81">
          <cell r="B81" t="str">
            <v>2.3.14</v>
          </cell>
          <cell r="C81" t="str">
            <v>Pembangunan/Rehabilitasi/Peningkatan Prasarana Jalan Desa (Gorong, selokan dll)</v>
          </cell>
        </row>
        <row r="82">
          <cell r="B82" t="str">
            <v>2.3.15</v>
          </cell>
          <cell r="C82" t="str">
            <v>Pembangunan/Rehabilitasi/Peningkatan Balai Desa/Balai Kemasyarakatan **)</v>
          </cell>
        </row>
        <row r="83">
          <cell r="B83" t="str">
            <v>2.3.16</v>
          </cell>
          <cell r="C83" t="str">
            <v>Pembangunan/Rehabilitasi/Peningkatan Pemakaman Milik Desa/Situs Bersejarah Milik Desa/Petilasan</v>
          </cell>
        </row>
        <row r="84">
          <cell r="B84" t="str">
            <v>2.3.17</v>
          </cell>
          <cell r="C84" t="str">
            <v>Pembuatan/Pemutakhiran Peta Wilayah dan Sosial Desa **)</v>
          </cell>
        </row>
        <row r="85">
          <cell r="B85" t="str">
            <v>2.3.18</v>
          </cell>
          <cell r="C85" t="str">
            <v>Penyusunan Dokumen Perencanaan Tata Ruang Desa</v>
          </cell>
        </row>
        <row r="86">
          <cell r="B86" t="str">
            <v>2.3.19</v>
          </cell>
          <cell r="C86" t="str">
            <v>Pembangunan/Rehabilitasi/Peningkatan Embung Desa **)</v>
          </cell>
        </row>
        <row r="87">
          <cell r="B87" t="str">
            <v>2.3.20</v>
          </cell>
          <cell r="C87" t="str">
            <v>Pembangunan/Rehabilitasi/Peningkatan Monumen/Gapura/Batas Desa **)</v>
          </cell>
        </row>
        <row r="88">
          <cell r="B88" t="str">
            <v>2.4</v>
          </cell>
          <cell r="C88" t="str">
            <v>Sub Bidang Kawasan Pemukiman</v>
          </cell>
        </row>
        <row r="89">
          <cell r="B89" t="str">
            <v>2.4.01</v>
          </cell>
          <cell r="C89" t="str">
            <v>Dukungan Pelaksanaan Program Pembangunan/Rehab Rumah Tidak Layak Huni GAKIN</v>
          </cell>
        </row>
        <row r="90">
          <cell r="B90" t="str">
            <v>2.4.02</v>
          </cell>
          <cell r="C90" t="str">
            <v>Pemeliharaan Sumur Resapan Milik Desa</v>
          </cell>
        </row>
        <row r="91">
          <cell r="B91" t="str">
            <v>2.4.03</v>
          </cell>
          <cell r="C91" t="str">
            <v>Pemeliharaan Sumber Air Bersih Milik Desa (Mata Air, Penampung Air, Sumur Bor dll)</v>
          </cell>
        </row>
        <row r="92">
          <cell r="B92" t="str">
            <v>2.4.04</v>
          </cell>
          <cell r="C92" t="str">
            <v>Pemeliharaan Sambungan Air Bersih ke Rumah Tangga (Pipanisasi dll)</v>
          </cell>
        </row>
        <row r="93">
          <cell r="B93" t="str">
            <v>2.4.05</v>
          </cell>
          <cell r="C93" t="str">
            <v>Pemeliharaan Sanitasi Pemukiman (Gorong-gorong, Selokan, Parit diluar Prasarana Jalan))</v>
          </cell>
        </row>
        <row r="94">
          <cell r="B94" t="str">
            <v>2.4.06</v>
          </cell>
          <cell r="C94" t="str">
            <v>Pemeliharaan Fasilitas Jamban Umum/MCK Umum dll</v>
          </cell>
        </row>
        <row r="95">
          <cell r="B95" t="str">
            <v>2.4.07</v>
          </cell>
          <cell r="C95" t="str">
            <v>Pemeliharaan Fasilitas Pengelolaan Sampah Desa (Penampungan, Bank Sampah, dll)</v>
          </cell>
        </row>
        <row r="96">
          <cell r="B96" t="str">
            <v>2.4.08</v>
          </cell>
          <cell r="C96" t="str">
            <v>Pemeliharaan Sistem Pembuangan Air Limbah (Drainase, Air limbah Rumah Tangga)</v>
          </cell>
        </row>
        <row r="97">
          <cell r="B97" t="str">
            <v>2.4.09</v>
          </cell>
          <cell r="C97" t="str">
            <v>Pemeliharaan Taman/Taman Bermain Anak Milik Desa</v>
          </cell>
        </row>
        <row r="98">
          <cell r="B98" t="str">
            <v>2.4.10</v>
          </cell>
          <cell r="C98" t="str">
            <v>Pembangunan/Rehabilitasi/Peningkatan Sumur Resapan **)</v>
          </cell>
        </row>
        <row r="99">
          <cell r="B99" t="str">
            <v>2.4.11</v>
          </cell>
          <cell r="C99" t="str">
            <v>Pembangunan/Rehabilitasi/Peningkatan Sumber Air Bersih Milik Desa **)</v>
          </cell>
        </row>
        <row r="100">
          <cell r="B100" t="str">
            <v>2.4.12</v>
          </cell>
          <cell r="C100" t="str">
            <v>Pembangunan/Rehabilitasi/Peningkatan Sambungan Air Bersih ke Rumah Tangga **)</v>
          </cell>
        </row>
        <row r="101">
          <cell r="B101" t="str">
            <v>2.4.13</v>
          </cell>
          <cell r="C101" t="str">
            <v>Pembangunan/Rehabilitasi/Peningkatan Sanitasi Permukiman **)</v>
          </cell>
        </row>
        <row r="102">
          <cell r="B102" t="str">
            <v>2.4.14</v>
          </cell>
          <cell r="C102" t="str">
            <v>Pembangunan/Rehabilitas/Peningkatan Fasilitas Jamban Umum/MCK umum, dll **)</v>
          </cell>
        </row>
        <row r="103">
          <cell r="B103" t="str">
            <v>2.4.15</v>
          </cell>
          <cell r="C103" t="str">
            <v>Pembangunan/Rehabilitasi/Peningkatan Fasilitas Pengelolaan Sampah **)</v>
          </cell>
        </row>
        <row r="104">
          <cell r="B104" t="str">
            <v>2.4.16</v>
          </cell>
          <cell r="C104" t="str">
            <v>Pembangunan/Rehabilitasi/Peningkatan Sistem Pembuangan Air Limbah **)</v>
          </cell>
        </row>
        <row r="105">
          <cell r="B105" t="str">
            <v>2.4.17</v>
          </cell>
          <cell r="C105" t="str">
            <v>Pembangunan/Rehabilitasi/Peningkatan Taman/Taman Bermain Anak Milik Desa **)</v>
          </cell>
        </row>
        <row r="106">
          <cell r="B106" t="str">
            <v>2.5</v>
          </cell>
          <cell r="C106" t="str">
            <v>Sub Bidang Kehutanan dan Lingkungan Hidup</v>
          </cell>
        </row>
        <row r="107">
          <cell r="B107" t="str">
            <v>2.5.01</v>
          </cell>
          <cell r="C107" t="str">
            <v>Pengelolaan Hutan Milik Desa</v>
          </cell>
        </row>
        <row r="108">
          <cell r="B108" t="str">
            <v>2.5.02</v>
          </cell>
          <cell r="C108" t="str">
            <v>Pengelolaan Lingkungan Hidup Milik Desa</v>
          </cell>
        </row>
        <row r="109">
          <cell r="B109" t="str">
            <v>2.5.03</v>
          </cell>
          <cell r="C109" t="str">
            <v>Pelatihan/Sosialisasi/Penyuluhan/Penyadaran tentang LH dan Kehutanan **)</v>
          </cell>
        </row>
        <row r="110">
          <cell r="B110" t="str">
            <v>2.6</v>
          </cell>
          <cell r="C110" t="str">
            <v>Sub Bidang Perhubungan, Komunikasi dan Informatika</v>
          </cell>
        </row>
        <row r="111">
          <cell r="B111" t="str">
            <v>2.6.01</v>
          </cell>
          <cell r="C111" t="str">
            <v>Pembuatan Rambu-rambu di Jalan Desa</v>
          </cell>
        </row>
        <row r="112">
          <cell r="B112" t="str">
            <v>2.6.02</v>
          </cell>
          <cell r="C112" t="str">
            <v>Penyelenggaraan Informasi Publik Desa (Poster, Baliho Dll)</v>
          </cell>
        </row>
        <row r="113">
          <cell r="B113" t="str">
            <v>2.6.03</v>
          </cell>
          <cell r="C113" t="str">
            <v>Pengelolaan dan Pembuatan Jaringan/Instalasi Komunikasi dan Informasi Lokal Desa</v>
          </cell>
        </row>
        <row r="114">
          <cell r="B114" t="str">
            <v>2.6.04</v>
          </cell>
          <cell r="C114" t="str">
            <v>Pemeliharaan Sarana dan Prasarana Transportasi Desa</v>
          </cell>
        </row>
        <row r="115">
          <cell r="B115" t="str">
            <v>2.6.05</v>
          </cell>
          <cell r="C115" t="str">
            <v>Pembangunan/Rehabilitasi/Peningkatan/Pengadaan Sarana &amp; Prasarana Transportasi Desa</v>
          </cell>
        </row>
        <row r="116">
          <cell r="B116" t="str">
            <v>2.7</v>
          </cell>
          <cell r="C116" t="str">
            <v>Sub Bidang Energi dan Sumberdaya Mineral</v>
          </cell>
        </row>
        <row r="117">
          <cell r="B117" t="str">
            <v>2.7.01</v>
          </cell>
          <cell r="C117" t="str">
            <v>Pemeiliharaan Sarana dan Prasarana Energi Alternatif Desa</v>
          </cell>
        </row>
        <row r="118">
          <cell r="B118" t="str">
            <v>2.7.02</v>
          </cell>
          <cell r="C118" t="str">
            <v>Pembangunan/Rehabilitasi/Peningkatan Sarana &amp; Prasarana Energi Alternatif Desa</v>
          </cell>
        </row>
        <row r="119">
          <cell r="B119" t="str">
            <v>2.8</v>
          </cell>
          <cell r="C119" t="str">
            <v>Sub Bidang Pariwisata</v>
          </cell>
        </row>
        <row r="120">
          <cell r="B120" t="str">
            <v>2.8.01</v>
          </cell>
          <cell r="C120" t="str">
            <v>Pemeliharaan Sarana dan Prasarana Pariwisata Milik Desa</v>
          </cell>
        </row>
        <row r="121">
          <cell r="B121" t="str">
            <v>2.8.02</v>
          </cell>
          <cell r="C121" t="str">
            <v>Pembangunan/Rehabilitasi/Peningkatan Sarana dan Prasarana Pariwisata Milik **)</v>
          </cell>
        </row>
        <row r="122">
          <cell r="B122" t="str">
            <v>2.8.03</v>
          </cell>
          <cell r="C122" t="str">
            <v>Pengembangan Pariwisata Tingkat Desa</v>
          </cell>
        </row>
        <row r="123">
          <cell r="B123">
            <v>3</v>
          </cell>
          <cell r="C123" t="str">
            <v>BIDANG PEMBINAAN KEMASYARAKATAN</v>
          </cell>
        </row>
        <row r="124">
          <cell r="B124" t="str">
            <v>3.1</v>
          </cell>
          <cell r="C124" t="str">
            <v>Sub Bidang Ketenteraman, Ketertiban Umum dan Perlindungan Masyarakat</v>
          </cell>
        </row>
        <row r="125">
          <cell r="B125" t="str">
            <v>3.1.01</v>
          </cell>
          <cell r="C125" t="str">
            <v>Pengadaan/Penyelenggaran Pos Keamanan Desa</v>
          </cell>
        </row>
        <row r="126">
          <cell r="B126" t="str">
            <v>3.1.02</v>
          </cell>
          <cell r="C126" t="str">
            <v>Penguatan &amp; Peningkatan Kapasitas Tenaga Keamanan/Ketertiban oleh Pemdes</v>
          </cell>
        </row>
        <row r="127">
          <cell r="B127" t="str">
            <v>3.1.03</v>
          </cell>
          <cell r="C127" t="str">
            <v>Koordinasi Pembinaan Keamanan, Ketertiban &amp; Perlindungan Masy. Skala Lokal Desa</v>
          </cell>
        </row>
        <row r="128">
          <cell r="B128" t="str">
            <v>3.1.04</v>
          </cell>
          <cell r="C128" t="str">
            <v>Persiapan Kesiapsiagaan/Tanggap Bencana Skala Lokal Desa</v>
          </cell>
        </row>
        <row r="129">
          <cell r="B129" t="str">
            <v>3.1.05</v>
          </cell>
          <cell r="C129" t="str">
            <v>Penyediaan Pos Kesiapsiagaan Bencana Skala Lokal Desa</v>
          </cell>
        </row>
        <row r="130">
          <cell r="B130" t="str">
            <v>3.1.06</v>
          </cell>
          <cell r="C130" t="str">
            <v>Bantuan Hukum Untuk Aparatur Desa dan Masyarakat Miskin</v>
          </cell>
        </row>
        <row r="131">
          <cell r="B131" t="str">
            <v>3.1.07</v>
          </cell>
          <cell r="C131" t="str">
            <v>Pelatihan/Penyuluhan/Sosialisasi kepada Masy. di Bid. Hukum &amp;  Pelindungan Masy.</v>
          </cell>
        </row>
        <row r="132">
          <cell r="B132" t="str">
            <v>3.2</v>
          </cell>
          <cell r="C132" t="str">
            <v>Sub Bidang Kebudayaan dan Keagamaan</v>
          </cell>
        </row>
        <row r="133">
          <cell r="B133" t="str">
            <v>3.2.01</v>
          </cell>
          <cell r="C133" t="str">
            <v>Pembinaan Group Kesenian dan Kebudayaan Tingkat Desa</v>
          </cell>
        </row>
        <row r="134">
          <cell r="B134" t="str">
            <v>3.2.02</v>
          </cell>
          <cell r="C134" t="str">
            <v>Pengiriman Kontingen Group Kesenian &amp; Kebudayaan (Wakil Desa tkt. Kec/Kab/Kot)</v>
          </cell>
        </row>
        <row r="135">
          <cell r="B135" t="str">
            <v>3.2.03</v>
          </cell>
          <cell r="C135" t="str">
            <v>Penyelenggaran Festival Kesenian, Adat/Kebudayaan, dan Kegamaan (HUT RI, Raya Keagamaan dll)</v>
          </cell>
        </row>
        <row r="136">
          <cell r="B136" t="str">
            <v>3.2.04</v>
          </cell>
          <cell r="C136" t="str">
            <v>Pemeliharaan Sarana Prasarana Kebudayaan, Rumah Adat dan Kegamaan Milik Desa</v>
          </cell>
        </row>
        <row r="137">
          <cell r="B137" t="str">
            <v>3.2.05</v>
          </cell>
          <cell r="C137" t="str">
            <v>Pembangunan/Rehabilitasi Sarana Prasarana Kebudayaan/Rumah Adat/Kegamaan Milik Desa **)</v>
          </cell>
        </row>
        <row r="138">
          <cell r="B138" t="str">
            <v>3.3</v>
          </cell>
          <cell r="C138" t="str">
            <v>Sub Bidang Kepemudaan dan Olahraga</v>
          </cell>
        </row>
        <row r="139">
          <cell r="B139" t="str">
            <v>3.3.01</v>
          </cell>
          <cell r="C139" t="str">
            <v>Pengiriman Kontingen Kepemudaan &amp; Olahraga Sebagai Wakil Desa tkt Kec/Kab/Kota</v>
          </cell>
        </row>
        <row r="140">
          <cell r="B140" t="str">
            <v>3.3.02</v>
          </cell>
          <cell r="C140" t="str">
            <v>Penyelenggaraan Pelatihan Kepemudaan Tingkat Desa</v>
          </cell>
        </row>
        <row r="141">
          <cell r="B141" t="str">
            <v>3.3.03</v>
          </cell>
          <cell r="C141" t="str">
            <v>Penyelenggaraan Festival/Lomba Kepemudaan dan Olaraga Tingkat Desa</v>
          </cell>
        </row>
        <row r="142">
          <cell r="B142" t="str">
            <v>3.3.04</v>
          </cell>
          <cell r="C142" t="str">
            <v>Pemeliharaan Sarana dan Prasarana Kepemudaan dan Olahraga Milik Desa</v>
          </cell>
        </row>
        <row r="143">
          <cell r="B143" t="str">
            <v>3.3.05</v>
          </cell>
          <cell r="C143" t="str">
            <v>Pembangunan/Rehabilitasi/Peningkatan Sarana dan Prasarana Kepemudaan &amp; Olahraga Milik Desa</v>
          </cell>
        </row>
        <row r="144">
          <cell r="B144" t="str">
            <v>3.3.06</v>
          </cell>
          <cell r="C144" t="str">
            <v>Pembinaan Karangtaruna/Klub Kepemudaan/Olahraga Tingkat Desa</v>
          </cell>
        </row>
        <row r="145">
          <cell r="B145" t="str">
            <v>3.4</v>
          </cell>
          <cell r="C145" t="str">
            <v>Sub Bidang Kelembagaan Masyarakat</v>
          </cell>
        </row>
        <row r="146">
          <cell r="B146" t="str">
            <v>3.4.01</v>
          </cell>
          <cell r="C146" t="str">
            <v>Pembinaan Lembaga Adat</v>
          </cell>
        </row>
        <row r="147">
          <cell r="B147" t="str">
            <v>3.4.02</v>
          </cell>
          <cell r="C147" t="str">
            <v>Pembinaan LKMD/LPM/LPMD</v>
          </cell>
        </row>
        <row r="148">
          <cell r="B148" t="str">
            <v>3.4.03</v>
          </cell>
          <cell r="C148" t="str">
            <v>Pembinaan PKK</v>
          </cell>
        </row>
        <row r="149">
          <cell r="B149" t="str">
            <v>3.4.04</v>
          </cell>
          <cell r="C149" t="str">
            <v>Pelatihan Pembinaan Lembaga Kemasyarakatan</v>
          </cell>
        </row>
        <row r="150">
          <cell r="B150">
            <v>4</v>
          </cell>
          <cell r="C150" t="str">
            <v>BIDANG PEMBERDAYAAN MASYARAKAT</v>
          </cell>
        </row>
        <row r="151">
          <cell r="B151" t="str">
            <v>4.1</v>
          </cell>
          <cell r="C151" t="str">
            <v>Sub Bidang Kelautan dan Perikanan</v>
          </cell>
        </row>
        <row r="152">
          <cell r="B152" t="str">
            <v>4.1.01</v>
          </cell>
          <cell r="C152" t="str">
            <v>Pemeliharaan Karamba/Kolam Perikanan Darat Milik Desa</v>
          </cell>
        </row>
        <row r="153">
          <cell r="B153" t="str">
            <v>4.1.02</v>
          </cell>
          <cell r="C153" t="str">
            <v>Pemeliharaan Pelabuhan Perikanan Sungai/Kecil Milik Desa</v>
          </cell>
        </row>
        <row r="154">
          <cell r="B154" t="str">
            <v>4.1.03</v>
          </cell>
          <cell r="C154" t="str">
            <v>Pembangunan/Rehabilitasi/Peningkatan Karamba/Kolam Perikanan Darat Milik Desa</v>
          </cell>
        </row>
        <row r="155">
          <cell r="B155" t="str">
            <v>4.1.04</v>
          </cell>
          <cell r="C155" t="str">
            <v>Pembangunan/Rehabilitasi/Peningkatan Pelabuhan Perikanan Sungai/Kecil Milik Desa</v>
          </cell>
        </row>
        <row r="156">
          <cell r="B156" t="str">
            <v>4.1.05</v>
          </cell>
          <cell r="C156" t="str">
            <v>Bantuan Perikanan (Bibit/Pakan/dll)</v>
          </cell>
        </row>
        <row r="157">
          <cell r="B157" t="str">
            <v>4.1.06</v>
          </cell>
          <cell r="C157" t="str">
            <v>Bimtek/Pelatihan/Pengenalan TTG untuk Perikanan Darat/Nelayan **)</v>
          </cell>
        </row>
        <row r="158">
          <cell r="B158" t="str">
            <v>4.2</v>
          </cell>
          <cell r="C158" t="str">
            <v>Sub Bidang Pertanian dan Peternakan</v>
          </cell>
        </row>
        <row r="159">
          <cell r="B159" t="str">
            <v>4.2.01</v>
          </cell>
          <cell r="C159" t="str">
            <v>Peningkatan Produksi Tanaman Pangan (alat produksi/pengelolaan/penggilingan)</v>
          </cell>
        </row>
        <row r="160">
          <cell r="B160" t="str">
            <v>4.2.02</v>
          </cell>
          <cell r="C160" t="str">
            <v>Peningkatan Produksi Peternakan  (alat produksi/pengelolaan/kandang)</v>
          </cell>
        </row>
        <row r="161">
          <cell r="B161" t="str">
            <v>4.2.03</v>
          </cell>
          <cell r="C161" t="str">
            <v>Penguatan Ketahanan Pangan Tingkat Desa (Lumbung Desa dll)</v>
          </cell>
        </row>
        <row r="162">
          <cell r="B162" t="str">
            <v>4.2.04</v>
          </cell>
          <cell r="C162" t="str">
            <v>Pemeliharaan Saluran Irigasi Tersier/Sederhana</v>
          </cell>
        </row>
        <row r="163">
          <cell r="B163" t="str">
            <v>4.2.05</v>
          </cell>
          <cell r="C163" t="str">
            <v>Pelatihan/Bimtek/Pengenalan Tekonologi Tepat Guna untuk Pertanian/Peternakan</v>
          </cell>
        </row>
        <row r="164">
          <cell r="B164" t="str">
            <v>4.2.06</v>
          </cell>
          <cell r="C164" t="str">
            <v>Pembangunan Saluran Irigasi Tersier/Sederhana</v>
          </cell>
        </row>
        <row r="165">
          <cell r="B165" t="str">
            <v>4.3</v>
          </cell>
          <cell r="C165" t="str">
            <v>Sub Bidang Peningkatan Kapasitas Aparatur Desa</v>
          </cell>
        </row>
        <row r="166">
          <cell r="B166" t="str">
            <v>4.3.01</v>
          </cell>
          <cell r="C166" t="str">
            <v>Peningkatan Kapasitas Kepala Desa</v>
          </cell>
        </row>
        <row r="167">
          <cell r="B167" t="str">
            <v>4.3.02</v>
          </cell>
          <cell r="C167" t="str">
            <v>Peningkatan Kapatitas Perangkat Desa</v>
          </cell>
        </row>
        <row r="168">
          <cell r="B168" t="str">
            <v>4.3.03</v>
          </cell>
          <cell r="C168" t="str">
            <v>Peningkatan Kapasitas BPD</v>
          </cell>
        </row>
        <row r="169">
          <cell r="B169" t="str">
            <v>4.4</v>
          </cell>
          <cell r="C169" t="str">
            <v>Sub Bidang Pemberdayaan Perempuan, Perlindungan Anak dan Keluarga</v>
          </cell>
        </row>
        <row r="170">
          <cell r="B170" t="str">
            <v>4.4.01</v>
          </cell>
          <cell r="C170" t="str">
            <v>Pelatihan dan Penyuluhan Pemberdayaan Perempuan</v>
          </cell>
        </row>
        <row r="171">
          <cell r="B171" t="str">
            <v>4.4.02</v>
          </cell>
          <cell r="C171" t="str">
            <v>Pelatihan dan Penyuluhan Perlindungan Anak</v>
          </cell>
        </row>
        <row r="172">
          <cell r="B172" t="str">
            <v>4.4.03</v>
          </cell>
          <cell r="C172" t="str">
            <v>Pelatihan dan Penguatan Penyandang Difable (Penyandang Disabilitas)</v>
          </cell>
        </row>
        <row r="173">
          <cell r="B173" t="str">
            <v>4.5</v>
          </cell>
          <cell r="C173" t="str">
            <v>Sub Bidang Koperasi, Usaha Micro Kecil dan Menengah (UMKM)</v>
          </cell>
        </row>
        <row r="174">
          <cell r="B174" t="str">
            <v>4.5.01</v>
          </cell>
          <cell r="C174" t="str">
            <v>Pelatihan Manajemen Koperasi/KUD/UMKM</v>
          </cell>
        </row>
        <row r="175">
          <cell r="B175" t="str">
            <v>4.5.02</v>
          </cell>
          <cell r="C175" t="str">
            <v>Pengembangan Sarana Prasarana Usaha Mikro, Kecil, Menengah dan Koperasi</v>
          </cell>
        </row>
        <row r="176">
          <cell r="B176" t="str">
            <v>4.5.03</v>
          </cell>
          <cell r="C176" t="str">
            <v>Pengadaan Teknologi Tepat Guna Untuk Pengembangan Ekonomi Pedesaan Non Pertanian</v>
          </cell>
        </row>
        <row r="177">
          <cell r="B177" t="str">
            <v>4.6</v>
          </cell>
          <cell r="C177" t="str">
            <v>Sub Bidang Dukungan Penanaman Modal</v>
          </cell>
        </row>
        <row r="178">
          <cell r="B178" t="str">
            <v>4.6.01</v>
          </cell>
          <cell r="C178" t="str">
            <v>Pembentukan BUM Desa (Persiapan dan Pembentukan Awal BUMDesa)</v>
          </cell>
        </row>
        <row r="179">
          <cell r="B179" t="str">
            <v>4.6.02</v>
          </cell>
          <cell r="C179" t="str">
            <v>Pelatihan Pengelolaan BUM Desa (Pelatihan yg dilaksanakan oleh Pemdes)</v>
          </cell>
        </row>
        <row r="180">
          <cell r="B180" t="str">
            <v>4.7</v>
          </cell>
          <cell r="C180" t="str">
            <v>Sub Bidang Perdagangan dan Perindustrian</v>
          </cell>
        </row>
        <row r="181">
          <cell r="B181" t="str">
            <v>4.7.01</v>
          </cell>
          <cell r="C181" t="str">
            <v>Pemeliharaan Pasar Desa/Kios Milik Desa</v>
          </cell>
        </row>
        <row r="182">
          <cell r="B182" t="str">
            <v>4.7.02</v>
          </cell>
          <cell r="C182" t="str">
            <v>Pembangunan/Rehab Pasar Desa/Kios Milik Desa</v>
          </cell>
        </row>
        <row r="183">
          <cell r="B183" t="str">
            <v>4.7.03</v>
          </cell>
          <cell r="C183" t="str">
            <v>Pengembangan Industri Kecil Tingkat Desa</v>
          </cell>
        </row>
        <row r="184">
          <cell r="B184" t="str">
            <v>4.7.04</v>
          </cell>
          <cell r="C184" t="str">
            <v>Pembentukan/Fasilitasi/Pelatihan/Pendampingan kelompok usaha ekonomi produktif</v>
          </cell>
        </row>
        <row r="185">
          <cell r="B185">
            <v>5</v>
          </cell>
          <cell r="C185" t="str">
            <v>BIDANG PENANGGULANGAN BENCANA, DARURAT DAN MENDESAK DESA</v>
          </cell>
        </row>
        <row r="186">
          <cell r="B186" t="str">
            <v>5.1</v>
          </cell>
          <cell r="C186" t="str">
            <v>Sub Bidang Penanggulangan Bencana</v>
          </cell>
        </row>
        <row r="187">
          <cell r="B187" t="str">
            <v>5.1.01</v>
          </cell>
          <cell r="C187" t="str">
            <v>Kegiatan Penanggulanan Bencana</v>
          </cell>
        </row>
        <row r="188">
          <cell r="B188" t="str">
            <v>5.2</v>
          </cell>
          <cell r="C188" t="str">
            <v>Sub Bidang Keadaan Darurat</v>
          </cell>
        </row>
        <row r="189">
          <cell r="B189" t="str">
            <v>5.2.00</v>
          </cell>
          <cell r="C189" t="str">
            <v>Penanganan Keadaan Darurat</v>
          </cell>
        </row>
        <row r="190">
          <cell r="B190" t="str">
            <v>5.3</v>
          </cell>
          <cell r="C190" t="str">
            <v>Sub Bidang Keadaan Mendesak</v>
          </cell>
        </row>
        <row r="191">
          <cell r="B191" t="str">
            <v>5.3.00</v>
          </cell>
          <cell r="C191" t="str">
            <v>Penanganan Keadaan Mendesak</v>
          </cell>
        </row>
      </sheetData>
      <sheetData sheetId="101"/>
      <sheetData sheetId="102"/>
      <sheetData sheetId="103">
        <row r="3">
          <cell r="B3">
            <v>1</v>
          </cell>
          <cell r="C3" t="str">
            <v>BIDANG PENYELENGGARAN PEMERINTAHAN DESA</v>
          </cell>
        </row>
        <row r="4">
          <cell r="B4" t="str">
            <v>1.1</v>
          </cell>
          <cell r="C4" t="str">
            <v>Penyelenggaran Belanja Siltap, Tunjangan dan Operasional Pemerintahan Desa</v>
          </cell>
        </row>
        <row r="5">
          <cell r="B5" t="str">
            <v>1.1.01</v>
          </cell>
          <cell r="C5" t="str">
            <v>Penyediaan Penghasilan Tetap dan Tunjangan Kepala Desa</v>
          </cell>
        </row>
        <row r="6">
          <cell r="B6" t="str">
            <v>1.1.02</v>
          </cell>
          <cell r="C6" t="str">
            <v>Penyediaan Penghasilan Tetap dan Tunjangan Perangkat Desa</v>
          </cell>
        </row>
        <row r="7">
          <cell r="B7" t="str">
            <v>1.1.03</v>
          </cell>
          <cell r="C7" t="str">
            <v>Penyediaan Jaminan Sosial bagi Kepala Desa dan Perangkat Desa</v>
          </cell>
        </row>
        <row r="8">
          <cell r="B8" t="str">
            <v>1.1.04</v>
          </cell>
          <cell r="C8" t="str">
            <v>Penyediaan Operasional Pemerintah Desa (ATK, Honor PKPKD dan PPKD dll)</v>
          </cell>
        </row>
        <row r="9">
          <cell r="B9" t="str">
            <v>1.1.05</v>
          </cell>
          <cell r="C9" t="str">
            <v>Penyediaan Tunjangan BPD</v>
          </cell>
        </row>
        <row r="10">
          <cell r="B10" t="str">
            <v>1.1.06</v>
          </cell>
          <cell r="C10" t="str">
            <v>Penyediaan Operasional BPD (rapat, ATK, Makan Minum, Pakaian Seragam, Listrik dll)</v>
          </cell>
        </row>
        <row r="11">
          <cell r="B11" t="str">
            <v>1.1.07</v>
          </cell>
          <cell r="C11" t="str">
            <v>Penyediaan Insentif/Operasional RT/RW</v>
          </cell>
        </row>
        <row r="12">
          <cell r="B12" t="str">
            <v>1.1.08</v>
          </cell>
          <cell r="C12" t="str">
            <v>Penyediaan Operasional Pemerintah Desa yang bersumber dari Dana Desa</v>
          </cell>
        </row>
        <row r="13">
          <cell r="B13" t="str">
            <v>1.1.90</v>
          </cell>
          <cell r="C13" t="str">
            <v>Penyediaan jaminan sosial bagi pekerja rentan</v>
          </cell>
        </row>
        <row r="14">
          <cell r="B14" t="str">
            <v>1.2</v>
          </cell>
          <cell r="C14" t="str">
            <v>Penyediaan Sarana Prasarana Pemerintahan Desa</v>
          </cell>
        </row>
        <row r="15">
          <cell r="B15" t="str">
            <v>1.2.01</v>
          </cell>
          <cell r="C15" t="str">
            <v>Penyediaan Sarana (Aset Tetap) Perkantoran/Pemerintahan</v>
          </cell>
        </row>
        <row r="16">
          <cell r="B16" t="str">
            <v>1.2.02</v>
          </cell>
          <cell r="C16" t="str">
            <v>Pemeliharaan Gedung/Prasarana Kantor Desa</v>
          </cell>
        </row>
        <row r="17">
          <cell r="B17" t="str">
            <v>1.2.03</v>
          </cell>
          <cell r="C17" t="str">
            <v>Pembangunan/Rehabilitasi/Peningkatan Gedung/Prasarana Kantor Desa **)</v>
          </cell>
        </row>
        <row r="18">
          <cell r="B18" t="str">
            <v>1.3</v>
          </cell>
          <cell r="C18" t="str">
            <v>Pengelolaan Administrasi Kependudukan, Pencatatan Sipil, Statistik dan Kearsipan</v>
          </cell>
        </row>
        <row r="19">
          <cell r="B19" t="str">
            <v>1.3.01</v>
          </cell>
          <cell r="C19" t="str">
            <v>Pelayanan Administrasi Umum dan  Kependudukan</v>
          </cell>
        </row>
        <row r="20">
          <cell r="B20" t="str">
            <v>1.3.02</v>
          </cell>
          <cell r="C20" t="str">
            <v>Penyusunan, Pendataan, dan Pemutakhiran Profil Desa **)</v>
          </cell>
        </row>
        <row r="21">
          <cell r="B21" t="str">
            <v>1.3.03</v>
          </cell>
          <cell r="C21" t="str">
            <v>Pengelolaan Adminstrasi dan Kearsipan Pemerintahan Desa</v>
          </cell>
        </row>
        <row r="22">
          <cell r="B22" t="str">
            <v>1.3.04</v>
          </cell>
          <cell r="C22" t="str">
            <v>Penyuluhan dan Penyadaran Masyarakat tentang Kependudukan dan Capil</v>
          </cell>
        </row>
        <row r="23">
          <cell r="B23" t="str">
            <v>1.3.05</v>
          </cell>
          <cell r="C23" t="str">
            <v>Pemetaan dan Analisis Kemiskinan Desa secara Partisipatif</v>
          </cell>
        </row>
        <row r="24">
          <cell r="B24" t="str">
            <v>1.4</v>
          </cell>
          <cell r="C24" t="str">
            <v>Penyelenggaraan Tata Praja Pemerintahan, Perencanaan, Keuangan dan Pelaporan</v>
          </cell>
        </row>
        <row r="25">
          <cell r="B25" t="str">
            <v>1.4.01</v>
          </cell>
          <cell r="C25" t="str">
            <v>Penyelenggaraan Musyawarah Perencanaan Desa/Pembahasan APBDes (Reguler)</v>
          </cell>
        </row>
        <row r="26">
          <cell r="B26" t="str">
            <v>1.4.02</v>
          </cell>
          <cell r="C26" t="str">
            <v>Penyelenggaraan Musyawaran Desa Lainnya (Musdus, rembug desa Non Reguler)</v>
          </cell>
        </row>
        <row r="27">
          <cell r="B27" t="str">
            <v>1.4.03</v>
          </cell>
          <cell r="C27" t="str">
            <v>Penyusunan Dokumen Perencanaan Desa (RPJMDesa/RKPDesa dll)</v>
          </cell>
        </row>
        <row r="28">
          <cell r="B28" t="str">
            <v>1.4.04</v>
          </cell>
          <cell r="C28" t="str">
            <v>Penyusunan Dokumen Keuangan Desa (APBDes, APBDes Perubahan, LPJ dll)</v>
          </cell>
        </row>
        <row r="29">
          <cell r="B29" t="str">
            <v>1.4.05</v>
          </cell>
          <cell r="C29" t="str">
            <v>Pengelolaan Administrasi/ Inventarisasi/Penilaian Aset Desa</v>
          </cell>
        </row>
        <row r="30">
          <cell r="B30" t="str">
            <v>1.4.06</v>
          </cell>
          <cell r="C30" t="str">
            <v>Penyusunan Kebijakan Desa (Perdes/Perkades selain Perencanaan/Keuangan)</v>
          </cell>
        </row>
        <row r="31">
          <cell r="B31" t="str">
            <v>1.4.07</v>
          </cell>
          <cell r="C31" t="str">
            <v>Penyusunan Laporan Kepala Desa, LPPDesa dan Informasi Kepada Masyarakat</v>
          </cell>
        </row>
        <row r="32">
          <cell r="B32" t="str">
            <v>1.4.08</v>
          </cell>
          <cell r="C32" t="str">
            <v>Pengembangan Sistem Informasi Desa</v>
          </cell>
        </row>
        <row r="33">
          <cell r="B33" t="str">
            <v>1.4.09</v>
          </cell>
          <cell r="C33" t="str">
            <v>Koordinasi/Kerjasama Penyelenggaraan Pemerintahan &amp; Pembangunan Desa</v>
          </cell>
        </row>
        <row r="34">
          <cell r="B34" t="str">
            <v>1.4.10</v>
          </cell>
          <cell r="C34" t="str">
            <v>Dukungan &amp; Sosialisasi Pelaksanaan Pilkades, Pemilihan Ka. Kewilayahan &amp; BPD</v>
          </cell>
        </row>
        <row r="35">
          <cell r="B35" t="str">
            <v>1.4.11</v>
          </cell>
          <cell r="C35" t="str">
            <v>Penyelenggaran Lomba antar Kewilayahan &amp; Pengiriman Kontingen dlm Lomdes</v>
          </cell>
        </row>
        <row r="36">
          <cell r="B36" t="str">
            <v>1.4.12</v>
          </cell>
          <cell r="C36" t="str">
            <v>Dukungan Biaya Oprasional dan Biaya Lainnya untuk Desa Persiapan</v>
          </cell>
        </row>
        <row r="37">
          <cell r="B37" t="str">
            <v>1.5</v>
          </cell>
          <cell r="C37" t="str">
            <v>Sub Bidang Pertanahan</v>
          </cell>
        </row>
        <row r="38">
          <cell r="B38" t="str">
            <v>1.5.01</v>
          </cell>
          <cell r="C38" t="str">
            <v>Sertifikasi Tanah Kas Desa</v>
          </cell>
        </row>
        <row r="39">
          <cell r="B39" t="str">
            <v>1.5.02</v>
          </cell>
          <cell r="C39" t="str">
            <v>Administrasi Pertanahan (Pendaftaran Tanah dan Pemberian Registrasi Agenda Pertanahan)</v>
          </cell>
        </row>
        <row r="40">
          <cell r="B40" t="str">
            <v>1.5.03</v>
          </cell>
          <cell r="C40" t="str">
            <v>Fasilitasi Sertifikasi Tanah untuk Masyarakat Miskin</v>
          </cell>
        </row>
        <row r="41">
          <cell r="B41" t="str">
            <v>1.5.04</v>
          </cell>
          <cell r="C41" t="str">
            <v>Kegiatan Mediasi Konflik Pertanahan</v>
          </cell>
        </row>
        <row r="42">
          <cell r="B42" t="str">
            <v>1.5.05</v>
          </cell>
          <cell r="C42" t="str">
            <v>Kegiatan Penyuluhan Pertanahan</v>
          </cell>
        </row>
        <row r="43">
          <cell r="B43" t="str">
            <v>1.5.06</v>
          </cell>
          <cell r="C43" t="str">
            <v>Adminstrasi Pajak Bumi dan Bangunan (PBB)</v>
          </cell>
        </row>
        <row r="44">
          <cell r="B44" t="str">
            <v>1.5.07</v>
          </cell>
          <cell r="C44" t="str">
            <v>Penentuan/Penegasan Batas/patok Tanah Kas Desa</v>
          </cell>
        </row>
        <row r="45">
          <cell r="B45">
            <v>2</v>
          </cell>
          <cell r="C45" t="str">
            <v>BIDANG PELAKSANAAN PEMBANGUNAN DESA</v>
          </cell>
        </row>
        <row r="46">
          <cell r="B46" t="str">
            <v>2.1</v>
          </cell>
          <cell r="C46" t="str">
            <v>Sub Bidang Pendidikan</v>
          </cell>
        </row>
        <row r="47">
          <cell r="B47" t="str">
            <v>2.1.01</v>
          </cell>
          <cell r="C47" t="str">
            <v>Penyelenggaran PAUD/TK/TPA/TKA/TPQ/Madrasah NonFormal Milik Desa (Honor, Pakaian dll)</v>
          </cell>
        </row>
        <row r="48">
          <cell r="B48" t="str">
            <v>2.1.02</v>
          </cell>
          <cell r="C48" t="str">
            <v>Dukungan Penyelenggaran PAUD (APE, Sarana PAUD dst)</v>
          </cell>
        </row>
        <row r="49">
          <cell r="B49" t="str">
            <v>2.1.03</v>
          </cell>
          <cell r="C49" t="str">
            <v>Penyuluhan dan Pelatihan Pendidikan Bagi Masyarakat</v>
          </cell>
        </row>
        <row r="50">
          <cell r="B50" t="str">
            <v>2.1.04</v>
          </cell>
          <cell r="C50" t="str">
            <v>Pemeliharaan Sarana Prasarana Perpustakaan/Taman Bacaan/Sanggar Belajar Milik Desa</v>
          </cell>
        </row>
        <row r="51">
          <cell r="B51" t="str">
            <v>2.1.05</v>
          </cell>
          <cell r="C51" t="str">
            <v>Pemeliharaan Sarana Prasarana PAUD/TK/TPA/TKA/TPQ/Madrasah Nonformal Milik Desa</v>
          </cell>
        </row>
        <row r="52">
          <cell r="B52" t="str">
            <v>2.1.06</v>
          </cell>
          <cell r="C52" t="str">
            <v>Pembangunan/Rehabilitasi/Peningkatan/Pengadaan Sarana/Prasarana/Alat Peraga   PAUD/ TK/TPA/TKA/TPQ/Madrasah Nonformal</v>
          </cell>
        </row>
        <row r="53">
          <cell r="B53" t="str">
            <v>2.1.07</v>
          </cell>
          <cell r="C53" t="str">
            <v>Pembangunan/Rehabilitasi/Peningkatan Sarana/Prasarana Perpustakaan/Taman  Bacaan Desa/ Sanggar Belajar Milik Desa</v>
          </cell>
        </row>
        <row r="54">
          <cell r="B54" t="str">
            <v>2.1.08</v>
          </cell>
          <cell r="C54" t="str">
            <v>Pengelolaan Perpustakaan Milik Desa (Pengadaan Buku, Honor, Taman Baca)</v>
          </cell>
        </row>
        <row r="55">
          <cell r="B55" t="str">
            <v>2.1.09</v>
          </cell>
          <cell r="C55" t="str">
            <v>Pengembangan dan Pembinaan Sanggar Seni dan Belajar</v>
          </cell>
        </row>
        <row r="56">
          <cell r="B56" t="str">
            <v>2.1.10</v>
          </cell>
          <cell r="C56" t="str">
            <v>Dukungan Pendidikan bagi Siswa Miskin/Berprestasi</v>
          </cell>
        </row>
        <row r="57">
          <cell r="B57" t="str">
            <v>2.2</v>
          </cell>
          <cell r="C57" t="str">
            <v>Sub Bidang Kesehatan</v>
          </cell>
        </row>
        <row r="58">
          <cell r="B58" t="str">
            <v>2.2.01</v>
          </cell>
          <cell r="C58" t="str">
            <v>Penyelenggaraan Pos Kesehatan Desa/Polindes Milik Desa (obat, Insentif, KB, dsb)</v>
          </cell>
        </row>
        <row r="59">
          <cell r="B59" t="str">
            <v>2.2.02</v>
          </cell>
          <cell r="C59" t="str">
            <v>Penyelenggaraan Posyandu (Mkn Tambahan, Kls Bumil, Lamsia, Insentif)</v>
          </cell>
        </row>
        <row r="60">
          <cell r="B60" t="str">
            <v>2.2.03</v>
          </cell>
          <cell r="C60" t="str">
            <v>Penyuluhan dan Pelatihan Bidang Kesehatan (Untuk Masy, Tenaga dan Kader Kesehatan dll)</v>
          </cell>
        </row>
        <row r="61">
          <cell r="B61" t="str">
            <v>2.2.04</v>
          </cell>
          <cell r="C61" t="str">
            <v>Penyelenggaraan Desa Siaga Kesehatan</v>
          </cell>
        </row>
        <row r="62">
          <cell r="B62" t="str">
            <v>2.2.05</v>
          </cell>
          <cell r="C62" t="str">
            <v>Pembinaan Palang Merah Remaja (PMR) Tingkat Desa</v>
          </cell>
        </row>
        <row r="63">
          <cell r="B63" t="str">
            <v>2.2.06</v>
          </cell>
          <cell r="C63" t="str">
            <v>Pengasuhan Bersama atau Bina Keluarga Balita (BKB)</v>
          </cell>
        </row>
        <row r="64">
          <cell r="B64" t="str">
            <v>2.2.07</v>
          </cell>
          <cell r="C64" t="str">
            <v>Pembinaan dan Pengawasan Upaya Kesehatan Tradisional</v>
          </cell>
        </row>
        <row r="65">
          <cell r="B65" t="str">
            <v>2.2.08</v>
          </cell>
          <cell r="C65" t="str">
            <v>Pemeliharaan Sarana Prasarana Posyandu/Polindes/PKD</v>
          </cell>
        </row>
        <row r="66">
          <cell r="B66" t="str">
            <v>2.2.09</v>
          </cell>
          <cell r="C66" t="str">
            <v>Pembangunan/Rehabilitasi/Peningkatan/Pengadaan Sarana/Prasarana Posyandu/Polindes/PKD **</v>
          </cell>
        </row>
        <row r="67">
          <cell r="B67" t="str">
            <v>2.3</v>
          </cell>
          <cell r="C67" t="str">
            <v>Sub Bidang Pekerjaan Umum dan Penataan Ruang</v>
          </cell>
        </row>
        <row r="68">
          <cell r="B68" t="str">
            <v>2.3.01</v>
          </cell>
          <cell r="C68" t="str">
            <v>Pemeliharaan Jalan Desa</v>
          </cell>
        </row>
        <row r="69">
          <cell r="B69" t="str">
            <v>2.3.02</v>
          </cell>
          <cell r="C69" t="str">
            <v>Pemeliharaan Jalan Lingkungan Pemukiman/Gang</v>
          </cell>
        </row>
        <row r="70">
          <cell r="B70" t="str">
            <v>2.3.03</v>
          </cell>
          <cell r="C70" t="str">
            <v>Pemeliharaan Jalan Usaha Tani</v>
          </cell>
        </row>
        <row r="71">
          <cell r="B71" t="str">
            <v>2.3.04</v>
          </cell>
          <cell r="C71" t="str">
            <v>Pemeliharaan Jembatan Desa</v>
          </cell>
        </row>
        <row r="72">
          <cell r="B72" t="str">
            <v>2.3.05</v>
          </cell>
          <cell r="C72" t="str">
            <v>Pemeliharaan Prasarana Jalan Desa (Gorong-gorong/Selokan/Parit/Drainase dll)</v>
          </cell>
        </row>
        <row r="73">
          <cell r="B73" t="str">
            <v>2.3.06</v>
          </cell>
          <cell r="C73" t="str">
            <v>Pemeliharaan Gedung/Prasarana Balai Desa/Balai Kemasyarakatan</v>
          </cell>
        </row>
        <row r="74">
          <cell r="B74" t="str">
            <v>2.3.07</v>
          </cell>
          <cell r="C74" t="str">
            <v>Pemeliharaan Pemakaman /Situs Bersejarah/Petilasan Milik Desa</v>
          </cell>
        </row>
        <row r="75">
          <cell r="B75" t="str">
            <v>2.3.08</v>
          </cell>
          <cell r="C75" t="str">
            <v>Pemeliharaan Embung Milik Desa</v>
          </cell>
        </row>
        <row r="76">
          <cell r="B76" t="str">
            <v>2.3.09</v>
          </cell>
          <cell r="C76" t="str">
            <v>Pemelharaan Monumen/Gapura/Batas Desa</v>
          </cell>
        </row>
        <row r="77">
          <cell r="B77" t="str">
            <v>2.3.10</v>
          </cell>
          <cell r="C77" t="str">
            <v>Pembangunan/Rehabilitas/Peningkatan/Pengerasan Jalan Desa **)</v>
          </cell>
        </row>
        <row r="78">
          <cell r="B78" t="str">
            <v>2.3.11</v>
          </cell>
          <cell r="C78" t="str">
            <v>Pembangunan/Rehabilitasi/Peningkatan/Pengerasan Jalan Lingkungan  Permukiman **)</v>
          </cell>
        </row>
        <row r="79">
          <cell r="B79" t="str">
            <v>2.3.12</v>
          </cell>
          <cell r="C79" t="str">
            <v>Pembangunan/Rehabilitasi/Peningkatan/Pengerasan Jalan Usaha Tani **)</v>
          </cell>
        </row>
        <row r="80">
          <cell r="B80" t="str">
            <v>2.3.13</v>
          </cell>
          <cell r="C80" t="str">
            <v>Pembangunan/Rehabilitasi/Peningkatan/Pengerasan Jembatan Milik Desa **)</v>
          </cell>
        </row>
        <row r="81">
          <cell r="B81" t="str">
            <v>2.3.14</v>
          </cell>
          <cell r="C81" t="str">
            <v>Pembangunan/Rehabilitasi/Peningkatan Prasarana Jalan Desa (Gorong, selokan dll)</v>
          </cell>
        </row>
        <row r="82">
          <cell r="B82" t="str">
            <v>2.3.15</v>
          </cell>
          <cell r="C82" t="str">
            <v>Pembangunan/Rehabilitasi/Peningkatan Balai Desa/Balai Kemasyarakatan **)</v>
          </cell>
        </row>
        <row r="83">
          <cell r="B83" t="str">
            <v>2.3.16</v>
          </cell>
          <cell r="C83" t="str">
            <v>Pembangunan/Rehabilitasi/Peningkatan Pemakaman Milik Desa/Situs Bersejarah Milik Desa/Petilasan</v>
          </cell>
        </row>
        <row r="84">
          <cell r="B84" t="str">
            <v>2.3.17</v>
          </cell>
          <cell r="C84" t="str">
            <v>Pembuatan/Pemutakhiran Peta Wilayah dan Sosial Desa **)</v>
          </cell>
        </row>
        <row r="85">
          <cell r="B85" t="str">
            <v>2.3.18</v>
          </cell>
          <cell r="C85" t="str">
            <v>Penyusunan Dokumen Perencanaan Tata Ruang Desa</v>
          </cell>
        </row>
        <row r="86">
          <cell r="B86" t="str">
            <v>2.3.19</v>
          </cell>
          <cell r="C86" t="str">
            <v>Pembangunan/Rehabilitasi/Peningkatan Embung Desa **)</v>
          </cell>
        </row>
        <row r="87">
          <cell r="B87" t="str">
            <v>2.3.20</v>
          </cell>
          <cell r="C87" t="str">
            <v>Pembangunan/Rehabilitasi/Peningkatan Monumen/Gapura/Batas Desa **)</v>
          </cell>
        </row>
        <row r="88">
          <cell r="B88" t="str">
            <v>2.4</v>
          </cell>
          <cell r="C88" t="str">
            <v>Sub Bidang Kawasan Pemukiman</v>
          </cell>
        </row>
        <row r="89">
          <cell r="B89" t="str">
            <v>2.4.01</v>
          </cell>
          <cell r="C89" t="str">
            <v>Dukungan Pelaksanaan Program Pembangunan/Rehab Rumah Tidak Layak Huni GAKIN</v>
          </cell>
        </row>
        <row r="90">
          <cell r="B90" t="str">
            <v>2.4.02</v>
          </cell>
          <cell r="C90" t="str">
            <v>Pemeliharaan Sumur Resapan Milik Desa</v>
          </cell>
        </row>
        <row r="91">
          <cell r="B91" t="str">
            <v>2.4.03</v>
          </cell>
          <cell r="C91" t="str">
            <v>Pemeliharaan Sumber Air Bersih Milik Desa (Mata Air, Penampung Air, Sumur Bor dll)</v>
          </cell>
        </row>
        <row r="92">
          <cell r="B92" t="str">
            <v>2.4.04</v>
          </cell>
          <cell r="C92" t="str">
            <v>Pemeliharaan Sambungan Air Bersih ke Rumah Tangga (Pipanisasi dll)</v>
          </cell>
        </row>
        <row r="93">
          <cell r="B93" t="str">
            <v>2.4.05</v>
          </cell>
          <cell r="C93" t="str">
            <v>Pemeliharaan Sanitasi Pemukiman (Gorong-gorong, Selokan, Parit diluar Prasarana Jalan))</v>
          </cell>
        </row>
        <row r="94">
          <cell r="B94" t="str">
            <v>2.4.06</v>
          </cell>
          <cell r="C94" t="str">
            <v>Pemeliharaan Fasilitas Jamban Umum/MCK Umum dll</v>
          </cell>
        </row>
        <row r="95">
          <cell r="B95" t="str">
            <v>2.4.07</v>
          </cell>
          <cell r="C95" t="str">
            <v>Pemeliharaan Fasilitas Pengelolaan Sampah Desa (Penampungan, Bank Sampah, dll)</v>
          </cell>
        </row>
        <row r="96">
          <cell r="B96" t="str">
            <v>2.4.08</v>
          </cell>
          <cell r="C96" t="str">
            <v>Pemeliharaan Sistem Pembuangan Air Limbah (Drainase, Air limbah Rumah Tangga)</v>
          </cell>
        </row>
        <row r="97">
          <cell r="B97" t="str">
            <v>2.4.09</v>
          </cell>
          <cell r="C97" t="str">
            <v>Pemeliharaan Taman/Taman Bermain Anak Milik Desa</v>
          </cell>
        </row>
        <row r="98">
          <cell r="B98" t="str">
            <v>2.4.10</v>
          </cell>
          <cell r="C98" t="str">
            <v>Pembangunan/Rehabilitasi/Peningkatan Sumur Resapan **)</v>
          </cell>
        </row>
        <row r="99">
          <cell r="B99" t="str">
            <v>2.4.11</v>
          </cell>
          <cell r="C99" t="str">
            <v>Pembangunan/Rehabilitasi/Peningkatan Sumber Air Bersih Milik Desa **)</v>
          </cell>
        </row>
        <row r="100">
          <cell r="B100" t="str">
            <v>2.4.12</v>
          </cell>
          <cell r="C100" t="str">
            <v>Pembangunan/Rehabilitasi/Peningkatan Sambungan Air Bersih ke Rumah Tangga **)</v>
          </cell>
        </row>
        <row r="101">
          <cell r="B101" t="str">
            <v>2.4.13</v>
          </cell>
          <cell r="C101" t="str">
            <v>Pembangunan/Rehabilitasi/Peningkatan Sanitasi Permukiman **)</v>
          </cell>
        </row>
        <row r="102">
          <cell r="B102" t="str">
            <v>2.4.14</v>
          </cell>
          <cell r="C102" t="str">
            <v>Pembangunan/Rehabilitas/Peningkatan Fasilitas Jamban Umum/MCK umum, dll **)</v>
          </cell>
        </row>
        <row r="103">
          <cell r="B103" t="str">
            <v>2.4.15</v>
          </cell>
          <cell r="C103" t="str">
            <v>Pembangunan/Rehabilitasi/Peningkatan Fasilitas Pengelolaan Sampah **)</v>
          </cell>
        </row>
        <row r="104">
          <cell r="B104" t="str">
            <v>2.4.16</v>
          </cell>
          <cell r="C104" t="str">
            <v>Pembangunan/Rehabilitasi/Peningkatan Sistem Pembuangan Air Limbah **)</v>
          </cell>
        </row>
        <row r="105">
          <cell r="B105" t="str">
            <v>2.4.17</v>
          </cell>
          <cell r="C105" t="str">
            <v>Pembangunan/Rehabilitasi/Peningkatan Taman/Taman Bermain Anak Milik Desa **)</v>
          </cell>
        </row>
        <row r="106">
          <cell r="B106" t="str">
            <v>2.5</v>
          </cell>
          <cell r="C106" t="str">
            <v>Sub Bidang Kehutanan dan Lingkungan Hidup</v>
          </cell>
        </row>
        <row r="107">
          <cell r="B107" t="str">
            <v>2.5.01</v>
          </cell>
          <cell r="C107" t="str">
            <v>Pengelolaan Hutan Milik Desa</v>
          </cell>
        </row>
        <row r="108">
          <cell r="B108" t="str">
            <v>2.5.02</v>
          </cell>
          <cell r="C108" t="str">
            <v>Pengelolaan Lingkungan Hidup Milik Desa</v>
          </cell>
        </row>
        <row r="109">
          <cell r="B109" t="str">
            <v>2.5.03</v>
          </cell>
          <cell r="C109" t="str">
            <v>Pelatihan/Sosialisasi/Penyuluhan/Penyadaran tentang LH dan Kehutanan **)</v>
          </cell>
        </row>
        <row r="110">
          <cell r="B110" t="str">
            <v>2.6</v>
          </cell>
          <cell r="C110" t="str">
            <v>Sub Bidang Perhubungan, Komunikasi dan Informatika</v>
          </cell>
        </row>
        <row r="111">
          <cell r="B111" t="str">
            <v>2.6.01</v>
          </cell>
          <cell r="C111" t="str">
            <v>Pembuatan Rambu-rambu di Jalan Desa</v>
          </cell>
        </row>
        <row r="112">
          <cell r="B112" t="str">
            <v>2.6.02</v>
          </cell>
          <cell r="C112" t="str">
            <v>Penyelenggaraan Informasi Publik Desa (Poster, Baliho Dll)</v>
          </cell>
        </row>
        <row r="113">
          <cell r="B113" t="str">
            <v>2.6.03</v>
          </cell>
          <cell r="C113" t="str">
            <v>Pengelolaan dan Pembuatan Jaringan/Instalasi Komunikasi dan Informasi Lokal Desa</v>
          </cell>
        </row>
        <row r="114">
          <cell r="B114" t="str">
            <v>2.6.04</v>
          </cell>
          <cell r="C114" t="str">
            <v>Pemeliharaan Sarana dan Prasarana Transportasi Desa</v>
          </cell>
        </row>
        <row r="115">
          <cell r="B115" t="str">
            <v>2.6.05</v>
          </cell>
          <cell r="C115" t="str">
            <v>Pembangunan/Rehabilitasi/Peningkatan/Pengadaan Sarana &amp; Prasarana Transportasi Desa</v>
          </cell>
        </row>
        <row r="116">
          <cell r="B116" t="str">
            <v>2.7</v>
          </cell>
          <cell r="C116" t="str">
            <v>Sub Bidang Energi dan Sumberdaya Mineral</v>
          </cell>
        </row>
        <row r="117">
          <cell r="B117" t="str">
            <v>2.7.01</v>
          </cell>
          <cell r="C117" t="str">
            <v>Pemeiliharaan Sarana dan Prasarana Energi Alternatif Desa</v>
          </cell>
        </row>
        <row r="118">
          <cell r="B118" t="str">
            <v>2.7.02</v>
          </cell>
          <cell r="C118" t="str">
            <v>Pembangunan/Rehabilitasi/Peningkatan Sarana &amp; Prasarana Energi Alternatif Desa</v>
          </cell>
        </row>
        <row r="119">
          <cell r="B119" t="str">
            <v>2.8</v>
          </cell>
          <cell r="C119" t="str">
            <v>Sub Bidang Pariwisata</v>
          </cell>
        </row>
        <row r="120">
          <cell r="B120" t="str">
            <v>2.8.01</v>
          </cell>
          <cell r="C120" t="str">
            <v>Pemeliharaan Sarana dan Prasarana Pariwisata Milik Desa</v>
          </cell>
        </row>
        <row r="121">
          <cell r="B121" t="str">
            <v>2.8.02</v>
          </cell>
          <cell r="C121" t="str">
            <v>Pembangunan/Rehabilitasi/Peningkatan Sarana dan Prasarana Pariwisata Milik **)</v>
          </cell>
        </row>
        <row r="122">
          <cell r="B122" t="str">
            <v>2.8.03</v>
          </cell>
          <cell r="C122" t="str">
            <v>Pengembangan Pariwisata Tingkat Desa</v>
          </cell>
        </row>
        <row r="123">
          <cell r="B123">
            <v>3</v>
          </cell>
          <cell r="C123" t="str">
            <v>BIDANG PEMBINAAN KEMASYARAKATAN</v>
          </cell>
        </row>
        <row r="124">
          <cell r="B124" t="str">
            <v>3.1</v>
          </cell>
          <cell r="C124" t="str">
            <v>Sub Bidang Ketenteraman, Ketertiban Umum dan Perlindungan Masyarakat</v>
          </cell>
        </row>
        <row r="125">
          <cell r="B125" t="str">
            <v>3.1.01</v>
          </cell>
          <cell r="C125" t="str">
            <v>Pengadaan/Penyelenggaran Pos Keamanan Desa</v>
          </cell>
        </row>
        <row r="126">
          <cell r="B126" t="str">
            <v>3.1.02</v>
          </cell>
          <cell r="C126" t="str">
            <v>Penguatan &amp; Peningkatan Kapasitas Tenaga Keamanan/Ketertiban oleh Pemdes</v>
          </cell>
        </row>
        <row r="127">
          <cell r="B127" t="str">
            <v>3.1.03</v>
          </cell>
          <cell r="C127" t="str">
            <v>Koordinasi Pembinaan Keamanan, Ketertiban &amp; Perlindungan Masy. Skala Lokal Desa</v>
          </cell>
        </row>
        <row r="128">
          <cell r="B128" t="str">
            <v>3.1.04</v>
          </cell>
          <cell r="C128" t="str">
            <v>Persiapan Kesiapsiagaan/Tanggap Bencana Skala Lokal Desa</v>
          </cell>
        </row>
        <row r="129">
          <cell r="B129" t="str">
            <v>3.1.05</v>
          </cell>
          <cell r="C129" t="str">
            <v>Penyediaan Pos Kesiapsiagaan Bencana Skala Lokal Desa</v>
          </cell>
        </row>
        <row r="130">
          <cell r="B130" t="str">
            <v>3.1.06</v>
          </cell>
          <cell r="C130" t="str">
            <v>Bantuan Hukum Untuk Aparatur Desa dan Masyarakat Miskin</v>
          </cell>
        </row>
        <row r="131">
          <cell r="B131" t="str">
            <v>3.1.07</v>
          </cell>
          <cell r="C131" t="str">
            <v>Pelatihan/Penyuluhan/Sosialisasi kepada Masy. di Bid. Hukum &amp;  Pelindungan Masy.</v>
          </cell>
        </row>
        <row r="132">
          <cell r="B132" t="str">
            <v>3.2</v>
          </cell>
          <cell r="C132" t="str">
            <v>Sub Bidang Kebudayaan dan Keagamaan</v>
          </cell>
        </row>
        <row r="133">
          <cell r="B133" t="str">
            <v>3.2.01</v>
          </cell>
          <cell r="C133" t="str">
            <v>Pembinaan Group Kesenian dan Kebudayaan Tingkat Desa</v>
          </cell>
        </row>
        <row r="134">
          <cell r="B134" t="str">
            <v>3.2.02</v>
          </cell>
          <cell r="C134" t="str">
            <v>Pengiriman Kontingen Group Kesenian &amp; Kebudayaan (Wakil Desa tkt. Kec/Kab/Kot)</v>
          </cell>
        </row>
        <row r="135">
          <cell r="B135" t="str">
            <v>3.2.03</v>
          </cell>
          <cell r="C135" t="str">
            <v>Penyelenggaran Festival Kesenian, Adat/Kebudayaan, dan Kegamaan (HUT RI, Raya Keagamaan dll)</v>
          </cell>
        </row>
        <row r="136">
          <cell r="B136" t="str">
            <v>3.2.04</v>
          </cell>
          <cell r="C136" t="str">
            <v>Pemeliharaan Sarana Prasarana Kebudayaan, Rumah Adat dan Kegamaan Milik Desa</v>
          </cell>
        </row>
        <row r="137">
          <cell r="B137" t="str">
            <v>3.2.05</v>
          </cell>
          <cell r="C137" t="str">
            <v>Pembangunan/Rehabilitasi Sarana Prasarana Kebudayaan/Rumah Adat/Kegamaan Milik Desa **)</v>
          </cell>
        </row>
        <row r="138">
          <cell r="B138" t="str">
            <v>3.3</v>
          </cell>
          <cell r="C138" t="str">
            <v>Sub Bidang Kepemudaan dan Olahraga</v>
          </cell>
        </row>
        <row r="139">
          <cell r="B139" t="str">
            <v>3.3.01</v>
          </cell>
          <cell r="C139" t="str">
            <v>Pengiriman Kontingen Kepemudaan &amp; Olahraga Sebagai Wakil Desa tkt Kec/Kab/Kota</v>
          </cell>
        </row>
        <row r="140">
          <cell r="B140" t="str">
            <v>3.3.02</v>
          </cell>
          <cell r="C140" t="str">
            <v>Penyelenggaraan Pelatihan Kepemudaan Tingkat Desa</v>
          </cell>
        </row>
        <row r="141">
          <cell r="B141" t="str">
            <v>3.3.03</v>
          </cell>
          <cell r="C141" t="str">
            <v>Penyelenggaraan Festival/Lomba Kepemudaan dan Olaraga Tingkat Desa</v>
          </cell>
        </row>
        <row r="142">
          <cell r="B142" t="str">
            <v>3.3.04</v>
          </cell>
          <cell r="C142" t="str">
            <v>Pemeliharaan Sarana dan Prasarana Kepemudaan dan Olahraga Milik Desa</v>
          </cell>
        </row>
        <row r="143">
          <cell r="B143" t="str">
            <v>3.3.05</v>
          </cell>
          <cell r="C143" t="str">
            <v>Pembangunan/Rehabilitasi/Peningkatan Sarana dan Prasarana Kepemudaan &amp; Olahraga Milik Desa</v>
          </cell>
        </row>
        <row r="144">
          <cell r="B144" t="str">
            <v>3.3.06</v>
          </cell>
          <cell r="C144" t="str">
            <v>Pembinaan Karangtaruna/Klub Kepemudaan/Olahraga Tingkat Desa</v>
          </cell>
        </row>
        <row r="145">
          <cell r="B145" t="str">
            <v>3.4</v>
          </cell>
          <cell r="C145" t="str">
            <v>Sub Bidang Kelembagaan Masyarakat</v>
          </cell>
        </row>
        <row r="146">
          <cell r="B146" t="str">
            <v>3.4.01</v>
          </cell>
          <cell r="C146" t="str">
            <v>Pembinaan Lembaga Adat</v>
          </cell>
        </row>
        <row r="147">
          <cell r="B147" t="str">
            <v>3.4.02</v>
          </cell>
          <cell r="C147" t="str">
            <v>Pembinaan LKMD/LPM/LPMD</v>
          </cell>
        </row>
        <row r="148">
          <cell r="B148" t="str">
            <v>3.4.03</v>
          </cell>
          <cell r="C148" t="str">
            <v>Pembinaan PKK</v>
          </cell>
        </row>
        <row r="149">
          <cell r="B149" t="str">
            <v>3.4.04</v>
          </cell>
          <cell r="C149" t="str">
            <v>Pelatihan Pembinaan Lembaga Kemasyarakatan</v>
          </cell>
        </row>
        <row r="150">
          <cell r="B150">
            <v>4</v>
          </cell>
          <cell r="C150" t="str">
            <v>BIDANG PEMBERDAYAAN MASYARAKAT</v>
          </cell>
        </row>
        <row r="151">
          <cell r="B151" t="str">
            <v>4.1</v>
          </cell>
          <cell r="C151" t="str">
            <v>Sub Bidang Kelautan dan Perikanan</v>
          </cell>
        </row>
        <row r="152">
          <cell r="B152" t="str">
            <v>4.1.01</v>
          </cell>
          <cell r="C152" t="str">
            <v>Pemeliharaan Karamba/Kolam Perikanan Darat Milik Desa</v>
          </cell>
        </row>
        <row r="153">
          <cell r="B153" t="str">
            <v>4.1.02</v>
          </cell>
          <cell r="C153" t="str">
            <v>Pemeliharaan Pelabuhan Perikanan Sungai/Kecil Milik Desa</v>
          </cell>
        </row>
        <row r="154">
          <cell r="B154" t="str">
            <v>4.1.03</v>
          </cell>
          <cell r="C154" t="str">
            <v>Pembangunan/Rehabilitasi/Peningkatan Karamba/Kolam Perikanan Darat Milik Desa</v>
          </cell>
        </row>
        <row r="155">
          <cell r="B155" t="str">
            <v>4.1.04</v>
          </cell>
          <cell r="C155" t="str">
            <v>Pembangunan/Rehabilitasi/Peningkatan Pelabuhan Perikanan Sungai/Kecil Milik Desa</v>
          </cell>
        </row>
        <row r="156">
          <cell r="B156" t="str">
            <v>4.1.05</v>
          </cell>
          <cell r="C156" t="str">
            <v>Bantuan Perikanan (Bibit/Pakan/dll)</v>
          </cell>
        </row>
        <row r="157">
          <cell r="B157" t="str">
            <v>4.1.06</v>
          </cell>
          <cell r="C157" t="str">
            <v>Bimtek/Pelatihan/Pengenalan TTG untuk Perikanan Darat/Nelayan **)</v>
          </cell>
        </row>
        <row r="158">
          <cell r="B158" t="str">
            <v>4.2</v>
          </cell>
          <cell r="C158" t="str">
            <v>Sub Bidang Pertanian dan Peternakan</v>
          </cell>
        </row>
        <row r="159">
          <cell r="B159" t="str">
            <v>4.2.01</v>
          </cell>
          <cell r="C159" t="str">
            <v>Peningkatan Produksi Tanaman Pangan (alat produksi/pengelolaan/penggilingan)</v>
          </cell>
        </row>
        <row r="160">
          <cell r="B160" t="str">
            <v>4.2.02</v>
          </cell>
          <cell r="C160" t="str">
            <v>Peningkatan Produksi Peternakan  (alat produksi/pengelolaan/kandang)</v>
          </cell>
        </row>
        <row r="161">
          <cell r="B161" t="str">
            <v>4.2.03</v>
          </cell>
          <cell r="C161" t="str">
            <v>Penguatan Ketahanan Pangan Tingkat Desa (Lumbung Desa dll)</v>
          </cell>
        </row>
        <row r="162">
          <cell r="B162" t="str">
            <v>4.2.04</v>
          </cell>
          <cell r="C162" t="str">
            <v>Pemeliharaan Saluran Irigasi Tersier/Sederhana</v>
          </cell>
        </row>
        <row r="163">
          <cell r="B163" t="str">
            <v>4.2.05</v>
          </cell>
          <cell r="C163" t="str">
            <v>Pelatihan/Bimtek/Pengenalan Tekonologi Tepat Guna untuk Pertanian/Peternakan</v>
          </cell>
        </row>
        <row r="164">
          <cell r="B164" t="str">
            <v>4.2.06</v>
          </cell>
          <cell r="C164" t="str">
            <v>Pembangunan Saluran Irigasi Tersier/Sederhana</v>
          </cell>
        </row>
        <row r="165">
          <cell r="B165" t="str">
            <v>4.3</v>
          </cell>
          <cell r="C165" t="str">
            <v>Sub Bidang Peningkatan Kapasitas Aparatur Desa</v>
          </cell>
        </row>
        <row r="166">
          <cell r="B166" t="str">
            <v>4.3.01</v>
          </cell>
          <cell r="C166" t="str">
            <v>Peningkatan Kapasitas Kepala Desa</v>
          </cell>
        </row>
        <row r="167">
          <cell r="B167" t="str">
            <v>4.3.02</v>
          </cell>
          <cell r="C167" t="str">
            <v>Peningkatan Kapatitas Perangkat Desa</v>
          </cell>
        </row>
        <row r="168">
          <cell r="B168" t="str">
            <v>4.3.03</v>
          </cell>
          <cell r="C168" t="str">
            <v>Peningkatan Kapasitas BPD</v>
          </cell>
        </row>
        <row r="169">
          <cell r="B169" t="str">
            <v>4.4</v>
          </cell>
          <cell r="C169" t="str">
            <v>Sub Bidang Pemberdayaan Perempuan, Perlindungan Anak dan Keluarga</v>
          </cell>
        </row>
        <row r="170">
          <cell r="B170" t="str">
            <v>4.4.01</v>
          </cell>
          <cell r="C170" t="str">
            <v>Pelatihan dan Penyuluhan Pemberdayaan Perempuan</v>
          </cell>
        </row>
        <row r="171">
          <cell r="B171" t="str">
            <v>4.4.02</v>
          </cell>
          <cell r="C171" t="str">
            <v>Pelatihan dan Penyuluhan Perlindungan Anak</v>
          </cell>
        </row>
        <row r="172">
          <cell r="B172" t="str">
            <v>4.4.03</v>
          </cell>
          <cell r="C172" t="str">
            <v>Pelatihan dan Penguatan Penyandang Difable (Penyandang Disabilitas)</v>
          </cell>
        </row>
        <row r="173">
          <cell r="B173" t="str">
            <v>4.5</v>
          </cell>
          <cell r="C173" t="str">
            <v>Sub Bidang Koperasi, Usaha Micro Kecil dan Menengah (UMKM)</v>
          </cell>
        </row>
        <row r="174">
          <cell r="B174" t="str">
            <v>4.5.01</v>
          </cell>
          <cell r="C174" t="str">
            <v>Pelatihan Manajemen Koperasi/KUD/UMKM</v>
          </cell>
        </row>
        <row r="175">
          <cell r="B175" t="str">
            <v>4.5.02</v>
          </cell>
          <cell r="C175" t="str">
            <v>Pengembangan Sarana Prasarana Usaha Mikro, Kecil, Menengah dan Koperasi</v>
          </cell>
        </row>
        <row r="176">
          <cell r="B176" t="str">
            <v>4.5.03</v>
          </cell>
          <cell r="C176" t="str">
            <v>Pengadaan Teknologi Tepat Guna Untuk Pengembangan Ekonomi Pedesaan Non Pertanian</v>
          </cell>
        </row>
        <row r="177">
          <cell r="B177" t="str">
            <v>4.6</v>
          </cell>
          <cell r="C177" t="str">
            <v>Sub Bidang Dukungan Penanaman Modal</v>
          </cell>
        </row>
        <row r="178">
          <cell r="B178" t="str">
            <v>4.6.01</v>
          </cell>
          <cell r="C178" t="str">
            <v>Pembentukan BUM Desa (Persiapan dan Pembentukan Awal BUMDesa)</v>
          </cell>
        </row>
        <row r="179">
          <cell r="B179" t="str">
            <v>4.6.02</v>
          </cell>
          <cell r="C179" t="str">
            <v>Pelatihan Pengelolaan BUM Desa (Pelatihan yg dilaksanakan oleh Pemdes)</v>
          </cell>
        </row>
        <row r="180">
          <cell r="B180" t="str">
            <v>4.7</v>
          </cell>
          <cell r="C180" t="str">
            <v>Sub Bidang Perdagangan dan Perindustrian</v>
          </cell>
        </row>
        <row r="181">
          <cell r="B181" t="str">
            <v>4.7.01</v>
          </cell>
          <cell r="C181" t="str">
            <v>Pemeliharaan Pasar Desa/Kios Milik Desa</v>
          </cell>
        </row>
        <row r="182">
          <cell r="B182" t="str">
            <v>4.7.02</v>
          </cell>
          <cell r="C182" t="str">
            <v>Pembangunan/Rehab Pasar Desa/Kios Milik Desa</v>
          </cell>
        </row>
        <row r="183">
          <cell r="B183" t="str">
            <v>4.7.03</v>
          </cell>
          <cell r="C183" t="str">
            <v>Pengembangan Industri Kecil Tingkat Desa</v>
          </cell>
        </row>
        <row r="184">
          <cell r="B184" t="str">
            <v>4.7.04</v>
          </cell>
          <cell r="C184" t="str">
            <v>Pembentukan/Fasilitasi/Pelatihan/Pendampingan kelompok usaha ekonomi produktif</v>
          </cell>
        </row>
        <row r="185">
          <cell r="B185">
            <v>5</v>
          </cell>
          <cell r="C185" t="str">
            <v>BIDANG PENANGGULANGAN BENCANA, DARURAT DAN MENDESAK DESA</v>
          </cell>
        </row>
        <row r="186">
          <cell r="B186" t="str">
            <v>5.1</v>
          </cell>
          <cell r="C186" t="str">
            <v>Sub Bidang Penanggulangan Bencana</v>
          </cell>
        </row>
        <row r="187">
          <cell r="B187" t="str">
            <v>5.1.01</v>
          </cell>
          <cell r="C187" t="str">
            <v>Kegiatan Penanggulanan Bencana</v>
          </cell>
        </row>
        <row r="188">
          <cell r="B188" t="str">
            <v>5.2</v>
          </cell>
          <cell r="C188" t="str">
            <v>Sub Bidang Keadaan Darurat</v>
          </cell>
        </row>
        <row r="189">
          <cell r="B189" t="str">
            <v>5.2.00</v>
          </cell>
          <cell r="C189" t="str">
            <v>Penanganan Keadaan Darurat</v>
          </cell>
        </row>
        <row r="190">
          <cell r="B190" t="str">
            <v>5.3</v>
          </cell>
          <cell r="C190" t="str">
            <v>Sub Bidang Keadaan Mendesak</v>
          </cell>
        </row>
        <row r="191">
          <cell r="B191" t="str">
            <v>5.3.00</v>
          </cell>
          <cell r="C191" t="str">
            <v>Penanganan Keadaan Mendesak</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mpul"/>
      <sheetName val="Rekap ADD 2026"/>
      <sheetName val="Rekap DD 2026"/>
      <sheetName val="Rekap PBH 2026"/>
      <sheetName val="Rekap SiLPA ADD"/>
      <sheetName val="SiLPA PBH"/>
      <sheetName val="Input Omspant"/>
      <sheetName val="Siltap Kades"/>
      <sheetName val="Siltap Perades"/>
      <sheetName val="BPJS"/>
      <sheetName val="O.Kantor"/>
      <sheetName val="Op.Ktr Desa SiLPA ADD"/>
      <sheetName val="Tj BPD"/>
      <sheetName val="O.BPD"/>
      <sheetName val="Insentif RT"/>
      <sheetName val="Op 3%"/>
      <sheetName val="Pekerja rentan"/>
      <sheetName val="Profil desa"/>
      <sheetName val="SIKS NG"/>
      <sheetName val="Musdes"/>
      <sheetName val="PBB"/>
      <sheetName val="Paud"/>
      <sheetName val="SiLPA Paud DD Thp II 2025"/>
      <sheetName val="Poskesdes"/>
      <sheetName val="Posyandu"/>
      <sheetName val="Pemb Poskesdes"/>
      <sheetName val="Pemeliharaan Jalan Desa"/>
      <sheetName val="Rabat Jl GPI"/>
      <sheetName val="Rehab Ktr SiLPA DD 2025"/>
      <sheetName val="Baliho"/>
      <sheetName val="Internet"/>
      <sheetName val="SiLPA cctv Thp II 2025"/>
      <sheetName val="Rekap SiLPA DDS"/>
      <sheetName val="Keagamaan dan budaya"/>
      <sheetName val="SiLPA Hnr Imam_pdt DD Thp II 25"/>
      <sheetName val="L Adat"/>
      <sheetName val="LPM"/>
      <sheetName val="PKK"/>
      <sheetName val="Rekap PBR 2026"/>
      <sheetName val="Bantuan pertanian"/>
      <sheetName val="BLT"/>
      <sheetName val="Daftar KPM Calon BLT 2026"/>
      <sheetName val="Parameter Keg"/>
      <sheetName val="Parameter Belanja"/>
      <sheetName val="Form RAB 2026"/>
      <sheetName val="A.Kas Sikeudes"/>
      <sheetName val="Rekap sebelum-P ADD 2026"/>
      <sheetName val="Pagu ADD Perubahan"/>
      <sheetName val="Rekap Siltap-P"/>
      <sheetName val="Siltap Kades-P"/>
      <sheetName val="Siltap Perades-P"/>
      <sheetName val="BPJS-P"/>
      <sheetName val="Tj BPD-P"/>
      <sheetName val="TAHAPAN DD"/>
      <sheetName val="MTQ"/>
      <sheetName val="Daftar KPM Calon BLT 2026 (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6">
          <cell r="D16" t="str">
            <v>Penyediaan operasional Perkantoran</v>
          </cell>
          <cell r="J16">
            <v>50627593</v>
          </cell>
        </row>
        <row r="17">
          <cell r="J17">
            <v>32627593</v>
          </cell>
        </row>
        <row r="55">
          <cell r="J55">
            <v>18000000</v>
          </cell>
        </row>
        <row r="59">
          <cell r="D59" t="str">
            <v>Pajak dan adm bank</v>
          </cell>
          <cell r="J59">
            <v>2000000</v>
          </cell>
        </row>
        <row r="60">
          <cell r="J60">
            <v>975471</v>
          </cell>
        </row>
      </sheetData>
      <sheetData sheetId="11">
        <row r="17">
          <cell r="J17">
            <v>18000000</v>
          </cell>
        </row>
      </sheetData>
      <sheetData sheetId="12" refreshError="1"/>
      <sheetData sheetId="13" refreshError="1"/>
      <sheetData sheetId="14" refreshError="1">
        <row r="16">
          <cell r="J16">
            <v>3000000</v>
          </cell>
        </row>
      </sheetData>
      <sheetData sheetId="15" refreshError="1">
        <row r="16">
          <cell r="D16" t="str">
            <v>Biaya Koordinasi Pemerintah Desa</v>
          </cell>
          <cell r="J16">
            <v>185000</v>
          </cell>
        </row>
        <row r="22">
          <cell r="D22" t="str">
            <v>Dukungan Penyelenggaraan Pencegahan dan Penanggulangan Kerawanan Sosial</v>
          </cell>
          <cell r="J22">
            <v>10325000</v>
          </cell>
        </row>
      </sheetData>
      <sheetData sheetId="16" refreshError="1">
        <row r="16">
          <cell r="D16" t="str">
            <v>Penyediaan jaminan sosial pekerja rentan</v>
          </cell>
          <cell r="J16">
            <v>10080000</v>
          </cell>
        </row>
        <row r="21">
          <cell r="D21" t="str">
            <v>Penyediaan jaminan sosial pekerja rentan SiLPA TA 2025</v>
          </cell>
          <cell r="J21">
            <v>10080000</v>
          </cell>
        </row>
      </sheetData>
      <sheetData sheetId="17" refreshError="1">
        <row r="16">
          <cell r="B16" t="str">
            <v>1.3.02</v>
          </cell>
          <cell r="D16" t="str">
            <v>Pemutahiran data desa/profil desa</v>
          </cell>
          <cell r="J16">
            <v>8000000</v>
          </cell>
        </row>
      </sheetData>
      <sheetData sheetId="18" refreshError="1">
        <row r="16">
          <cell r="B16" t="str">
            <v>1.3.05</v>
          </cell>
          <cell r="D16" t="str">
            <v>Penyediaan data kesejahteraan sosial SIKS NG</v>
          </cell>
          <cell r="J16">
            <v>6000000</v>
          </cell>
        </row>
      </sheetData>
      <sheetData sheetId="19" refreshError="1">
        <row r="16">
          <cell r="D16" t="str">
            <v>Penyelenggaraan Musyawarah Desa</v>
          </cell>
          <cell r="J16">
            <v>17524000</v>
          </cell>
        </row>
        <row r="29">
          <cell r="D29" t="str">
            <v>Penyelenggaraan Rembug Desa</v>
          </cell>
          <cell r="J29">
            <v>3825000</v>
          </cell>
        </row>
      </sheetData>
      <sheetData sheetId="20">
        <row r="16">
          <cell r="D16" t="str">
            <v>Penyediaan operasional PBH</v>
          </cell>
          <cell r="J16">
            <v>16272522</v>
          </cell>
        </row>
        <row r="31">
          <cell r="D31" t="str">
            <v>Penyediaan operasional PBR</v>
          </cell>
          <cell r="J31">
            <v>1241094</v>
          </cell>
        </row>
        <row r="36">
          <cell r="D36" t="str">
            <v>Penyediaan Mobiler (SiLPA PBH 2025)</v>
          </cell>
          <cell r="J36">
            <v>863383</v>
          </cell>
        </row>
        <row r="41">
          <cell r="J41">
            <v>2458721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mpul"/>
      <sheetName val="Perdes usulan APBDes 2026"/>
      <sheetName val="Lamp 1a"/>
      <sheetName val="Lamp 1b APBDes 2026"/>
      <sheetName val="Input Omspant"/>
      <sheetName val="Nota kesepakatan APBDes 2026"/>
      <sheetName val="BA APBDes 2026"/>
      <sheetName val="Notulen Musdes APBDes 2025"/>
      <sheetName val="Dftr Hadir  Musdes APBDes 2025"/>
      <sheetName val="Undangan Musdes APBDes 2025"/>
      <sheetName val="Foto Dok Musdes"/>
    </sheetNames>
    <sheetDataSet>
      <sheetData sheetId="0" refreshError="1"/>
      <sheetData sheetId="1"/>
      <sheetData sheetId="2">
        <row r="13">
          <cell r="D13">
            <v>692448400</v>
          </cell>
        </row>
        <row r="19">
          <cell r="D19">
            <v>768196954</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onversi"/>
      <sheetName val="Lembar1"/>
      <sheetName val="Lembar2"/>
      <sheetName val="Lembar 3"/>
      <sheetName val="Lembar4"/>
      <sheetName val="Lembar5"/>
      <sheetName val="Faktur"/>
    </sheetNames>
    <sheetDataSet>
      <sheetData sheetId="0" refreshError="1"/>
      <sheetData sheetId="1">
        <row r="34">
          <cell r="D34">
            <v>91363</v>
          </cell>
        </row>
      </sheetData>
      <sheetData sheetId="2" refreshError="1"/>
      <sheetData sheetId="3" refreshError="1"/>
      <sheetData sheetId="4" refreshError="1"/>
      <sheetData sheetId="5" refreshError="1"/>
      <sheetData sheetId="6"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mpul"/>
      <sheetName val="Perkades Penj APBDes 2026"/>
      <sheetName val="Lamp Perkades 2026"/>
    </sheetNames>
    <sheetDataSet>
      <sheetData sheetId="0" refreshError="1"/>
      <sheetData sheetId="1" refreshError="1"/>
      <sheetData sheetId="2">
        <row r="12">
          <cell r="H12">
            <v>691472929</v>
          </cell>
        </row>
        <row r="13">
          <cell r="D13" t="str">
            <v>4.2.1</v>
          </cell>
        </row>
        <row r="14">
          <cell r="D14" t="str">
            <v>4.2.1.01</v>
          </cell>
          <cell r="H14">
            <v>350835000</v>
          </cell>
        </row>
        <row r="17">
          <cell r="H17">
            <v>16272522</v>
          </cell>
        </row>
        <row r="18">
          <cell r="H18">
            <v>1241094</v>
          </cell>
        </row>
        <row r="20">
          <cell r="H20">
            <v>323124313</v>
          </cell>
        </row>
        <row r="28">
          <cell r="C28" t="str">
            <v>1.1.01</v>
          </cell>
        </row>
        <row r="29">
          <cell r="H29">
            <v>40769880</v>
          </cell>
        </row>
        <row r="33">
          <cell r="C33" t="str">
            <v>1.1.02</v>
          </cell>
        </row>
        <row r="34">
          <cell r="H34">
            <v>163648440</v>
          </cell>
        </row>
        <row r="38">
          <cell r="C38" t="str">
            <v>1.1.03</v>
          </cell>
        </row>
        <row r="39">
          <cell r="H39">
            <v>2798400</v>
          </cell>
        </row>
        <row r="43">
          <cell r="C43" t="str">
            <v>1.1.04</v>
          </cell>
        </row>
        <row r="68">
          <cell r="D68" t="str">
            <v>5.2.5.01</v>
          </cell>
        </row>
        <row r="69">
          <cell r="H69">
            <v>3994750</v>
          </cell>
        </row>
        <row r="73">
          <cell r="H73">
            <v>22200000</v>
          </cell>
        </row>
        <row r="76">
          <cell r="C76" t="str">
            <v>1.1.06</v>
          </cell>
          <cell r="H76">
            <v>5000000</v>
          </cell>
        </row>
        <row r="86">
          <cell r="H86">
            <v>3000000</v>
          </cell>
        </row>
        <row r="89">
          <cell r="C89" t="str">
            <v>1.1.08</v>
          </cell>
        </row>
        <row r="90">
          <cell r="H90">
            <v>10510000</v>
          </cell>
        </row>
        <row r="97">
          <cell r="H97">
            <v>10080000</v>
          </cell>
        </row>
        <row r="102">
          <cell r="H102">
            <v>8000000</v>
          </cell>
        </row>
        <row r="107">
          <cell r="H107">
            <v>6000000</v>
          </cell>
        </row>
        <row r="111">
          <cell r="C111" t="str">
            <v>1.4.01</v>
          </cell>
        </row>
        <row r="112">
          <cell r="H112">
            <v>17524000</v>
          </cell>
        </row>
        <row r="119">
          <cell r="H119">
            <v>3825000</v>
          </cell>
        </row>
        <row r="126">
          <cell r="H126">
            <v>16272522</v>
          </cell>
        </row>
        <row r="135">
          <cell r="D135" t="str">
            <v>5.2</v>
          </cell>
          <cell r="H135">
            <v>1241094</v>
          </cell>
        </row>
        <row r="138">
          <cell r="H138">
            <v>863383</v>
          </cell>
        </row>
        <row r="143">
          <cell r="C143" t="str">
            <v>2.1.01</v>
          </cell>
        </row>
        <row r="145">
          <cell r="H145">
            <v>20400000</v>
          </cell>
        </row>
        <row r="151">
          <cell r="H151">
            <v>8500000</v>
          </cell>
        </row>
        <row r="157">
          <cell r="C157" t="str">
            <v>2.2.01</v>
          </cell>
        </row>
        <row r="158">
          <cell r="H158">
            <v>1650000</v>
          </cell>
        </row>
        <row r="165">
          <cell r="H165">
            <v>2750000</v>
          </cell>
        </row>
        <row r="184">
          <cell r="C184" t="str">
            <v>2.2.09</v>
          </cell>
        </row>
        <row r="196">
          <cell r="H196">
            <v>7522900</v>
          </cell>
        </row>
        <row r="199">
          <cell r="C199" t="str">
            <v>2.3.10</v>
          </cell>
        </row>
        <row r="208">
          <cell r="C208" t="str">
            <v>2.6.02</v>
          </cell>
        </row>
        <row r="209">
          <cell r="H209">
            <v>900000</v>
          </cell>
        </row>
        <row r="212">
          <cell r="C212" t="str">
            <v>2.6.03</v>
          </cell>
        </row>
        <row r="214">
          <cell r="H214">
            <v>6000000</v>
          </cell>
        </row>
        <row r="218">
          <cell r="H218">
            <v>16328800</v>
          </cell>
        </row>
        <row r="223">
          <cell r="C223" t="str">
            <v>3.2.03</v>
          </cell>
        </row>
        <row r="225">
          <cell r="H225">
            <v>40200000</v>
          </cell>
        </row>
        <row r="233">
          <cell r="H233">
            <v>8000000</v>
          </cell>
        </row>
        <row r="238">
          <cell r="C238" t="str">
            <v>3.4.01</v>
          </cell>
        </row>
        <row r="239">
          <cell r="H239">
            <v>2000000</v>
          </cell>
        </row>
        <row r="242">
          <cell r="C242" t="str">
            <v>3.4.02</v>
          </cell>
        </row>
        <row r="243">
          <cell r="H243">
            <v>2000000</v>
          </cell>
        </row>
        <row r="246">
          <cell r="C246" t="str">
            <v>3.4.03</v>
          </cell>
        </row>
        <row r="247">
          <cell r="H247">
            <v>7000000</v>
          </cell>
        </row>
        <row r="255">
          <cell r="C255" t="str">
            <v>4.2</v>
          </cell>
        </row>
        <row r="256">
          <cell r="C256" t="str">
            <v>4.2.01</v>
          </cell>
        </row>
        <row r="257">
          <cell r="H257">
            <v>29842000</v>
          </cell>
        </row>
        <row r="263">
          <cell r="H263">
            <v>69600000</v>
          </cell>
        </row>
      </sheetData>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kap SiLPA ADD"/>
      <sheetName val="Siltap Kades"/>
      <sheetName val="Rekap ADD 2026"/>
      <sheetName val="Siltap Perades"/>
      <sheetName val="BPJS"/>
      <sheetName val="O.Kantor"/>
      <sheetName val="Op.Ktr Desa SiLPA ADD"/>
      <sheetName val="Tj BPD"/>
      <sheetName val="O.BPD"/>
      <sheetName val="Insentif RT"/>
      <sheetName val="Pekerja rentan"/>
      <sheetName val="Profil desa"/>
      <sheetName val="SIKS NG"/>
      <sheetName val="L Adat"/>
      <sheetName val="LPM"/>
      <sheetName val="PKK"/>
      <sheetName val="PBB"/>
      <sheetName val="Rekap PBH 2026"/>
      <sheetName val="Rekap PBR 2026"/>
      <sheetName val="Op 3%"/>
      <sheetName val="Musdes"/>
      <sheetName val="Paud"/>
      <sheetName val="SiLPA Paud DD Thp II 2025"/>
      <sheetName val="Rekap DD 2026"/>
      <sheetName val="Rekap SiLPA DDS"/>
      <sheetName val="Poskesdes"/>
      <sheetName val="Posyandu"/>
      <sheetName val="Pemb Poskesdes"/>
      <sheetName val="Rehab Ktr SiLPA DD 2025"/>
      <sheetName val="Rabat Jl GPI"/>
      <sheetName val="Baliho"/>
      <sheetName val="Internet"/>
      <sheetName val="SiLPA cctv Thp II 2025"/>
      <sheetName val="Keagamaan dan budaya"/>
      <sheetName val="SiLPA Hnr Imam_pdt DD Thp II 25"/>
      <sheetName val="Bantuan pertanian"/>
      <sheetName val="BLT"/>
      <sheetName val="Input Omspant"/>
      <sheetName val="Daftar KPM Calon BLT 2026"/>
      <sheetName val="SiLPA PBH"/>
      <sheetName val="Parameter Keg"/>
      <sheetName val="Parameter Belanja"/>
      <sheetName val="Form RAB 2026"/>
    </sheetNames>
    <sheetDataSet>
      <sheetData sheetId="0"/>
      <sheetData sheetId="1">
        <row r="15">
          <cell r="J15">
            <v>40769880</v>
          </cell>
        </row>
      </sheetData>
      <sheetData sheetId="2">
        <row r="9">
          <cell r="F9">
            <v>155248440</v>
          </cell>
        </row>
      </sheetData>
      <sheetData sheetId="3">
        <row r="15">
          <cell r="J15">
            <v>163648440</v>
          </cell>
        </row>
      </sheetData>
      <sheetData sheetId="4">
        <row r="15">
          <cell r="J15">
            <v>2798400</v>
          </cell>
        </row>
      </sheetData>
      <sheetData sheetId="5">
        <row r="15">
          <cell r="J15">
            <v>52627593</v>
          </cell>
        </row>
      </sheetData>
      <sheetData sheetId="6">
        <row r="16">
          <cell r="D16" t="str">
            <v>Operasional Kantor Desa SiLPA ADD 2025</v>
          </cell>
        </row>
      </sheetData>
      <sheetData sheetId="7">
        <row r="8">
          <cell r="D8" t="str">
            <v>1.1.05</v>
          </cell>
        </row>
      </sheetData>
      <sheetData sheetId="8">
        <row r="8">
          <cell r="D8" t="str">
            <v>1.1.06</v>
          </cell>
        </row>
      </sheetData>
      <sheetData sheetId="9">
        <row r="8">
          <cell r="D8" t="str">
            <v>1.1.07</v>
          </cell>
        </row>
      </sheetData>
      <sheetData sheetId="10">
        <row r="15">
          <cell r="J15">
            <v>10080000</v>
          </cell>
        </row>
      </sheetData>
      <sheetData sheetId="11">
        <row r="8">
          <cell r="D8" t="str">
            <v>1.3.02</v>
          </cell>
        </row>
      </sheetData>
      <sheetData sheetId="12">
        <row r="8">
          <cell r="D8" t="str">
            <v>1.3.05</v>
          </cell>
        </row>
      </sheetData>
      <sheetData sheetId="13">
        <row r="16">
          <cell r="J16">
            <v>2000000</v>
          </cell>
        </row>
      </sheetData>
      <sheetData sheetId="14">
        <row r="8">
          <cell r="D8" t="str">
            <v>3.4.02</v>
          </cell>
        </row>
      </sheetData>
      <sheetData sheetId="15">
        <row r="8">
          <cell r="D8" t="str">
            <v>3.4.03</v>
          </cell>
        </row>
      </sheetData>
      <sheetData sheetId="16">
        <row r="17">
          <cell r="B17" t="str">
            <v>5.2</v>
          </cell>
        </row>
      </sheetData>
      <sheetData sheetId="17"/>
      <sheetData sheetId="18"/>
      <sheetData sheetId="19">
        <row r="8">
          <cell r="D8" t="str">
            <v>1.1.08</v>
          </cell>
        </row>
      </sheetData>
      <sheetData sheetId="20">
        <row r="8">
          <cell r="D8" t="str">
            <v>1.4.01</v>
          </cell>
        </row>
      </sheetData>
      <sheetData sheetId="21">
        <row r="18">
          <cell r="J18">
            <v>4800000</v>
          </cell>
        </row>
      </sheetData>
      <sheetData sheetId="22">
        <row r="18">
          <cell r="J18">
            <v>2000000</v>
          </cell>
        </row>
      </sheetData>
      <sheetData sheetId="23"/>
      <sheetData sheetId="24"/>
      <sheetData sheetId="25">
        <row r="8">
          <cell r="D8" t="str">
            <v>2.2.01</v>
          </cell>
        </row>
      </sheetData>
      <sheetData sheetId="26">
        <row r="8">
          <cell r="D8" t="str">
            <v>2.2.02</v>
          </cell>
        </row>
      </sheetData>
      <sheetData sheetId="27">
        <row r="8">
          <cell r="D8" t="str">
            <v>2.2.09</v>
          </cell>
        </row>
      </sheetData>
      <sheetData sheetId="28">
        <row r="18">
          <cell r="B18" t="str">
            <v>5.3.2</v>
          </cell>
        </row>
      </sheetData>
      <sheetData sheetId="29">
        <row r="8">
          <cell r="D8" t="str">
            <v>2.3.10</v>
          </cell>
        </row>
      </sheetData>
      <sheetData sheetId="30">
        <row r="8">
          <cell r="D8" t="str">
            <v>2.6.02</v>
          </cell>
        </row>
      </sheetData>
      <sheetData sheetId="31">
        <row r="8">
          <cell r="D8" t="str">
            <v>2.6.03</v>
          </cell>
        </row>
      </sheetData>
      <sheetData sheetId="32">
        <row r="16">
          <cell r="D16" t="str">
            <v>Pelunasan peralatan informasi digital desa thp II 2025</v>
          </cell>
        </row>
      </sheetData>
      <sheetData sheetId="33">
        <row r="8">
          <cell r="D8" t="str">
            <v>3.2.03</v>
          </cell>
        </row>
      </sheetData>
      <sheetData sheetId="34">
        <row r="19">
          <cell r="B19" t="str">
            <v>5.2.2.91</v>
          </cell>
        </row>
      </sheetData>
      <sheetData sheetId="35">
        <row r="19">
          <cell r="J19">
            <v>27600000</v>
          </cell>
        </row>
      </sheetData>
      <sheetData sheetId="36">
        <row r="19">
          <cell r="J19">
            <v>69600000</v>
          </cell>
        </row>
      </sheetData>
      <sheetData sheetId="37"/>
      <sheetData sheetId="38"/>
      <sheetData sheetId="39"/>
      <sheetData sheetId="40">
        <row r="3">
          <cell r="B3">
            <v>1</v>
          </cell>
          <cell r="C3" t="str">
            <v>BIDANG PENYELENGGARAN PEMERINTAHAN DESA</v>
          </cell>
        </row>
        <row r="4">
          <cell r="B4" t="str">
            <v>1.1</v>
          </cell>
          <cell r="C4" t="str">
            <v>Penyelenggaran Belanja Siltap, Tunjangan dan Operasional Pemerintahan Desa</v>
          </cell>
        </row>
        <row r="5">
          <cell r="B5" t="str">
            <v>1.1.01</v>
          </cell>
          <cell r="C5" t="str">
            <v>Penyediaan Penghasilan Tetap dan Tunjangan Kepala Desa</v>
          </cell>
        </row>
        <row r="6">
          <cell r="B6" t="str">
            <v>1.1.02</v>
          </cell>
          <cell r="C6" t="str">
            <v>Penyediaan Penghasilan Tetap dan Tunjangan Perangkat Desa</v>
          </cell>
        </row>
        <row r="7">
          <cell r="B7" t="str">
            <v>1.1.03</v>
          </cell>
          <cell r="C7" t="str">
            <v>Penyediaan Jaminan Sosial bagi Kepala Desa dan Perangkat Desa</v>
          </cell>
        </row>
        <row r="8">
          <cell r="B8" t="str">
            <v>1.1.04</v>
          </cell>
          <cell r="C8" t="str">
            <v>Penyediaan Operasional Pemerintah Desa (ATK, Honor PKPKD dan PPKD dll)</v>
          </cell>
        </row>
        <row r="9">
          <cell r="B9" t="str">
            <v>1.1.05</v>
          </cell>
          <cell r="C9" t="str">
            <v>Penyediaan Tunjangan BPD</v>
          </cell>
        </row>
        <row r="10">
          <cell r="B10" t="str">
            <v>1.1.06</v>
          </cell>
          <cell r="C10" t="str">
            <v>Penyediaan Operasional BPD (rapat, ATK, Makan Minum, Pakaian Seragam, Listrik dll)</v>
          </cell>
        </row>
        <row r="11">
          <cell r="B11" t="str">
            <v>1.1.07</v>
          </cell>
          <cell r="C11" t="str">
            <v>Penyediaan Insentif/Operasional RT/RW</v>
          </cell>
        </row>
        <row r="12">
          <cell r="B12" t="str">
            <v>1.1.08</v>
          </cell>
          <cell r="C12" t="str">
            <v>Penyediaan Operasional Pemerintah Desa yang bersumber dari Dana Desa</v>
          </cell>
        </row>
        <row r="13">
          <cell r="B13" t="str">
            <v>1.1.90</v>
          </cell>
          <cell r="C13" t="str">
            <v>Penyediaan jaminan sosial bagi pekerja rentan</v>
          </cell>
        </row>
        <row r="14">
          <cell r="B14" t="str">
            <v>1.2</v>
          </cell>
          <cell r="C14" t="str">
            <v>Penyediaan Sarana Prasarana Pemerintahan Desa</v>
          </cell>
        </row>
        <row r="15">
          <cell r="B15" t="str">
            <v>1.2.01</v>
          </cell>
          <cell r="C15" t="str">
            <v>Penyediaan Sarana (Aset Tetap) Perkantoran/Pemerintahan</v>
          </cell>
        </row>
        <row r="16">
          <cell r="B16" t="str">
            <v>1.2.02</v>
          </cell>
          <cell r="C16" t="str">
            <v>Pemeliharaan Gedung/Prasarana Kantor Desa</v>
          </cell>
        </row>
        <row r="17">
          <cell r="B17" t="str">
            <v>1.2.03</v>
          </cell>
          <cell r="C17" t="str">
            <v>Pembangunan/Rehabilitasi/Peningkatan Gedung/Prasarana Kantor Desa **)</v>
          </cell>
        </row>
        <row r="18">
          <cell r="B18" t="str">
            <v>1.3</v>
          </cell>
          <cell r="C18" t="str">
            <v>Pengelolaan Administrasi Kependudukan, Pencatatan Sipil, Statistik dan Kearsipan</v>
          </cell>
        </row>
        <row r="19">
          <cell r="B19" t="str">
            <v>1.3.01</v>
          </cell>
          <cell r="C19" t="str">
            <v>Pelayanan Administrasi Umum dan  Kependudukan</v>
          </cell>
        </row>
        <row r="20">
          <cell r="B20" t="str">
            <v>1.3.02</v>
          </cell>
          <cell r="C20" t="str">
            <v>Penyusunan, Pendataan, dan Pemutakhiran Profil Desa **)</v>
          </cell>
        </row>
        <row r="21">
          <cell r="B21" t="str">
            <v>1.3.03</v>
          </cell>
          <cell r="C21" t="str">
            <v>Pengelolaan Adminstrasi dan Kearsipan Pemerintahan Desa</v>
          </cell>
        </row>
        <row r="22">
          <cell r="B22" t="str">
            <v>1.3.04</v>
          </cell>
          <cell r="C22" t="str">
            <v>Penyuluhan dan Penyadaran Masyarakat tentang Kependudukan dan Capil</v>
          </cell>
        </row>
        <row r="23">
          <cell r="B23" t="str">
            <v>1.3.05</v>
          </cell>
          <cell r="C23" t="str">
            <v>Pemetaan dan Analisis Kemiskinan Desa secara Partisipatif</v>
          </cell>
        </row>
        <row r="24">
          <cell r="B24" t="str">
            <v>1.4</v>
          </cell>
          <cell r="C24" t="str">
            <v>Penyelenggaraan Tata Praja Pemerintahan, Perencanaan, Keuangan dan Pelaporan</v>
          </cell>
        </row>
        <row r="25">
          <cell r="B25" t="str">
            <v>1.4.01</v>
          </cell>
          <cell r="C25" t="str">
            <v>Penyelenggaraan Musyawarah Perencanaan Desa/Pembahasan APBDes (Reguler)</v>
          </cell>
        </row>
        <row r="26">
          <cell r="B26" t="str">
            <v>1.4.02</v>
          </cell>
          <cell r="C26" t="str">
            <v>Penyelenggaraan Musyawaran Desa Lainnya (Musdus, rembug desa Non Reguler)</v>
          </cell>
        </row>
        <row r="27">
          <cell r="B27" t="str">
            <v>1.4.03</v>
          </cell>
          <cell r="C27" t="str">
            <v>Penyusunan Dokumen Perencanaan Desa (RPJMDesa/RKPDesa dll)</v>
          </cell>
        </row>
        <row r="28">
          <cell r="B28" t="str">
            <v>1.4.04</v>
          </cell>
          <cell r="C28" t="str">
            <v>Penyusunan Dokumen Keuangan Desa (APBDes, APBDes Perubahan, LPJ dll)</v>
          </cell>
        </row>
        <row r="29">
          <cell r="B29" t="str">
            <v>1.4.05</v>
          </cell>
          <cell r="C29" t="str">
            <v>Pengelolaan Administrasi/ Inventarisasi/Penilaian Aset Desa</v>
          </cell>
        </row>
        <row r="30">
          <cell r="B30" t="str">
            <v>1.4.06</v>
          </cell>
          <cell r="C30" t="str">
            <v>Penyusunan Kebijakan Desa (Perdes/Perkades selain Perencanaan/Keuangan)</v>
          </cell>
        </row>
        <row r="31">
          <cell r="B31" t="str">
            <v>1.4.07</v>
          </cell>
          <cell r="C31" t="str">
            <v>Penyusunan Laporan Kepala Desa, LPPDesa dan Informasi Kepada Masyarakat</v>
          </cell>
        </row>
        <row r="32">
          <cell r="B32" t="str">
            <v>1.4.08</v>
          </cell>
          <cell r="C32" t="str">
            <v>Pengembangan Sistem Informasi Desa</v>
          </cell>
        </row>
        <row r="33">
          <cell r="B33" t="str">
            <v>1.4.09</v>
          </cell>
          <cell r="C33" t="str">
            <v>Koordinasi/Kerjasama Penyelenggaraan Pemerintahan &amp; Pembangunan Desa</v>
          </cell>
        </row>
        <row r="34">
          <cell r="B34" t="str">
            <v>1.4.10</v>
          </cell>
          <cell r="C34" t="str">
            <v>Dukungan &amp; Sosialisasi Pelaksanaan Pilkades, Pemilihan Ka. Kewilayahan &amp; BPD</v>
          </cell>
        </row>
        <row r="35">
          <cell r="B35" t="str">
            <v>1.4.11</v>
          </cell>
          <cell r="C35" t="str">
            <v>Penyelenggaran Lomba antar Kewilayahan &amp; Pengiriman Kontingen dlm Lomdes</v>
          </cell>
        </row>
        <row r="36">
          <cell r="B36" t="str">
            <v>1.4.12</v>
          </cell>
          <cell r="C36" t="str">
            <v>Dukungan Biaya Oprasional dan Biaya Lainnya untuk Desa Persiapan</v>
          </cell>
        </row>
        <row r="37">
          <cell r="B37" t="str">
            <v>1.5</v>
          </cell>
          <cell r="C37" t="str">
            <v>Sub Bidang Pertanahan</v>
          </cell>
        </row>
        <row r="38">
          <cell r="B38" t="str">
            <v>1.5.01</v>
          </cell>
          <cell r="C38" t="str">
            <v>Sertifikasi Tanah Kas Desa</v>
          </cell>
        </row>
        <row r="39">
          <cell r="B39" t="str">
            <v>1.5.02</v>
          </cell>
          <cell r="C39" t="str">
            <v>Administrasi Pertanahan (Pendaftaran Tanah dan Pemberian Registrasi Agenda Pertanahan)</v>
          </cell>
        </row>
        <row r="40">
          <cell r="B40" t="str">
            <v>1.5.03</v>
          </cell>
          <cell r="C40" t="str">
            <v>Fasilitasi Sertifikasi Tanah untuk Masyarakat Miskin</v>
          </cell>
        </row>
        <row r="41">
          <cell r="B41" t="str">
            <v>1.5.04</v>
          </cell>
          <cell r="C41" t="str">
            <v>Kegiatan Mediasi Konflik Pertanahan</v>
          </cell>
        </row>
        <row r="42">
          <cell r="B42" t="str">
            <v>1.5.05</v>
          </cell>
          <cell r="C42" t="str">
            <v>Kegiatan Penyuluhan Pertanahan</v>
          </cell>
        </row>
        <row r="43">
          <cell r="B43" t="str">
            <v>1.5.06</v>
          </cell>
          <cell r="C43" t="str">
            <v>Adminstrasi Pajak Bumi dan Bangunan (PBB)</v>
          </cell>
        </row>
        <row r="44">
          <cell r="B44" t="str">
            <v>1.5.07</v>
          </cell>
          <cell r="C44" t="str">
            <v>Penentuan/Penegasan Batas/patok Tanah Kas Desa</v>
          </cell>
        </row>
        <row r="45">
          <cell r="B45">
            <v>2</v>
          </cell>
          <cell r="C45" t="str">
            <v>BIDANG PELAKSANAAN PEMBANGUNAN DESA</v>
          </cell>
        </row>
        <row r="46">
          <cell r="B46" t="str">
            <v>2.1</v>
          </cell>
          <cell r="C46" t="str">
            <v>Sub Bidang Pendidikan</v>
          </cell>
        </row>
        <row r="47">
          <cell r="B47" t="str">
            <v>2.1.01</v>
          </cell>
          <cell r="C47" t="str">
            <v>Penyelenggaran PAUD/TK/TPA/TKA/TPQ/Madrasah NonFormal Milik Desa (Honor, Pakaian dll)</v>
          </cell>
        </row>
        <row r="48">
          <cell r="B48" t="str">
            <v>2.1.02</v>
          </cell>
          <cell r="C48" t="str">
            <v>Dukungan Penyelenggaran PAUD (APE, Sarana PAUD dst)</v>
          </cell>
        </row>
        <row r="49">
          <cell r="B49" t="str">
            <v>2.1.03</v>
          </cell>
          <cell r="C49" t="str">
            <v>Penyuluhan dan Pelatihan Pendidikan Bagi Masyarakat</v>
          </cell>
        </row>
        <row r="50">
          <cell r="B50" t="str">
            <v>2.1.04</v>
          </cell>
          <cell r="C50" t="str">
            <v>Pemeliharaan Sarana Prasarana Perpustakaan/Taman Bacaan/Sanggar Belajar Milik Desa</v>
          </cell>
        </row>
        <row r="51">
          <cell r="B51" t="str">
            <v>2.1.05</v>
          </cell>
          <cell r="C51" t="str">
            <v>Pemeliharaan Sarana Prasarana PAUD/TK/TPA/TKA/TPQ/Madrasah Nonformal Milik Desa</v>
          </cell>
        </row>
        <row r="52">
          <cell r="B52" t="str">
            <v>2.1.06</v>
          </cell>
          <cell r="C52" t="str">
            <v>Pembangunan/Rehabilitasi/Peningkatan/Pengadaan Sarana/Prasarana/Alat Peraga   PAUD/ TK/TPA/TKA/TPQ/Madrasah Nonformal</v>
          </cell>
        </row>
        <row r="53">
          <cell r="B53" t="str">
            <v>2.1.07</v>
          </cell>
          <cell r="C53" t="str">
            <v>Pembangunan/Rehabilitasi/Peningkatan Sarana/Prasarana Perpustakaan/Taman  Bacaan Desa/ Sanggar Belajar Milik Desa</v>
          </cell>
        </row>
        <row r="54">
          <cell r="B54" t="str">
            <v>2.1.08</v>
          </cell>
          <cell r="C54" t="str">
            <v>Pengelolaan Perpustakaan Milik Desa (Pengadaan Buku, Honor, Taman Baca)</v>
          </cell>
        </row>
        <row r="55">
          <cell r="B55" t="str">
            <v>2.1.09</v>
          </cell>
          <cell r="C55" t="str">
            <v>Pengembangan dan Pembinaan Sanggar Seni dan Belajar</v>
          </cell>
        </row>
        <row r="56">
          <cell r="B56" t="str">
            <v>2.1.10</v>
          </cell>
          <cell r="C56" t="str">
            <v>Dukungan Pendidikan bagi Siswa Miskin/Berprestasi</v>
          </cell>
        </row>
        <row r="57">
          <cell r="B57" t="str">
            <v>2.2</v>
          </cell>
          <cell r="C57" t="str">
            <v>Sub Bidang Kesehatan</v>
          </cell>
        </row>
        <row r="58">
          <cell r="B58" t="str">
            <v>2.2.01</v>
          </cell>
          <cell r="C58" t="str">
            <v>Penyelenggaraan Pos Kesehatan Desa/Polindes Milik Desa (obat, Insentif, KB, dsb)</v>
          </cell>
        </row>
        <row r="59">
          <cell r="B59" t="str">
            <v>2.2.02</v>
          </cell>
          <cell r="C59" t="str">
            <v>Penyelenggaraan Posyandu (Mkn Tambahan, Kls Bumil, Lansia, Insentif)</v>
          </cell>
        </row>
        <row r="60">
          <cell r="B60" t="str">
            <v>2.2.03</v>
          </cell>
          <cell r="C60" t="str">
            <v>Penyuluhan dan Pelatihan Bidang Kesehatan (Untuk Masy, Tenaga dan Kader Kesehatan dll)</v>
          </cell>
        </row>
        <row r="61">
          <cell r="B61" t="str">
            <v>2.2.04</v>
          </cell>
          <cell r="C61" t="str">
            <v>Penyelenggaraan Desa Siaga Kesehatan</v>
          </cell>
        </row>
        <row r="62">
          <cell r="B62" t="str">
            <v>2.2.05</v>
          </cell>
          <cell r="C62" t="str">
            <v>Pembinaan Palang Merah Remaja (PMR) Tingkat Desa</v>
          </cell>
        </row>
        <row r="63">
          <cell r="B63" t="str">
            <v>2.2.06</v>
          </cell>
          <cell r="C63" t="str">
            <v>Pengasuhan Bersama atau Bina Keluarga Balita (BKB)</v>
          </cell>
        </row>
        <row r="64">
          <cell r="B64" t="str">
            <v>2.2.07</v>
          </cell>
          <cell r="C64" t="str">
            <v>Pembinaan dan Pengawasan Upaya Kesehatan Tradisional</v>
          </cell>
        </row>
        <row r="65">
          <cell r="B65" t="str">
            <v>2.2.08</v>
          </cell>
          <cell r="C65" t="str">
            <v>Pemeliharaan Sarana Prasarana Posyandu/Polindes/PKD</v>
          </cell>
        </row>
        <row r="66">
          <cell r="B66" t="str">
            <v>2.2.09</v>
          </cell>
          <cell r="C66" t="str">
            <v>Pembangunan/Rehabilitasi/Peningkatan/Pengadaan Sarana/Prasarana Posyandu/Polindes/PKD **</v>
          </cell>
        </row>
        <row r="67">
          <cell r="B67" t="str">
            <v>2.3</v>
          </cell>
          <cell r="C67" t="str">
            <v>Sub Bidang Pekerjaan Umum dan Penataan Ruang</v>
          </cell>
        </row>
        <row r="68">
          <cell r="B68" t="str">
            <v>2.3.01</v>
          </cell>
          <cell r="C68" t="str">
            <v>Pemeliharaan Jalan Desa</v>
          </cell>
        </row>
        <row r="69">
          <cell r="B69" t="str">
            <v>2.3.02</v>
          </cell>
          <cell r="C69" t="str">
            <v>Pemeliharaan Jalan Lingkungan Pemukiman/Gang</v>
          </cell>
        </row>
        <row r="70">
          <cell r="B70" t="str">
            <v>2.3.03</v>
          </cell>
          <cell r="C70" t="str">
            <v>Pemeliharaan Jalan Usaha Tani</v>
          </cell>
        </row>
        <row r="71">
          <cell r="B71" t="str">
            <v>2.3.04</v>
          </cell>
          <cell r="C71" t="str">
            <v>Pemeliharaan Jembatan Desa</v>
          </cell>
        </row>
        <row r="72">
          <cell r="B72" t="str">
            <v>2.3.05</v>
          </cell>
          <cell r="C72" t="str">
            <v>Pemeliharaan Prasarana Jalan Desa (Gorong-gorong/Selokan/Parit/Drainase dll)</v>
          </cell>
        </row>
        <row r="73">
          <cell r="B73" t="str">
            <v>2.3.06</v>
          </cell>
          <cell r="C73" t="str">
            <v>Pemeliharaan Gedung/Prasarana Balai Desa/Balai Kemasyarakatan</v>
          </cell>
        </row>
        <row r="74">
          <cell r="B74" t="str">
            <v>2.3.07</v>
          </cell>
          <cell r="C74" t="str">
            <v>Pemeliharaan Pemakaman /Situs Bersejarah/Petilasan Milik Desa</v>
          </cell>
        </row>
        <row r="75">
          <cell r="B75" t="str">
            <v>2.3.08</v>
          </cell>
          <cell r="C75" t="str">
            <v>Pemeliharaan Embung Milik Desa</v>
          </cell>
        </row>
        <row r="76">
          <cell r="B76" t="str">
            <v>2.3.09</v>
          </cell>
          <cell r="C76" t="str">
            <v>Pemelharaan Monumen/Gapura/Batas Desa</v>
          </cell>
        </row>
        <row r="77">
          <cell r="B77" t="str">
            <v>2.3.10</v>
          </cell>
          <cell r="C77" t="str">
            <v>Pembangunan/Rehabilitas/Peningkatan/Pengerasan Jalan Desa **)</v>
          </cell>
        </row>
        <row r="78">
          <cell r="B78" t="str">
            <v>2.3.11</v>
          </cell>
          <cell r="C78" t="str">
            <v>Pembangunan/Rehabilitasi/Peningkatan/Pengerasan Jalan Lingkungan  Permukiman **)</v>
          </cell>
        </row>
        <row r="79">
          <cell r="B79" t="str">
            <v>2.3.12</v>
          </cell>
          <cell r="C79" t="str">
            <v>Pembangunan/Rehabilitasi/Peningkatan/Pengerasan Jalan Usaha Tani **)</v>
          </cell>
        </row>
        <row r="80">
          <cell r="B80" t="str">
            <v>2.3.13</v>
          </cell>
          <cell r="C80" t="str">
            <v>Pembangunan/Rehabilitasi/Peningkatan/Pengerasan Jembatan Milik Desa **)</v>
          </cell>
        </row>
        <row r="81">
          <cell r="B81" t="str">
            <v>2.3.14</v>
          </cell>
          <cell r="C81" t="str">
            <v>Pembangunan/Rehabilitasi/Peningkatan Prasarana Jalan Desa (Gorong, selokan dll)</v>
          </cell>
        </row>
        <row r="82">
          <cell r="B82" t="str">
            <v>2.3.15</v>
          </cell>
          <cell r="C82" t="str">
            <v>Pembangunan/Rehabilitasi/Peningkatan Balai Desa/Balai Kemasyarakatan **)</v>
          </cell>
        </row>
        <row r="83">
          <cell r="B83" t="str">
            <v>2.3.16</v>
          </cell>
          <cell r="C83" t="str">
            <v>Pembangunan/Rehabilitasi/Peningkatan Pemakaman Milik Desa/Situs Bersejarah Milik Desa/Petilasan</v>
          </cell>
        </row>
        <row r="84">
          <cell r="B84" t="str">
            <v>2.3.17</v>
          </cell>
          <cell r="C84" t="str">
            <v>Pembuatan/Pemutakhiran Peta Wilayah dan Sosial Desa **)</v>
          </cell>
        </row>
        <row r="85">
          <cell r="B85" t="str">
            <v>2.3.18</v>
          </cell>
          <cell r="C85" t="str">
            <v>Penyusunan Dokumen Perencanaan Tata Ruang Desa</v>
          </cell>
        </row>
        <row r="86">
          <cell r="B86" t="str">
            <v>2.3.19</v>
          </cell>
          <cell r="C86" t="str">
            <v>Pembangunan/Rehabilitasi/Peningkatan Embung Desa **)</v>
          </cell>
        </row>
        <row r="87">
          <cell r="B87" t="str">
            <v>2.3.20</v>
          </cell>
          <cell r="C87" t="str">
            <v>Pembangunan/Rehabilitasi/Peningkatan Monumen/Gapura/Batas Desa **)</v>
          </cell>
        </row>
        <row r="88">
          <cell r="B88" t="str">
            <v>2.4</v>
          </cell>
          <cell r="C88" t="str">
            <v>Sub Bidang Kawasan Pemukiman</v>
          </cell>
        </row>
        <row r="89">
          <cell r="B89" t="str">
            <v>2.4.01</v>
          </cell>
          <cell r="C89" t="str">
            <v>Dukungan Pelaksanaan Program Pembangunan/Rehab Rumah Tidak Layak Huni GAKIN</v>
          </cell>
        </row>
        <row r="90">
          <cell r="B90" t="str">
            <v>2.4.02</v>
          </cell>
          <cell r="C90" t="str">
            <v>Pemeliharaan Sumur Resapan Milik Desa</v>
          </cell>
        </row>
        <row r="91">
          <cell r="B91" t="str">
            <v>2.4.03</v>
          </cell>
          <cell r="C91" t="str">
            <v>Pemeliharaan Sumber Air Bersih Milik Desa (Mata Air, Penampung Air, Sumur Bor dll)</v>
          </cell>
        </row>
        <row r="92">
          <cell r="B92" t="str">
            <v>2.4.04</v>
          </cell>
          <cell r="C92" t="str">
            <v>Pemeliharaan Sambungan Air Bersih ke Rumah Tangga (Pipanisasi dll)</v>
          </cell>
        </row>
        <row r="93">
          <cell r="B93" t="str">
            <v>2.4.05</v>
          </cell>
          <cell r="C93" t="str">
            <v>Pemeliharaan Sanitasi Pemukiman (Gorong-gorong, Selokan, Parit diluar Prasarana Jalan))</v>
          </cell>
        </row>
        <row r="94">
          <cell r="B94" t="str">
            <v>2.4.06</v>
          </cell>
          <cell r="C94" t="str">
            <v>Pemeliharaan Fasilitas Jamban Umum/MCK Umum dll</v>
          </cell>
        </row>
        <row r="95">
          <cell r="B95" t="str">
            <v>2.4.07</v>
          </cell>
          <cell r="C95" t="str">
            <v>Pemeliharaan Fasilitas Pengelolaan Sampah Desa (Penampungan, Bank Sampah, dll)</v>
          </cell>
        </row>
        <row r="96">
          <cell r="B96" t="str">
            <v>2.4.08</v>
          </cell>
          <cell r="C96" t="str">
            <v>Pemeliharaan Sistem Pembuangan Air Limbah (Drainase, Air limbah Rumah Tangga)</v>
          </cell>
        </row>
        <row r="97">
          <cell r="B97" t="str">
            <v>2.4.09</v>
          </cell>
          <cell r="C97" t="str">
            <v>Pemeliharaan Taman/Taman Bermain Anak Milik Desa</v>
          </cell>
        </row>
        <row r="98">
          <cell r="B98" t="str">
            <v>2.4.10</v>
          </cell>
          <cell r="C98" t="str">
            <v>Pembangunan/Rehabilitasi/Peningkatan Sumur Resapan **)</v>
          </cell>
        </row>
        <row r="99">
          <cell r="B99" t="str">
            <v>2.4.11</v>
          </cell>
          <cell r="C99" t="str">
            <v>Pembangunan/Rehabilitasi/Peningkatan Sumber Air Bersih Milik Desa **)</v>
          </cell>
        </row>
        <row r="100">
          <cell r="B100" t="str">
            <v>2.4.12</v>
          </cell>
          <cell r="C100" t="str">
            <v>Pembangunan/Rehabilitasi/Peningkatan Sambungan Air Bersih ke Rumah Tangga **)</v>
          </cell>
        </row>
        <row r="101">
          <cell r="B101" t="str">
            <v>2.4.13</v>
          </cell>
          <cell r="C101" t="str">
            <v>Pembangunan/Rehabilitasi/Peningkatan Sanitasi Permukiman **)</v>
          </cell>
        </row>
        <row r="102">
          <cell r="B102" t="str">
            <v>2.4.14</v>
          </cell>
          <cell r="C102" t="str">
            <v>Pembangunan/Rehabilitas/Peningkatan Fasilitas Jamban Umum/MCK umum, dll **)</v>
          </cell>
        </row>
        <row r="103">
          <cell r="B103" t="str">
            <v>2.4.15</v>
          </cell>
          <cell r="C103" t="str">
            <v>Pembangunan/Rehabilitasi/Peningkatan Fasilitas Pengelolaan Sampah **)</v>
          </cell>
        </row>
        <row r="104">
          <cell r="B104" t="str">
            <v>2.4.16</v>
          </cell>
          <cell r="C104" t="str">
            <v>Pembangunan/Rehabilitasi/Peningkatan Sistem Pembuangan Air Limbah **)</v>
          </cell>
        </row>
        <row r="105">
          <cell r="B105" t="str">
            <v>2.4.17</v>
          </cell>
          <cell r="C105" t="str">
            <v>Pembangunan/Rehabilitasi/Peningkatan Taman/Taman Bermain Anak Milik Desa **)</v>
          </cell>
        </row>
        <row r="106">
          <cell r="B106" t="str">
            <v>2.5</v>
          </cell>
          <cell r="C106" t="str">
            <v>Sub Bidang Kehutanan dan Lingkungan Hidup</v>
          </cell>
        </row>
        <row r="107">
          <cell r="B107" t="str">
            <v>2.5.01</v>
          </cell>
          <cell r="C107" t="str">
            <v>Pengelolaan Hutan Milik Desa</v>
          </cell>
        </row>
        <row r="108">
          <cell r="B108" t="str">
            <v>2.5.02</v>
          </cell>
          <cell r="C108" t="str">
            <v>Pengelolaan Lingkungan Hidup Milik Desa</v>
          </cell>
        </row>
        <row r="109">
          <cell r="B109" t="str">
            <v>2.5.03</v>
          </cell>
          <cell r="C109" t="str">
            <v>Pelatihan/Sosialisasi/Penyuluhan/Penyadaran tentang LH dan Kehutanan **)</v>
          </cell>
        </row>
        <row r="110">
          <cell r="B110" t="str">
            <v>2.6</v>
          </cell>
          <cell r="C110" t="str">
            <v>Sub Bidang Perhubungan, Komunikasi dan Informatika</v>
          </cell>
        </row>
        <row r="111">
          <cell r="B111" t="str">
            <v>2.6.01</v>
          </cell>
          <cell r="C111" t="str">
            <v>Pembuatan Rambu-rambu di Jalan Desa</v>
          </cell>
        </row>
        <row r="112">
          <cell r="B112" t="str">
            <v>2.6.02</v>
          </cell>
          <cell r="C112" t="str">
            <v>Penyelenggaraan Informasi Publik Desa (Poster, Baliho Dll)</v>
          </cell>
        </row>
        <row r="113">
          <cell r="B113" t="str">
            <v>2.6.03</v>
          </cell>
          <cell r="C113" t="str">
            <v>Pengelolaan dan Pembuatan Jaringan/Instalasi Komunikasi dan Informasi Lokal Desa</v>
          </cell>
        </row>
        <row r="114">
          <cell r="B114" t="str">
            <v>2.6.04</v>
          </cell>
          <cell r="C114" t="str">
            <v>Pemeliharaan Sarana dan Prasarana Transportasi Desa</v>
          </cell>
        </row>
        <row r="115">
          <cell r="B115" t="str">
            <v>2.6.05</v>
          </cell>
          <cell r="C115" t="str">
            <v>Pembangunan/Rehabilitasi/Peningkatan/Pengadaan Sarana &amp; Prasarana Transportasi Desa</v>
          </cell>
        </row>
        <row r="116">
          <cell r="B116" t="str">
            <v>2.7</v>
          </cell>
          <cell r="C116" t="str">
            <v>Sub Bidang Energi dan Sumberdaya Mineral</v>
          </cell>
        </row>
        <row r="117">
          <cell r="B117" t="str">
            <v>2.7.01</v>
          </cell>
          <cell r="C117" t="str">
            <v>Pemeiliharaan Sarana dan Prasarana Energi Alternatif Desa</v>
          </cell>
        </row>
        <row r="118">
          <cell r="B118" t="str">
            <v>2.7.02</v>
          </cell>
          <cell r="C118" t="str">
            <v>Pembangunan/Rehabilitasi/Peningkatan Sarana &amp; Prasarana Energi Alternatif Desa</v>
          </cell>
        </row>
        <row r="119">
          <cell r="B119" t="str">
            <v>2.8</v>
          </cell>
          <cell r="C119" t="str">
            <v>Sub Bidang Pariwisata</v>
          </cell>
        </row>
        <row r="120">
          <cell r="B120" t="str">
            <v>2.8.01</v>
          </cell>
          <cell r="C120" t="str">
            <v>Pemeliharaan Sarana dan Prasarana Pariwisata Milik Desa</v>
          </cell>
        </row>
        <row r="121">
          <cell r="B121" t="str">
            <v>2.8.02</v>
          </cell>
          <cell r="C121" t="str">
            <v>Pembangunan/Rehabilitasi/Peningkatan Sarana dan Prasarana Pariwisata Milik **)</v>
          </cell>
        </row>
        <row r="122">
          <cell r="B122" t="str">
            <v>2.8.03</v>
          </cell>
          <cell r="C122" t="str">
            <v>Pengembangan Pariwisata Tingkat Desa</v>
          </cell>
        </row>
        <row r="123">
          <cell r="B123">
            <v>3</v>
          </cell>
          <cell r="C123" t="str">
            <v>BIDANG PEMBINAAN KEMASYARAKATAN</v>
          </cell>
        </row>
        <row r="124">
          <cell r="B124" t="str">
            <v>3.1</v>
          </cell>
          <cell r="C124" t="str">
            <v>Sub Bidang Ketenteraman, Ketertiban Umum dan Perlindungan Masyarakat</v>
          </cell>
        </row>
        <row r="125">
          <cell r="B125" t="str">
            <v>3.1.01</v>
          </cell>
          <cell r="C125" t="str">
            <v>Pengadaan/Penyelenggaran Pos Keamanan Desa</v>
          </cell>
        </row>
        <row r="126">
          <cell r="B126" t="str">
            <v>3.1.02</v>
          </cell>
          <cell r="C126" t="str">
            <v>Penguatan &amp; Peningkatan Kapasitas Tenaga Keamanan/Ketertiban oleh Pemdes</v>
          </cell>
        </row>
        <row r="127">
          <cell r="B127" t="str">
            <v>3.1.03</v>
          </cell>
          <cell r="C127" t="str">
            <v>Koordinasi Pembinaan Keamanan, Ketertiban &amp; Perlindungan Masy. Skala Lokal Desa</v>
          </cell>
        </row>
        <row r="128">
          <cell r="B128" t="str">
            <v>3.1.04</v>
          </cell>
          <cell r="C128" t="str">
            <v>Persiapan Kesiapsiagaan/Tanggap Bencana Skala Lokal Desa</v>
          </cell>
        </row>
        <row r="129">
          <cell r="B129" t="str">
            <v>3.1.05</v>
          </cell>
          <cell r="C129" t="str">
            <v>Penyediaan Pos Kesiapsiagaan Bencana Skala Lokal Desa</v>
          </cell>
        </row>
        <row r="130">
          <cell r="B130" t="str">
            <v>3.1.06</v>
          </cell>
          <cell r="C130" t="str">
            <v>Bantuan Hukum Untuk Aparatur Desa dan Masyarakat Miskin</v>
          </cell>
        </row>
        <row r="131">
          <cell r="B131" t="str">
            <v>3.1.07</v>
          </cell>
          <cell r="C131" t="str">
            <v>Pelatihan/Penyuluhan/Sosialisasi kepada Masy. di Bid. Hukum &amp;  Pelindungan Masy.</v>
          </cell>
        </row>
        <row r="132">
          <cell r="B132" t="str">
            <v>3.2</v>
          </cell>
          <cell r="C132" t="str">
            <v>Sub Bidang Kebudayaan dan Keagamaan</v>
          </cell>
        </row>
        <row r="133">
          <cell r="B133" t="str">
            <v>3.2.01</v>
          </cell>
          <cell r="C133" t="str">
            <v>Pembinaan Group Kesenian dan Kebudayaan Tingkat Desa</v>
          </cell>
        </row>
        <row r="134">
          <cell r="B134" t="str">
            <v>3.2.02</v>
          </cell>
          <cell r="C134" t="str">
            <v>Pengiriman Kontingen Group Kesenian &amp; Kebudayaan (Wakil Desa tkt. Kec/Kab/Kot)</v>
          </cell>
        </row>
        <row r="135">
          <cell r="B135" t="str">
            <v>3.2.03</v>
          </cell>
          <cell r="C135" t="str">
            <v>Penyelenggaran Festival Kesenian, Adat/Kebudayaan, dan Kegamaan (HUT RI, Raya Keagamaan dll)</v>
          </cell>
        </row>
        <row r="136">
          <cell r="B136" t="str">
            <v>3.2.04</v>
          </cell>
          <cell r="C136" t="str">
            <v>Pemeliharaan Sarana Prasarana Kebudayaan, Rumah Adat dan Kegamaan Milik Desa</v>
          </cell>
        </row>
        <row r="137">
          <cell r="B137" t="str">
            <v>3.2.05</v>
          </cell>
          <cell r="C137" t="str">
            <v>Pembangunan/Rehabilitasi Sarana Prasarana Kebudayaan/Rumah Adat/Kegamaan Milik Desa **)</v>
          </cell>
        </row>
        <row r="138">
          <cell r="B138" t="str">
            <v>3.3</v>
          </cell>
          <cell r="C138" t="str">
            <v>Sub Bidang Kepemudaan dan Olahraga</v>
          </cell>
        </row>
        <row r="139">
          <cell r="B139" t="str">
            <v>3.3.01</v>
          </cell>
          <cell r="C139" t="str">
            <v>Pengiriman Kontingen Kepemudaan &amp; Olahraga Sebagai Wakil Desa tkt Kec/Kab/Kota</v>
          </cell>
        </row>
        <row r="140">
          <cell r="B140" t="str">
            <v>3.3.02</v>
          </cell>
          <cell r="C140" t="str">
            <v>Penyelenggaraan Pelatihan Kepemudaan Tingkat Desa</v>
          </cell>
        </row>
        <row r="141">
          <cell r="B141" t="str">
            <v>3.3.03</v>
          </cell>
          <cell r="C141" t="str">
            <v>Penyelenggaraan Festival/Lomba Kepemudaan dan Olaraga Tingkat Desa</v>
          </cell>
        </row>
        <row r="142">
          <cell r="B142" t="str">
            <v>3.3.04</v>
          </cell>
          <cell r="C142" t="str">
            <v>Pemeliharaan Sarana dan Prasarana Kepemudaan dan Olahraga Milik Desa</v>
          </cell>
        </row>
        <row r="143">
          <cell r="B143" t="str">
            <v>3.3.05</v>
          </cell>
          <cell r="C143" t="str">
            <v>Pembangunan/Rehabilitasi/Peningkatan Sarana dan Prasarana Kepemudaan &amp; Olahraga Milik Desa</v>
          </cell>
        </row>
        <row r="144">
          <cell r="B144" t="str">
            <v>3.3.06</v>
          </cell>
          <cell r="C144" t="str">
            <v>Pembinaan Karangtaruna/Klub Kepemudaan/Olahraga Tingkat Desa</v>
          </cell>
        </row>
        <row r="145">
          <cell r="B145" t="str">
            <v>3.4</v>
          </cell>
          <cell r="C145" t="str">
            <v>Sub Bidang Kelembagaan Masyarakat</v>
          </cell>
        </row>
        <row r="146">
          <cell r="B146" t="str">
            <v>3.4.01</v>
          </cell>
          <cell r="C146" t="str">
            <v>Pembinaan Lembaga Adat</v>
          </cell>
        </row>
        <row r="147">
          <cell r="B147" t="str">
            <v>3.4.02</v>
          </cell>
          <cell r="C147" t="str">
            <v>Pembinaan LKMD/LPM/LPMD</v>
          </cell>
        </row>
        <row r="148">
          <cell r="B148" t="str">
            <v>3.4.03</v>
          </cell>
          <cell r="C148" t="str">
            <v>Pembinaan PKK</v>
          </cell>
        </row>
        <row r="149">
          <cell r="B149" t="str">
            <v>3.4.04</v>
          </cell>
          <cell r="C149" t="str">
            <v>Pelatihan Pembinaan Lembaga Kemasyarakatan</v>
          </cell>
        </row>
        <row r="150">
          <cell r="B150">
            <v>4</v>
          </cell>
          <cell r="C150" t="str">
            <v>BIDANG PEMBERDAYAAN MASYARAKAT</v>
          </cell>
        </row>
        <row r="151">
          <cell r="B151" t="str">
            <v>4.1</v>
          </cell>
          <cell r="C151" t="str">
            <v>Sub Bidang Kelautan dan Perikanan</v>
          </cell>
        </row>
        <row r="152">
          <cell r="B152" t="str">
            <v>4.1.01</v>
          </cell>
          <cell r="C152" t="str">
            <v>Pemeliharaan Karamba/Kolam Perikanan Darat Milik Desa</v>
          </cell>
        </row>
        <row r="153">
          <cell r="B153" t="str">
            <v>4.1.02</v>
          </cell>
          <cell r="C153" t="str">
            <v>Pemeliharaan Pelabuhan Perikanan Sungai/Kecil Milik Desa</v>
          </cell>
        </row>
        <row r="154">
          <cell r="B154" t="str">
            <v>4.1.03</v>
          </cell>
          <cell r="C154" t="str">
            <v>Pembangunan/Rehabilitasi/Peningkatan Karamba/Kolam Perikanan Darat Milik Desa</v>
          </cell>
        </row>
        <row r="155">
          <cell r="B155" t="str">
            <v>4.1.04</v>
          </cell>
          <cell r="C155" t="str">
            <v>Pembangunan/Rehabilitasi/Peningkatan Pelabuhan Perikanan Sungai/Kecil Milik Desa</v>
          </cell>
        </row>
        <row r="156">
          <cell r="B156" t="str">
            <v>4.1.05</v>
          </cell>
          <cell r="C156" t="str">
            <v>Bantuan Perikanan (Bibit/Pakan/dll)</v>
          </cell>
        </row>
        <row r="157">
          <cell r="B157" t="str">
            <v>4.1.06</v>
          </cell>
          <cell r="C157" t="str">
            <v>Bimtek/Pelatihan/Pengenalan TTG untuk Perikanan Darat/Nelayan **)</v>
          </cell>
        </row>
        <row r="158">
          <cell r="B158" t="str">
            <v>4.2</v>
          </cell>
          <cell r="C158" t="str">
            <v>Sub Bidang Pertanian dan Peternakan</v>
          </cell>
        </row>
        <row r="159">
          <cell r="B159" t="str">
            <v>4.2.01</v>
          </cell>
          <cell r="C159" t="str">
            <v>Peningkatan Produksi Tanaman Pangan (alat produksi/pengelolaan/penggilingan)</v>
          </cell>
        </row>
        <row r="160">
          <cell r="B160" t="str">
            <v>4.2.02</v>
          </cell>
          <cell r="C160" t="str">
            <v>Peningkatan Produksi Peternakan  (alat produksi/pengelolaan/kandang)</v>
          </cell>
        </row>
        <row r="161">
          <cell r="B161" t="str">
            <v>4.2.03</v>
          </cell>
          <cell r="C161" t="str">
            <v>Penguatan Ketahanan Pangan Tingkat Desa (Lumbung Desa dll)</v>
          </cell>
        </row>
        <row r="162">
          <cell r="B162" t="str">
            <v>4.2.04</v>
          </cell>
          <cell r="C162" t="str">
            <v>Pemeliharaan Saluran Irigasi Tersier/Sederhana</v>
          </cell>
        </row>
        <row r="163">
          <cell r="B163" t="str">
            <v>4.2.05</v>
          </cell>
          <cell r="C163" t="str">
            <v>Pelatihan/Bimtek/Pengenalan Tekonologi Tepat Guna untuk Pertanian/Peternakan</v>
          </cell>
        </row>
        <row r="164">
          <cell r="B164" t="str">
            <v>4.2.06</v>
          </cell>
          <cell r="C164" t="str">
            <v>Pembangunan Saluran Irigasi Tersier/Sederhana</v>
          </cell>
        </row>
        <row r="165">
          <cell r="B165" t="str">
            <v>4.3</v>
          </cell>
          <cell r="C165" t="str">
            <v>Sub Bidang Peningkatan Kapasitas Aparatur Desa</v>
          </cell>
        </row>
        <row r="166">
          <cell r="B166" t="str">
            <v>4.3.01</v>
          </cell>
          <cell r="C166" t="str">
            <v>Peningkatan Kapasitas Kepala Desa</v>
          </cell>
        </row>
        <row r="167">
          <cell r="B167" t="str">
            <v>4.3.02</v>
          </cell>
          <cell r="C167" t="str">
            <v>Peningkatan Kapatitas Perangkat Desa</v>
          </cell>
        </row>
        <row r="168">
          <cell r="B168" t="str">
            <v>4.3.03</v>
          </cell>
          <cell r="C168" t="str">
            <v>Peningkatan Kapasitas BPD</v>
          </cell>
        </row>
        <row r="169">
          <cell r="B169" t="str">
            <v>4.4</v>
          </cell>
          <cell r="C169" t="str">
            <v>Sub Bidang Pemberdayaan Perempuan, Perlindungan Anak dan Keluarga</v>
          </cell>
        </row>
        <row r="170">
          <cell r="B170" t="str">
            <v>4.4.01</v>
          </cell>
          <cell r="C170" t="str">
            <v>Pelatihan dan Penyuluhan Pemberdayaan Perempuan</v>
          </cell>
        </row>
        <row r="171">
          <cell r="B171" t="str">
            <v>4.4.02</v>
          </cell>
          <cell r="C171" t="str">
            <v>Pelatihan dan Penyuluhan Perlindungan Anak</v>
          </cell>
        </row>
        <row r="172">
          <cell r="B172" t="str">
            <v>4.4.03</v>
          </cell>
          <cell r="C172" t="str">
            <v>Pelatihan dan Penguatan Penyandang Difable (Penyandang Disabilitas)</v>
          </cell>
        </row>
        <row r="173">
          <cell r="B173" t="str">
            <v>4.5</v>
          </cell>
          <cell r="C173" t="str">
            <v>Sub Bidang Koperasi, Usaha Micro Kecil dan Menengah (UMKM)</v>
          </cell>
        </row>
        <row r="174">
          <cell r="B174" t="str">
            <v>4.5.01</v>
          </cell>
          <cell r="C174" t="str">
            <v>Pelatihan Manajemen Koperasi/KUD/UMKM</v>
          </cell>
        </row>
        <row r="175">
          <cell r="B175" t="str">
            <v>4.5.02</v>
          </cell>
          <cell r="C175" t="str">
            <v>Pengembangan Sarana Prasarana Usaha Mikro, Kecil, Menengah dan Koperasi</v>
          </cell>
        </row>
        <row r="176">
          <cell r="B176" t="str">
            <v>4.5.03</v>
          </cell>
          <cell r="C176" t="str">
            <v>Pengadaan Teknologi Tepat Guna Untuk Pengembangan Ekonomi Pedesaan Non Pertanian</v>
          </cell>
        </row>
        <row r="177">
          <cell r="B177" t="str">
            <v>4.6</v>
          </cell>
          <cell r="C177" t="str">
            <v>Sub Bidang Dukungan Penanaman Modal</v>
          </cell>
        </row>
        <row r="178">
          <cell r="B178" t="str">
            <v>4.6.01</v>
          </cell>
          <cell r="C178" t="str">
            <v>Pembentukan BUM Desa (Persiapan dan Pembentukan Awal BUMDesa)</v>
          </cell>
        </row>
        <row r="179">
          <cell r="B179" t="str">
            <v>4.6.02</v>
          </cell>
          <cell r="C179" t="str">
            <v>Pelatihan Pengelolaan BUM Desa (Pelatihan yg dilaksanakan oleh Pemdes)</v>
          </cell>
        </row>
        <row r="180">
          <cell r="B180" t="str">
            <v>4.7</v>
          </cell>
          <cell r="C180" t="str">
            <v>Sub Bidang Perdagangan dan Perindustrian</v>
          </cell>
        </row>
        <row r="181">
          <cell r="B181" t="str">
            <v>4.7.01</v>
          </cell>
          <cell r="C181" t="str">
            <v>Pemeliharaan Pasar Desa/Kios Milik Desa</v>
          </cell>
        </row>
        <row r="182">
          <cell r="B182" t="str">
            <v>4.7.02</v>
          </cell>
          <cell r="C182" t="str">
            <v>Pembangunan/Rehab Pasar Desa/Kios Milik Desa</v>
          </cell>
        </row>
        <row r="183">
          <cell r="B183" t="str">
            <v>4.7.03</v>
          </cell>
          <cell r="C183" t="str">
            <v>Pengembangan Industri Kecil Tingkat Desa</v>
          </cell>
        </row>
        <row r="184">
          <cell r="B184" t="str">
            <v>4.7.04</v>
          </cell>
          <cell r="C184" t="str">
            <v>Pembentukan/Fasilitasi/Pelatihan/Pendampingan kelompok usaha ekonomi produktif</v>
          </cell>
        </row>
        <row r="185">
          <cell r="B185">
            <v>5</v>
          </cell>
          <cell r="C185" t="str">
            <v>BIDANG PENANGGULANGAN BENCANA, DARURAT DAN MENDESAK DESA</v>
          </cell>
        </row>
        <row r="186">
          <cell r="B186" t="str">
            <v>5.1</v>
          </cell>
          <cell r="C186" t="str">
            <v>Sub Bidang Penanggulangan Bencana</v>
          </cell>
        </row>
        <row r="187">
          <cell r="B187" t="str">
            <v>5.1.01</v>
          </cell>
          <cell r="C187" t="str">
            <v>Kegiatan Penanggulanan Bencana</v>
          </cell>
        </row>
        <row r="188">
          <cell r="B188" t="str">
            <v>5.2</v>
          </cell>
          <cell r="C188" t="str">
            <v>Sub Bidang Keadaan Darurat</v>
          </cell>
        </row>
        <row r="189">
          <cell r="B189" t="str">
            <v>5.2.00</v>
          </cell>
          <cell r="C189" t="str">
            <v>Penanganan Keadaan Darurat</v>
          </cell>
        </row>
        <row r="190">
          <cell r="B190" t="str">
            <v>5.3</v>
          </cell>
          <cell r="C190" t="str">
            <v>Sub Bidang Keadaan Mendesak</v>
          </cell>
        </row>
        <row r="191">
          <cell r="B191" t="str">
            <v>5.3.00</v>
          </cell>
          <cell r="C191" t="str">
            <v>Penanganan Keadaan Mendesak</v>
          </cell>
        </row>
      </sheetData>
      <sheetData sheetId="41">
        <row r="179">
          <cell r="B179">
            <v>4</v>
          </cell>
        </row>
      </sheetData>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256A-5368-47C1-873E-796655E2899D}">
  <sheetPr>
    <tabColor rgb="FFFFC000"/>
  </sheetPr>
  <dimension ref="A2:S125"/>
  <sheetViews>
    <sheetView showGridLines="0" tabSelected="1" zoomScaleNormal="100" zoomScaleSheetLayoutView="100" workbookViewId="0">
      <selection activeCell="G1" sqref="G1"/>
    </sheetView>
  </sheetViews>
  <sheetFormatPr defaultRowHeight="15" x14ac:dyDescent="0.25"/>
  <cols>
    <col min="1" max="1" width="5.140625" style="1" customWidth="1"/>
    <col min="2" max="2" width="7.5703125" style="1" customWidth="1"/>
    <col min="3" max="3" width="5" customWidth="1"/>
    <col min="4" max="4" width="17.140625" customWidth="1"/>
    <col min="5" max="5" width="4.42578125" customWidth="1"/>
    <col min="6" max="6" width="3" style="3" customWidth="1"/>
    <col min="7" max="7" width="31.140625" customWidth="1"/>
    <col min="8" max="8" width="10.42578125" style="1" customWidth="1"/>
    <col min="9" max="9" width="9.85546875" style="1" customWidth="1"/>
    <col min="10" max="10" width="13.7109375" customWidth="1"/>
    <col min="11" max="11" width="11" customWidth="1"/>
    <col min="12" max="12" width="14.85546875" style="4" customWidth="1"/>
    <col min="13" max="13" width="7.7109375" style="1" customWidth="1"/>
    <col min="14" max="14" width="6.42578125" style="1" customWidth="1"/>
    <col min="15" max="15" width="5.5703125" style="1" customWidth="1"/>
    <col min="16" max="16" width="9.140625" style="1" customWidth="1"/>
    <col min="17" max="17" width="15.42578125" style="1" customWidth="1"/>
    <col min="18" max="18" width="19.85546875" style="2" customWidth="1"/>
    <col min="19" max="19" width="15" customWidth="1"/>
  </cols>
  <sheetData>
    <row r="2" spans="1:19" ht="23.25" customHeight="1" x14ac:dyDescent="0.3">
      <c r="C2" s="230" t="s">
        <v>0</v>
      </c>
      <c r="D2" s="231"/>
      <c r="E2" s="231"/>
      <c r="F2" s="231"/>
      <c r="G2" s="231"/>
      <c r="H2" s="231"/>
      <c r="I2" s="231"/>
      <c r="J2" s="231"/>
      <c r="K2" s="231"/>
      <c r="L2" s="231"/>
      <c r="M2" s="231"/>
      <c r="N2" s="231"/>
      <c r="O2" s="231"/>
      <c r="P2" s="231"/>
      <c r="Q2" s="232"/>
    </row>
    <row r="3" spans="1:19" ht="23.25" customHeight="1" x14ac:dyDescent="0.25">
      <c r="C3" s="233" t="s">
        <v>1</v>
      </c>
      <c r="D3" s="234"/>
      <c r="E3" s="234"/>
      <c r="F3" s="234"/>
      <c r="G3" s="234"/>
      <c r="H3" s="234"/>
      <c r="I3" s="234"/>
      <c r="J3" s="234"/>
      <c r="K3" s="234"/>
      <c r="L3" s="234"/>
      <c r="M3" s="234"/>
      <c r="N3" s="234"/>
      <c r="O3" s="234"/>
      <c r="P3" s="234"/>
      <c r="Q3" s="235"/>
    </row>
    <row r="4" spans="1:19" ht="5.25" customHeight="1" x14ac:dyDescent="0.25"/>
    <row r="5" spans="1:19" x14ac:dyDescent="0.25">
      <c r="C5" s="236" t="s">
        <v>2</v>
      </c>
      <c r="D5" s="237"/>
      <c r="E5" s="237"/>
      <c r="F5" s="5"/>
      <c r="G5" s="6" t="s">
        <v>3</v>
      </c>
      <c r="H5" s="7"/>
      <c r="I5" s="7"/>
      <c r="J5" s="8"/>
      <c r="K5" s="8"/>
      <c r="L5" s="9"/>
      <c r="M5" s="7"/>
      <c r="N5" s="7"/>
      <c r="O5" s="7"/>
      <c r="P5" s="7"/>
      <c r="Q5" s="10"/>
    </row>
    <row r="6" spans="1:19" x14ac:dyDescent="0.25">
      <c r="C6" s="238" t="s">
        <v>4</v>
      </c>
      <c r="D6" s="239"/>
      <c r="E6" s="239"/>
      <c r="F6" s="11"/>
      <c r="G6" s="12" t="s">
        <v>5</v>
      </c>
      <c r="H6" s="13"/>
      <c r="I6" s="13"/>
      <c r="J6" s="14"/>
      <c r="K6" s="14"/>
      <c r="L6" s="15"/>
      <c r="M6" s="13"/>
      <c r="N6" s="13"/>
      <c r="O6" s="13"/>
      <c r="P6" s="13"/>
      <c r="Q6" s="16"/>
    </row>
    <row r="7" spans="1:19" x14ac:dyDescent="0.25">
      <c r="C7" s="238" t="s">
        <v>6</v>
      </c>
      <c r="D7" s="239"/>
      <c r="E7" s="239"/>
      <c r="F7" s="11"/>
      <c r="G7" s="12" t="s">
        <v>7</v>
      </c>
      <c r="H7" s="13"/>
      <c r="I7" s="13"/>
      <c r="J7" s="14"/>
      <c r="K7" s="14"/>
      <c r="L7" s="15"/>
      <c r="M7" s="13"/>
      <c r="N7" s="13"/>
      <c r="O7" s="13"/>
      <c r="P7" s="13"/>
      <c r="Q7" s="16"/>
    </row>
    <row r="8" spans="1:19" x14ac:dyDescent="0.25">
      <c r="C8" s="240" t="s">
        <v>8</v>
      </c>
      <c r="D8" s="241"/>
      <c r="E8" s="241"/>
      <c r="F8" s="17"/>
      <c r="G8" s="18" t="s">
        <v>9</v>
      </c>
      <c r="H8" s="19"/>
      <c r="I8" s="19"/>
      <c r="J8" s="20"/>
      <c r="K8" s="20"/>
      <c r="L8" s="21"/>
      <c r="M8" s="19"/>
      <c r="N8" s="19"/>
      <c r="O8" s="19"/>
      <c r="P8" s="19"/>
      <c r="Q8" s="22"/>
    </row>
    <row r="9" spans="1:19" ht="5.25" customHeight="1" x14ac:dyDescent="0.25"/>
    <row r="10" spans="1:19" s="23" customFormat="1" ht="30.75" customHeight="1" x14ac:dyDescent="0.25">
      <c r="C10" s="224" t="s">
        <v>10</v>
      </c>
      <c r="D10" s="224" t="s">
        <v>11</v>
      </c>
      <c r="E10" s="224"/>
      <c r="F10" s="224"/>
      <c r="G10" s="224"/>
      <c r="H10" s="221" t="s">
        <v>12</v>
      </c>
      <c r="I10" s="221" t="s">
        <v>13</v>
      </c>
      <c r="J10" s="228" t="s">
        <v>14</v>
      </c>
      <c r="K10" s="221" t="s">
        <v>15</v>
      </c>
      <c r="L10" s="221" t="s">
        <v>16</v>
      </c>
      <c r="M10" s="221"/>
      <c r="N10" s="221" t="s">
        <v>17</v>
      </c>
      <c r="O10" s="221"/>
      <c r="P10" s="221"/>
      <c r="Q10" s="222" t="s">
        <v>18</v>
      </c>
      <c r="R10" s="26"/>
    </row>
    <row r="11" spans="1:19" s="23" customFormat="1" ht="38.25" customHeight="1" x14ac:dyDescent="0.25">
      <c r="C11" s="224"/>
      <c r="D11" s="24" t="s">
        <v>19</v>
      </c>
      <c r="E11" s="224" t="s">
        <v>20</v>
      </c>
      <c r="F11" s="224"/>
      <c r="G11" s="224"/>
      <c r="H11" s="221"/>
      <c r="I11" s="221"/>
      <c r="J11" s="229"/>
      <c r="K11" s="221"/>
      <c r="L11" s="27" t="s">
        <v>21</v>
      </c>
      <c r="M11" s="25" t="s">
        <v>22</v>
      </c>
      <c r="N11" s="25" t="s">
        <v>23</v>
      </c>
      <c r="O11" s="28" t="s">
        <v>24</v>
      </c>
      <c r="P11" s="25" t="s">
        <v>25</v>
      </c>
      <c r="Q11" s="223"/>
      <c r="R11" s="26"/>
    </row>
    <row r="12" spans="1:19" s="29" customFormat="1" ht="12" x14ac:dyDescent="0.25">
      <c r="C12" s="30">
        <v>1</v>
      </c>
      <c r="D12" s="30">
        <v>2</v>
      </c>
      <c r="E12" s="225">
        <v>3</v>
      </c>
      <c r="F12" s="226"/>
      <c r="G12" s="227"/>
      <c r="H12" s="30">
        <v>4</v>
      </c>
      <c r="I12" s="30">
        <v>5</v>
      </c>
      <c r="J12" s="32">
        <v>6</v>
      </c>
      <c r="K12" s="31">
        <v>7</v>
      </c>
      <c r="L12" s="33">
        <v>8</v>
      </c>
      <c r="M12" s="30">
        <v>9</v>
      </c>
      <c r="N12" s="30">
        <v>10</v>
      </c>
      <c r="O12" s="30">
        <v>11</v>
      </c>
      <c r="P12" s="30">
        <v>12</v>
      </c>
      <c r="Q12" s="34">
        <v>13</v>
      </c>
      <c r="R12" s="35"/>
    </row>
    <row r="13" spans="1:19" s="47" customFormat="1" x14ac:dyDescent="0.25">
      <c r="A13" s="36"/>
      <c r="B13" s="36"/>
      <c r="C13" s="37">
        <v>1</v>
      </c>
      <c r="D13" s="38" t="s">
        <v>26</v>
      </c>
      <c r="E13" s="39"/>
      <c r="F13" s="40"/>
      <c r="G13" s="39"/>
      <c r="H13" s="41"/>
      <c r="I13" s="41"/>
      <c r="J13" s="41"/>
      <c r="K13" s="41"/>
      <c r="L13" s="42">
        <f>L51</f>
        <v>374440312</v>
      </c>
      <c r="M13" s="43"/>
      <c r="N13" s="41"/>
      <c r="O13" s="41"/>
      <c r="P13" s="44"/>
      <c r="Q13" s="45"/>
      <c r="R13" s="46"/>
    </row>
    <row r="14" spans="1:19" s="58" customFormat="1" ht="44.25" customHeight="1" x14ac:dyDescent="0.25">
      <c r="A14" s="48" t="s">
        <v>27</v>
      </c>
      <c r="B14" s="48" t="str">
        <f>'[236]Siltap Kades'!D8</f>
        <v>1.1.01</v>
      </c>
      <c r="C14" s="49"/>
      <c r="D14" s="212" t="str">
        <f>IFERROR(VLOOKUP(A14,'[236]Parameter Keg'!$B$3:$C$191,2),"")</f>
        <v>Penyelenggaran Belanja Siltap, Tunjangan dan Operasional Pemerintahan Desa</v>
      </c>
      <c r="E14" s="51" t="s">
        <v>28</v>
      </c>
      <c r="F14" s="215" t="str">
        <f>IFERROR(VLOOKUP(B14,'[236]Parameter Keg '!$B$3:$C$191,2),"")</f>
        <v>Penyediaan Penghasilan Tetap dan Tunjangan Kepala Desa</v>
      </c>
      <c r="G14" s="211"/>
      <c r="H14" s="49"/>
      <c r="I14" s="49"/>
      <c r="J14" s="52"/>
      <c r="K14" s="53"/>
      <c r="L14" s="54"/>
      <c r="M14" s="49"/>
      <c r="N14" s="49"/>
      <c r="O14" s="49"/>
      <c r="P14" s="55"/>
      <c r="Q14" s="56"/>
      <c r="R14" s="57"/>
    </row>
    <row r="15" spans="1:19" s="58" customFormat="1" ht="17.25" customHeight="1" x14ac:dyDescent="0.25">
      <c r="A15" s="59"/>
      <c r="B15" s="48"/>
      <c r="C15" s="60"/>
      <c r="D15" s="207"/>
      <c r="E15" s="62"/>
      <c r="F15" s="63" t="s">
        <v>29</v>
      </c>
      <c r="G15" s="64" t="str">
        <f>'[236]Siltap Perangkat Desa'!D16</f>
        <v>Penghasilan Tetap Perangkat Desa</v>
      </c>
      <c r="H15" s="60" t="s">
        <v>30</v>
      </c>
      <c r="I15" s="60" t="s">
        <v>31</v>
      </c>
      <c r="J15" s="65" t="s">
        <v>32</v>
      </c>
      <c r="K15" s="66" t="s">
        <v>33</v>
      </c>
      <c r="L15" s="67">
        <f>'[236]Siltap Kades'!K16</f>
        <v>28769880</v>
      </c>
      <c r="M15" s="60" t="s">
        <v>34</v>
      </c>
      <c r="N15" s="68" t="s">
        <v>35</v>
      </c>
      <c r="O15" s="60"/>
      <c r="P15" s="69"/>
      <c r="Q15" s="70" t="s">
        <v>36</v>
      </c>
      <c r="R15" s="57"/>
      <c r="S15" s="71">
        <f>SUM(L15:L16)</f>
        <v>40769880</v>
      </c>
    </row>
    <row r="16" spans="1:19" s="58" customFormat="1" ht="17.25" customHeight="1" x14ac:dyDescent="0.25">
      <c r="A16" s="59"/>
      <c r="B16" s="48"/>
      <c r="C16" s="60"/>
      <c r="D16" s="207"/>
      <c r="E16" s="72"/>
      <c r="F16" s="73" t="s">
        <v>37</v>
      </c>
      <c r="G16" s="74" t="str">
        <f>'[236]Siltap Kades'!D21</f>
        <v>Tunjangan kepala desa</v>
      </c>
      <c r="H16" s="75" t="s">
        <v>30</v>
      </c>
      <c r="I16" s="75" t="s">
        <v>31</v>
      </c>
      <c r="J16" s="76" t="s">
        <v>32</v>
      </c>
      <c r="K16" s="77" t="s">
        <v>33</v>
      </c>
      <c r="L16" s="78">
        <f>'[236]Siltap Kades'!K21</f>
        <v>12000000</v>
      </c>
      <c r="M16" s="75" t="s">
        <v>34</v>
      </c>
      <c r="N16" s="79" t="s">
        <v>35</v>
      </c>
      <c r="O16" s="75"/>
      <c r="P16" s="80"/>
      <c r="Q16" s="81" t="s">
        <v>36</v>
      </c>
      <c r="R16" s="57"/>
      <c r="S16" s="71">
        <f t="shared" ref="S16:S81" si="0">L16-R16</f>
        <v>12000000</v>
      </c>
    </row>
    <row r="17" spans="1:19" s="58" customFormat="1" ht="31.5" customHeight="1" x14ac:dyDescent="0.25">
      <c r="A17" s="59"/>
      <c r="B17" s="59" t="str">
        <f>'[236]Siltap Perangkat Desa'!D8</f>
        <v>1.1.02</v>
      </c>
      <c r="C17" s="60"/>
      <c r="D17" s="207"/>
      <c r="E17" s="82" t="s">
        <v>38</v>
      </c>
      <c r="F17" s="215" t="str">
        <f>IFERROR(VLOOKUP(B17,'[236]Parameter Keg '!$B$3:$C$191,2),"")</f>
        <v>Penyediaan Penghasilan Tetap dan Tunjangan Perangkat Desa</v>
      </c>
      <c r="G17" s="211"/>
      <c r="H17" s="60"/>
      <c r="I17" s="60"/>
      <c r="J17" s="83"/>
      <c r="K17" s="66"/>
      <c r="L17" s="67"/>
      <c r="M17" s="60"/>
      <c r="N17" s="60"/>
      <c r="O17" s="60"/>
      <c r="P17" s="84"/>
      <c r="Q17" s="70"/>
      <c r="R17" s="57"/>
      <c r="S17" s="71">
        <f t="shared" si="0"/>
        <v>0</v>
      </c>
    </row>
    <row r="18" spans="1:19" s="58" customFormat="1" ht="30" x14ac:dyDescent="0.25">
      <c r="A18" s="59"/>
      <c r="B18" s="59"/>
      <c r="C18" s="60"/>
      <c r="D18" s="85" t="str">
        <f>IFERROR(VLOOKUP(A18,'[236]Parameter Keg '!$B$3:$C$191,2),"")</f>
        <v/>
      </c>
      <c r="E18" s="62"/>
      <c r="F18" s="63" t="s">
        <v>29</v>
      </c>
      <c r="G18" s="64" t="str">
        <f>'[236]Siltap Perangkat Desa'!D16</f>
        <v>Penghasilan Tetap Perangkat Desa</v>
      </c>
      <c r="H18" s="60" t="s">
        <v>30</v>
      </c>
      <c r="I18" s="60" t="s">
        <v>39</v>
      </c>
      <c r="J18" s="83" t="s">
        <v>40</v>
      </c>
      <c r="K18" s="66" t="s">
        <v>33</v>
      </c>
      <c r="L18" s="67">
        <f>'[236]Siltap Perangkat Desa'!K16</f>
        <v>155248440</v>
      </c>
      <c r="M18" s="60" t="s">
        <v>34</v>
      </c>
      <c r="N18" s="68" t="s">
        <v>35</v>
      </c>
      <c r="O18" s="60"/>
      <c r="P18" s="84"/>
      <c r="Q18" s="70" t="s">
        <v>36</v>
      </c>
      <c r="R18" s="57"/>
      <c r="S18" s="71">
        <f>SUM(L18:L19)</f>
        <v>163648440</v>
      </c>
    </row>
    <row r="19" spans="1:19" s="58" customFormat="1" ht="30" x14ac:dyDescent="0.25">
      <c r="A19" s="59"/>
      <c r="B19" s="59"/>
      <c r="C19" s="60"/>
      <c r="D19" s="85" t="str">
        <f>IFERROR(VLOOKUP(A19,'[236]Parameter Keg '!$B$3:$C$191,2),"")</f>
        <v/>
      </c>
      <c r="E19" s="72"/>
      <c r="F19" s="73" t="s">
        <v>37</v>
      </c>
      <c r="G19" s="74" t="str">
        <f>'[236]Siltap Perangkat Desa'!D23</f>
        <v>Tunjangan perangkat desa</v>
      </c>
      <c r="H19" s="75" t="s">
        <v>30</v>
      </c>
      <c r="I19" s="75" t="s">
        <v>39</v>
      </c>
      <c r="J19" s="86" t="s">
        <v>40</v>
      </c>
      <c r="K19" s="77" t="s">
        <v>33</v>
      </c>
      <c r="L19" s="78">
        <f>'[236]Siltap Perangkat Desa'!K23</f>
        <v>8400000</v>
      </c>
      <c r="M19" s="75" t="s">
        <v>34</v>
      </c>
      <c r="N19" s="79" t="s">
        <v>35</v>
      </c>
      <c r="O19" s="75"/>
      <c r="P19" s="87"/>
      <c r="Q19" s="81" t="s">
        <v>36</v>
      </c>
      <c r="R19" s="57"/>
      <c r="S19" s="71">
        <f t="shared" si="0"/>
        <v>8400000</v>
      </c>
    </row>
    <row r="20" spans="1:19" s="58" customFormat="1" ht="30" customHeight="1" x14ac:dyDescent="0.25">
      <c r="A20" s="59"/>
      <c r="B20" s="59" t="str">
        <f>[236]BPJS.!D8</f>
        <v>1.1.03</v>
      </c>
      <c r="C20" s="60"/>
      <c r="D20" s="85" t="str">
        <f>IFERROR(VLOOKUP(A20,'[236]Parameter Keg '!$B$3:$C$191,2),"")</f>
        <v/>
      </c>
      <c r="E20" s="82" t="s">
        <v>41</v>
      </c>
      <c r="F20" s="215" t="str">
        <f>IFERROR(VLOOKUP(B20,'[236]Parameter Keg '!$B$3:$C$191,2),"")</f>
        <v>Penyediaan Jaminan Sosial bagi Kepala Desa dan Perangkat Desa</v>
      </c>
      <c r="G20" s="211"/>
      <c r="H20" s="60"/>
      <c r="I20" s="60"/>
      <c r="J20" s="83"/>
      <c r="K20" s="66"/>
      <c r="L20" s="67"/>
      <c r="M20" s="60"/>
      <c r="N20" s="60"/>
      <c r="O20" s="60"/>
      <c r="P20" s="84"/>
      <c r="Q20" s="70"/>
      <c r="R20" s="57"/>
      <c r="S20" s="71">
        <f t="shared" si="0"/>
        <v>0</v>
      </c>
    </row>
    <row r="21" spans="1:19" s="58" customFormat="1" x14ac:dyDescent="0.25">
      <c r="A21" s="59"/>
      <c r="B21" s="59"/>
      <c r="C21" s="60"/>
      <c r="D21" s="85" t="str">
        <f>IFERROR(VLOOKUP(A21,'[236]Parameter Keg '!$B$3:$C$191,2),"")</f>
        <v/>
      </c>
      <c r="E21" s="85"/>
      <c r="F21" s="63" t="s">
        <v>29</v>
      </c>
      <c r="G21" s="88" t="str">
        <f>[236]BPJS.!D16</f>
        <v xml:space="preserve">Jaminan sosial kepala desa  </v>
      </c>
      <c r="H21" s="60" t="s">
        <v>30</v>
      </c>
      <c r="I21" s="60" t="s">
        <v>31</v>
      </c>
      <c r="J21" s="83" t="s">
        <v>32</v>
      </c>
      <c r="K21" s="66" t="s">
        <v>33</v>
      </c>
      <c r="L21" s="89">
        <f>[236]BPJS.!K16</f>
        <v>349800</v>
      </c>
      <c r="M21" s="60" t="s">
        <v>34</v>
      </c>
      <c r="N21" s="68" t="s">
        <v>35</v>
      </c>
      <c r="O21" s="60"/>
      <c r="P21" s="69"/>
      <c r="Q21" s="70" t="s">
        <v>36</v>
      </c>
      <c r="R21" s="57"/>
      <c r="S21" s="71">
        <f>SUM(L21:L22)</f>
        <v>2798400</v>
      </c>
    </row>
    <row r="22" spans="1:19" s="58" customFormat="1" ht="30" x14ac:dyDescent="0.25">
      <c r="A22" s="59"/>
      <c r="B22" s="59"/>
      <c r="C22" s="60"/>
      <c r="D22" s="85" t="str">
        <f>IFERROR(VLOOKUP(A22,'[236]Parameter Keg '!$B$3:$C$191,2),"")</f>
        <v/>
      </c>
      <c r="E22" s="90"/>
      <c r="F22" s="73" t="s">
        <v>37</v>
      </c>
      <c r="G22" s="91" t="str">
        <f>[236]BPJS.!D21</f>
        <v>Jaminan sosial perangkat desa</v>
      </c>
      <c r="H22" s="75" t="s">
        <v>30</v>
      </c>
      <c r="I22" s="75" t="s">
        <v>42</v>
      </c>
      <c r="J22" s="86" t="s">
        <v>40</v>
      </c>
      <c r="K22" s="77" t="s">
        <v>33</v>
      </c>
      <c r="L22" s="92">
        <f>[236]BPJS.!K21</f>
        <v>2448600</v>
      </c>
      <c r="M22" s="75" t="s">
        <v>34</v>
      </c>
      <c r="N22" s="79" t="s">
        <v>35</v>
      </c>
      <c r="O22" s="75"/>
      <c r="P22" s="80"/>
      <c r="Q22" s="81" t="s">
        <v>36</v>
      </c>
      <c r="R22" s="57"/>
      <c r="S22" s="71">
        <f t="shared" si="0"/>
        <v>2448600</v>
      </c>
    </row>
    <row r="23" spans="1:19" s="58" customFormat="1" ht="34.5" customHeight="1" x14ac:dyDescent="0.25">
      <c r="A23" s="59"/>
      <c r="B23" s="48" t="str">
        <f>'[236]Operasional Ktr Desa'!D8</f>
        <v>1.1.04</v>
      </c>
      <c r="C23" s="60"/>
      <c r="D23" s="85"/>
      <c r="E23" s="82" t="s">
        <v>43</v>
      </c>
      <c r="F23" s="215" t="str">
        <f>IFERROR(VLOOKUP(B23,'[236]Parameter Keg '!$B$3:$C$191,2),"")</f>
        <v>Penyediaan Operasional Pemerintah Desa (ATK, Honor PKPKD dan PPKD dll)</v>
      </c>
      <c r="G23" s="211"/>
      <c r="H23" s="60"/>
      <c r="I23" s="60"/>
      <c r="J23" s="83"/>
      <c r="K23" s="66"/>
      <c r="L23" s="89"/>
      <c r="M23" s="60"/>
      <c r="N23" s="60"/>
      <c r="O23" s="60"/>
      <c r="P23" s="70"/>
      <c r="Q23" s="70"/>
      <c r="R23" s="57"/>
      <c r="S23" s="71">
        <f t="shared" si="0"/>
        <v>0</v>
      </c>
    </row>
    <row r="24" spans="1:19" s="58" customFormat="1" ht="15.75" customHeight="1" x14ac:dyDescent="0.25">
      <c r="A24" s="59"/>
      <c r="B24" s="59"/>
      <c r="C24" s="60"/>
      <c r="D24" s="85" t="str">
        <f>IFERROR(VLOOKUP(A24,'[236]Parameter Keg '!$B$3:$C$191,2),"")</f>
        <v/>
      </c>
      <c r="E24" s="85"/>
      <c r="F24" s="63" t="s">
        <v>29</v>
      </c>
      <c r="G24" s="88" t="str">
        <f>[237]O.Kantor!$D$16</f>
        <v>Penyediaan operasional Perkantoran</v>
      </c>
      <c r="H24" s="60" t="s">
        <v>30</v>
      </c>
      <c r="I24" s="60" t="s">
        <v>44</v>
      </c>
      <c r="J24" s="83" t="s">
        <v>45</v>
      </c>
      <c r="K24" s="66" t="s">
        <v>33</v>
      </c>
      <c r="L24" s="89">
        <f>[237]O.Kantor!$J$16</f>
        <v>50627593</v>
      </c>
      <c r="M24" s="60" t="s">
        <v>34</v>
      </c>
      <c r="N24" s="68" t="s">
        <v>35</v>
      </c>
      <c r="O24" s="60"/>
      <c r="P24" s="70"/>
      <c r="Q24" s="70" t="s">
        <v>36</v>
      </c>
      <c r="R24" s="57"/>
      <c r="S24" s="71">
        <f>L24</f>
        <v>50627593</v>
      </c>
    </row>
    <row r="25" spans="1:19" s="58" customFormat="1" ht="15.75" customHeight="1" x14ac:dyDescent="0.25">
      <c r="A25" s="59"/>
      <c r="B25" s="48"/>
      <c r="C25" s="60"/>
      <c r="D25" s="85"/>
      <c r="E25" s="85"/>
      <c r="F25" s="63" t="s">
        <v>37</v>
      </c>
      <c r="G25" s="88" t="str">
        <f>[237]O.Kantor!$D$59</f>
        <v>Pajak dan adm bank</v>
      </c>
      <c r="H25" s="60" t="s">
        <v>30</v>
      </c>
      <c r="I25" s="60" t="s">
        <v>44</v>
      </c>
      <c r="J25" s="83" t="s">
        <v>45</v>
      </c>
      <c r="K25" s="66" t="s">
        <v>33</v>
      </c>
      <c r="L25" s="89">
        <f>[237]O.Kantor!$J$59</f>
        <v>2000000</v>
      </c>
      <c r="M25" s="60" t="s">
        <v>46</v>
      </c>
      <c r="N25" s="68" t="s">
        <v>35</v>
      </c>
      <c r="O25" s="60"/>
      <c r="P25" s="70"/>
      <c r="Q25" s="70" t="s">
        <v>36</v>
      </c>
      <c r="R25" s="57"/>
      <c r="S25" s="71">
        <f>[237]O.Kantor!$J$59</f>
        <v>2000000</v>
      </c>
    </row>
    <row r="26" spans="1:19" s="58" customFormat="1" ht="15.75" customHeight="1" x14ac:dyDescent="0.25">
      <c r="A26" s="59"/>
      <c r="B26" s="59"/>
      <c r="C26" s="60"/>
      <c r="D26" s="85"/>
      <c r="E26" s="90"/>
      <c r="F26" s="73"/>
      <c r="G26" s="91"/>
      <c r="H26" s="75"/>
      <c r="I26" s="75"/>
      <c r="J26" s="86"/>
      <c r="K26" s="77"/>
      <c r="L26" s="92"/>
      <c r="M26" s="75"/>
      <c r="N26" s="79"/>
      <c r="O26" s="75"/>
      <c r="P26" s="81"/>
      <c r="Q26" s="81"/>
      <c r="R26" s="57"/>
      <c r="S26" s="71"/>
    </row>
    <row r="27" spans="1:19" s="58" customFormat="1" ht="15" customHeight="1" x14ac:dyDescent="0.25">
      <c r="A27" s="59"/>
      <c r="B27" s="48" t="str">
        <f>'[236]Tunjangan BPD'!D8</f>
        <v>1.1.05</v>
      </c>
      <c r="C27" s="60"/>
      <c r="D27" s="85"/>
      <c r="E27" s="82" t="s">
        <v>47</v>
      </c>
      <c r="F27" s="93" t="str">
        <f>IFERROR(VLOOKUP(B27,'[236]Parameter Keg '!$B$3:$C$191,2),"")</f>
        <v>Penyediaan Tunjangan BPD</v>
      </c>
      <c r="G27" s="94"/>
      <c r="H27" s="60"/>
      <c r="I27" s="60"/>
      <c r="J27" s="83"/>
      <c r="K27" s="66"/>
      <c r="L27" s="89"/>
      <c r="M27" s="60"/>
      <c r="N27" s="60"/>
      <c r="O27" s="60"/>
      <c r="P27" s="70"/>
      <c r="Q27" s="70"/>
      <c r="R27" s="57"/>
      <c r="S27" s="71">
        <f t="shared" si="0"/>
        <v>0</v>
      </c>
    </row>
    <row r="28" spans="1:19" s="58" customFormat="1" ht="18" customHeight="1" x14ac:dyDescent="0.25">
      <c r="A28" s="59"/>
      <c r="B28" s="59"/>
      <c r="C28" s="75"/>
      <c r="D28" s="90"/>
      <c r="E28" s="90"/>
      <c r="F28" s="73" t="s">
        <v>29</v>
      </c>
      <c r="G28" s="91" t="str">
        <f>'[236]Tunjangan BPD'!D16</f>
        <v>Tunjangan BPD</v>
      </c>
      <c r="H28" s="75" t="s">
        <v>30</v>
      </c>
      <c r="I28" s="75" t="s">
        <v>42</v>
      </c>
      <c r="J28" s="86" t="s">
        <v>48</v>
      </c>
      <c r="K28" s="77" t="s">
        <v>33</v>
      </c>
      <c r="L28" s="92">
        <f>'[236]Tunjangan BPD'!K16</f>
        <v>22200000</v>
      </c>
      <c r="M28" s="75" t="s">
        <v>34</v>
      </c>
      <c r="N28" s="79" t="s">
        <v>35</v>
      </c>
      <c r="O28" s="75"/>
      <c r="P28" s="81"/>
      <c r="Q28" s="81" t="s">
        <v>36</v>
      </c>
      <c r="R28" s="57"/>
      <c r="S28" s="71">
        <f>L28</f>
        <v>22200000</v>
      </c>
    </row>
    <row r="29" spans="1:19" s="58" customFormat="1" ht="45.75" customHeight="1" x14ac:dyDescent="0.25">
      <c r="A29" s="59"/>
      <c r="B29" s="48" t="str">
        <f>'[236]Operasional BPD'!D8</f>
        <v>1.1.06</v>
      </c>
      <c r="C29" s="60"/>
      <c r="D29" s="85"/>
      <c r="E29" s="82" t="s">
        <v>49</v>
      </c>
      <c r="F29" s="215" t="str">
        <f>IFERROR(VLOOKUP(B29,'[236]Parameter Keg '!$B$3:$C$191,2),"")</f>
        <v>Penyediaan Operasional BPD (rapat, ATK, Makan Minum, Pakaian Seragam, Listrik dll)</v>
      </c>
      <c r="G29" s="211"/>
      <c r="H29" s="95"/>
      <c r="I29" s="95"/>
      <c r="J29" s="96"/>
      <c r="K29" s="97"/>
      <c r="L29" s="89"/>
      <c r="M29" s="96"/>
      <c r="N29" s="96"/>
      <c r="O29" s="96"/>
      <c r="P29" s="98"/>
      <c r="Q29" s="70"/>
      <c r="R29" s="99"/>
      <c r="S29" s="71">
        <f t="shared" si="0"/>
        <v>0</v>
      </c>
    </row>
    <row r="30" spans="1:19" s="58" customFormat="1" x14ac:dyDescent="0.25">
      <c r="A30" s="59"/>
      <c r="B30" s="48"/>
      <c r="C30" s="60"/>
      <c r="D30" s="85"/>
      <c r="E30" s="85"/>
      <c r="F30" s="73" t="s">
        <v>29</v>
      </c>
      <c r="G30" s="91" t="str">
        <f>'[236]Operasional BPD'!D16</f>
        <v>Operasional BPD</v>
      </c>
      <c r="H30" s="100" t="s">
        <v>30</v>
      </c>
      <c r="I30" s="100" t="s">
        <v>44</v>
      </c>
      <c r="J30" s="101" t="s">
        <v>48</v>
      </c>
      <c r="K30" s="102" t="s">
        <v>33</v>
      </c>
      <c r="L30" s="92">
        <f>'[236]Operasional BPD'!K16</f>
        <v>5000000</v>
      </c>
      <c r="M30" s="101" t="s">
        <v>34</v>
      </c>
      <c r="N30" s="79" t="s">
        <v>35</v>
      </c>
      <c r="O30" s="101"/>
      <c r="P30" s="103"/>
      <c r="Q30" s="81" t="s">
        <v>36</v>
      </c>
      <c r="R30" s="99"/>
      <c r="S30" s="71">
        <f>L30</f>
        <v>5000000</v>
      </c>
    </row>
    <row r="31" spans="1:19" s="58" customFormat="1" ht="32.25" customHeight="1" x14ac:dyDescent="0.25">
      <c r="A31" s="59"/>
      <c r="B31" s="48" t="str">
        <f>'[236]Operasional RT'!D8</f>
        <v>1.1.07</v>
      </c>
      <c r="C31" s="60"/>
      <c r="D31" s="85"/>
      <c r="E31" s="82" t="s">
        <v>50</v>
      </c>
      <c r="F31" s="215" t="str">
        <f>IFERROR(VLOOKUP(B31,'[236]Parameter Keg '!$B$3:$C$191,2),"")</f>
        <v>Penyediaan Insentif/Operasional RT/RW</v>
      </c>
      <c r="G31" s="211"/>
      <c r="H31" s="104"/>
      <c r="I31" s="95"/>
      <c r="J31" s="96"/>
      <c r="K31" s="97"/>
      <c r="L31" s="89"/>
      <c r="M31" s="96"/>
      <c r="N31" s="96"/>
      <c r="O31" s="96"/>
      <c r="P31" s="98"/>
      <c r="Q31" s="70"/>
      <c r="R31" s="99"/>
      <c r="S31" s="71">
        <f t="shared" si="0"/>
        <v>0</v>
      </c>
    </row>
    <row r="32" spans="1:19" s="58" customFormat="1" ht="30" x14ac:dyDescent="0.25">
      <c r="A32" s="59"/>
      <c r="B32" s="48"/>
      <c r="C32" s="60"/>
      <c r="D32" s="85"/>
      <c r="E32" s="90"/>
      <c r="F32" s="73" t="s">
        <v>29</v>
      </c>
      <c r="G32" s="91" t="str">
        <f>'[236]Operasional RT'!D16</f>
        <v>Operasional RT</v>
      </c>
      <c r="H32" s="101" t="s">
        <v>51</v>
      </c>
      <c r="I32" s="100" t="s">
        <v>44</v>
      </c>
      <c r="J32" s="101" t="s">
        <v>52</v>
      </c>
      <c r="K32" s="102" t="s">
        <v>33</v>
      </c>
      <c r="L32" s="92">
        <f>'[237]Insentif RT'!$J$16</f>
        <v>3000000</v>
      </c>
      <c r="M32" s="101" t="s">
        <v>34</v>
      </c>
      <c r="N32" s="79" t="s">
        <v>35</v>
      </c>
      <c r="O32" s="101"/>
      <c r="P32" s="103"/>
      <c r="Q32" s="81" t="s">
        <v>53</v>
      </c>
      <c r="R32" s="99"/>
      <c r="S32" s="71">
        <f>L32</f>
        <v>3000000</v>
      </c>
    </row>
    <row r="33" spans="1:19" s="58" customFormat="1" ht="31.5" customHeight="1" x14ac:dyDescent="0.25">
      <c r="A33" s="59"/>
      <c r="B33" s="48" t="str">
        <f>[236]O.Kades!D8</f>
        <v>1.1.08</v>
      </c>
      <c r="C33" s="60"/>
      <c r="D33" s="85"/>
      <c r="E33" s="82" t="s">
        <v>54</v>
      </c>
      <c r="F33" s="215" t="str">
        <f>IFERROR(VLOOKUP(B33,'[236]Parameter Keg '!$B$3:$C$191,2),"")</f>
        <v>Penyediaan Operasional Pemerintah Desa yang bersumber dari Dana Desa</v>
      </c>
      <c r="G33" s="211"/>
      <c r="H33" s="95"/>
      <c r="I33" s="95"/>
      <c r="J33" s="96"/>
      <c r="K33" s="97"/>
      <c r="L33" s="89"/>
      <c r="M33" s="96"/>
      <c r="N33" s="96"/>
      <c r="O33" s="96"/>
      <c r="P33" s="98"/>
      <c r="Q33" s="70"/>
      <c r="R33" s="99"/>
      <c r="S33" s="71">
        <f t="shared" si="0"/>
        <v>0</v>
      </c>
    </row>
    <row r="34" spans="1:19" s="58" customFormat="1" ht="30" x14ac:dyDescent="0.25">
      <c r="A34" s="59"/>
      <c r="B34" s="48"/>
      <c r="C34" s="60"/>
      <c r="D34" s="85"/>
      <c r="E34" s="85"/>
      <c r="F34" s="63" t="s">
        <v>29</v>
      </c>
      <c r="G34" s="88" t="str">
        <f>'[237]Op 3%'!$D$16</f>
        <v>Biaya Koordinasi Pemerintah Desa</v>
      </c>
      <c r="H34" s="96" t="s">
        <v>51</v>
      </c>
      <c r="I34" s="95" t="s">
        <v>44</v>
      </c>
      <c r="J34" s="96" t="s">
        <v>55</v>
      </c>
      <c r="K34" s="97" t="s">
        <v>33</v>
      </c>
      <c r="L34" s="89">
        <f>'[237]Op 3%'!$J$16</f>
        <v>185000</v>
      </c>
      <c r="M34" s="96" t="s">
        <v>56</v>
      </c>
      <c r="N34" s="68" t="s">
        <v>35</v>
      </c>
      <c r="O34" s="96"/>
      <c r="P34" s="98"/>
      <c r="Q34" s="70" t="s">
        <v>57</v>
      </c>
      <c r="R34" s="99"/>
      <c r="S34" s="71">
        <f>SUM(L34:L35)</f>
        <v>10510000</v>
      </c>
    </row>
    <row r="35" spans="1:19" s="58" customFormat="1" ht="60" x14ac:dyDescent="0.25">
      <c r="A35" s="59"/>
      <c r="B35" s="48"/>
      <c r="C35" s="60"/>
      <c r="D35" s="85"/>
      <c r="E35" s="85"/>
      <c r="F35" s="63" t="s">
        <v>37</v>
      </c>
      <c r="G35" s="88" t="str">
        <f>'[237]Op 3%'!$D$22</f>
        <v>Dukungan Penyelenggaraan Pencegahan dan Penanggulangan Kerawanan Sosial</v>
      </c>
      <c r="H35" s="96" t="s">
        <v>51</v>
      </c>
      <c r="I35" s="95" t="s">
        <v>44</v>
      </c>
      <c r="J35" s="96" t="s">
        <v>58</v>
      </c>
      <c r="K35" s="97" t="s">
        <v>33</v>
      </c>
      <c r="L35" s="89">
        <f>'[237]Op 3%'!$J$22</f>
        <v>10325000</v>
      </c>
      <c r="M35" s="96" t="s">
        <v>56</v>
      </c>
      <c r="N35" s="68" t="s">
        <v>35</v>
      </c>
      <c r="O35" s="96"/>
      <c r="P35" s="98"/>
      <c r="Q35" s="70" t="s">
        <v>57</v>
      </c>
      <c r="R35" s="99"/>
      <c r="S35" s="71"/>
    </row>
    <row r="36" spans="1:19" s="58" customFormat="1" ht="5.25" customHeight="1" x14ac:dyDescent="0.25">
      <c r="A36" s="59"/>
      <c r="B36" s="48"/>
      <c r="C36" s="60"/>
      <c r="D36" s="85"/>
      <c r="E36" s="90"/>
      <c r="F36" s="73"/>
      <c r="G36" s="91"/>
      <c r="H36" s="101"/>
      <c r="I36" s="100"/>
      <c r="J36" s="101"/>
      <c r="K36" s="102"/>
      <c r="L36" s="92"/>
      <c r="M36" s="101"/>
      <c r="N36" s="79"/>
      <c r="O36" s="101"/>
      <c r="P36" s="103"/>
      <c r="Q36" s="81"/>
      <c r="R36" s="99"/>
      <c r="S36" s="71"/>
    </row>
    <row r="37" spans="1:19" s="58" customFormat="1" ht="29.25" customHeight="1" x14ac:dyDescent="0.25">
      <c r="A37" s="59"/>
      <c r="B37" s="48" t="str">
        <f>'[236]BPJS Pekerja rentan'!D8</f>
        <v>1.1.90</v>
      </c>
      <c r="C37" s="60"/>
      <c r="D37" s="85"/>
      <c r="E37" s="105" t="s">
        <v>59</v>
      </c>
      <c r="F37" s="215" t="str">
        <f>IFERROR(VLOOKUP(B37,'[236]Parameter Keg '!$B$3:$C$191,2),"")</f>
        <v>Penyediaan jaminan sosial bagi pekerja rentan</v>
      </c>
      <c r="G37" s="211"/>
      <c r="H37" s="95"/>
      <c r="I37" s="95"/>
      <c r="J37" s="96"/>
      <c r="K37" s="97"/>
      <c r="L37" s="89"/>
      <c r="M37" s="96"/>
      <c r="N37" s="96"/>
      <c r="O37" s="96"/>
      <c r="P37" s="98"/>
      <c r="Q37" s="70"/>
      <c r="R37" s="99"/>
      <c r="S37" s="71">
        <f t="shared" si="0"/>
        <v>0</v>
      </c>
    </row>
    <row r="38" spans="1:19" s="58" customFormat="1" ht="30" x14ac:dyDescent="0.25">
      <c r="A38" s="59"/>
      <c r="B38" s="48"/>
      <c r="C38" s="60"/>
      <c r="D38" s="85"/>
      <c r="E38" s="85"/>
      <c r="F38" s="106" t="s">
        <v>29</v>
      </c>
      <c r="G38" s="88" t="str">
        <f>'[237]Pekerja rentan'!$D$16</f>
        <v>Penyediaan jaminan sosial pekerja rentan</v>
      </c>
      <c r="H38" s="96" t="s">
        <v>51</v>
      </c>
      <c r="I38" s="95" t="s">
        <v>60</v>
      </c>
      <c r="J38" s="96" t="s">
        <v>61</v>
      </c>
      <c r="K38" s="97" t="s">
        <v>33</v>
      </c>
      <c r="L38" s="89">
        <f>'[237]Pekerja rentan'!$J$16</f>
        <v>10080000</v>
      </c>
      <c r="M38" s="96" t="s">
        <v>34</v>
      </c>
      <c r="N38" s="68" t="s">
        <v>35</v>
      </c>
      <c r="O38" s="96"/>
      <c r="P38" s="98"/>
      <c r="Q38" s="70" t="s">
        <v>36</v>
      </c>
      <c r="R38" s="99"/>
      <c r="S38" s="71">
        <f>SUM(L38:L39)</f>
        <v>20160000</v>
      </c>
    </row>
    <row r="39" spans="1:19" s="58" customFormat="1" ht="30" x14ac:dyDescent="0.25">
      <c r="A39" s="59"/>
      <c r="B39" s="48"/>
      <c r="C39" s="60"/>
      <c r="D39" s="90"/>
      <c r="E39" s="90"/>
      <c r="F39" s="107" t="s">
        <v>37</v>
      </c>
      <c r="G39" s="91" t="str">
        <f>'[237]Pekerja rentan'!$D$21</f>
        <v>Penyediaan jaminan sosial pekerja rentan SiLPA TA 2025</v>
      </c>
      <c r="H39" s="101" t="s">
        <v>51</v>
      </c>
      <c r="I39" s="100" t="s">
        <v>60</v>
      </c>
      <c r="J39" s="101" t="s">
        <v>61</v>
      </c>
      <c r="K39" s="102" t="s">
        <v>33</v>
      </c>
      <c r="L39" s="92">
        <f>'[237]Pekerja rentan'!$J$21</f>
        <v>10080000</v>
      </c>
      <c r="M39" s="101" t="s">
        <v>34</v>
      </c>
      <c r="N39" s="79" t="s">
        <v>35</v>
      </c>
      <c r="O39" s="101"/>
      <c r="P39" s="103"/>
      <c r="Q39" s="81" t="s">
        <v>36</v>
      </c>
      <c r="R39" s="99"/>
      <c r="S39" s="71"/>
    </row>
    <row r="40" spans="1:19" s="58" customFormat="1" ht="31.5" customHeight="1" x14ac:dyDescent="0.25">
      <c r="A40" s="48" t="s">
        <v>62</v>
      </c>
      <c r="B40" s="48" t="str">
        <f>'[237]Profil desa'!$B$16</f>
        <v>1.3.02</v>
      </c>
      <c r="C40" s="60"/>
      <c r="D40" s="212" t="str">
        <f>IFERROR(VLOOKUP(A40,'[236]Parameter Keg'!$B$3:$C$191,2),"")</f>
        <v>Pengelolaan Administrasi Kependudukan, Pencatatan Sipil, Statistik dan Kearsipan</v>
      </c>
      <c r="E40" s="85">
        <v>10</v>
      </c>
      <c r="F40" s="218" t="str">
        <f>IFERROR(VLOOKUP(B40,'[236]Parameter Keg '!$B$3:$C$191,2),"")</f>
        <v>Penyusunan, Pendataan, dan Pemutakhiran Profil Desa **)</v>
      </c>
      <c r="G40" s="209"/>
      <c r="H40" s="96"/>
      <c r="I40" s="95"/>
      <c r="J40" s="96"/>
      <c r="K40" s="97"/>
      <c r="L40" s="89"/>
      <c r="M40" s="96"/>
      <c r="N40" s="68"/>
      <c r="O40" s="96"/>
      <c r="P40" s="98"/>
      <c r="Q40" s="70"/>
      <c r="R40" s="99"/>
      <c r="S40" s="71"/>
    </row>
    <row r="41" spans="1:19" s="58" customFormat="1" ht="30" x14ac:dyDescent="0.25">
      <c r="A41" s="59"/>
      <c r="B41" s="48"/>
      <c r="C41" s="60"/>
      <c r="D41" s="207"/>
      <c r="E41" s="85"/>
      <c r="F41" s="63" t="s">
        <v>29</v>
      </c>
      <c r="G41" s="88" t="str">
        <f>'[237]Profil desa'!$D$16</f>
        <v>Pemutahiran data desa/profil desa</v>
      </c>
      <c r="H41" s="96" t="s">
        <v>51</v>
      </c>
      <c r="I41" s="95" t="s">
        <v>44</v>
      </c>
      <c r="J41" s="96" t="s">
        <v>45</v>
      </c>
      <c r="K41" s="97" t="s">
        <v>33</v>
      </c>
      <c r="L41" s="89">
        <f>'[237]Profil desa'!$J$16</f>
        <v>8000000</v>
      </c>
      <c r="M41" s="96" t="s">
        <v>34</v>
      </c>
      <c r="N41" s="79" t="s">
        <v>35</v>
      </c>
      <c r="O41" s="96"/>
      <c r="P41" s="98"/>
      <c r="Q41" s="70" t="s">
        <v>53</v>
      </c>
      <c r="R41" s="99"/>
      <c r="S41" s="71">
        <f>L41</f>
        <v>8000000</v>
      </c>
    </row>
    <row r="42" spans="1:19" s="58" customFormat="1" ht="28.5" customHeight="1" x14ac:dyDescent="0.25">
      <c r="A42" s="48" t="s">
        <v>62</v>
      </c>
      <c r="B42" s="48" t="str">
        <f>'[237]SIKS NG'!$B$16</f>
        <v>1.3.05</v>
      </c>
      <c r="C42" s="60"/>
      <c r="D42" s="207"/>
      <c r="E42" s="105">
        <v>11</v>
      </c>
      <c r="F42" s="215" t="str">
        <f>IFERROR(VLOOKUP(B42,'[236]Parameter Keg '!$B$3:$C$191,2),"")</f>
        <v>Pemetaan dan Analisis Kemiskinan Desa secara Partisipatif</v>
      </c>
      <c r="G42" s="211"/>
      <c r="H42" s="108"/>
      <c r="I42" s="109"/>
      <c r="J42" s="108"/>
      <c r="K42" s="110"/>
      <c r="L42" s="111"/>
      <c r="M42" s="108"/>
      <c r="N42" s="112"/>
      <c r="O42" s="108"/>
      <c r="P42" s="113"/>
      <c r="Q42" s="56"/>
      <c r="R42" s="99"/>
      <c r="S42" s="71">
        <f t="shared" si="0"/>
        <v>0</v>
      </c>
    </row>
    <row r="43" spans="1:19" s="58" customFormat="1" ht="31.5" customHeight="1" x14ac:dyDescent="0.25">
      <c r="A43" s="59"/>
      <c r="B43" s="48"/>
      <c r="C43" s="60"/>
      <c r="D43" s="213"/>
      <c r="E43" s="115"/>
      <c r="F43" s="73" t="s">
        <v>29</v>
      </c>
      <c r="G43" s="91" t="str">
        <f>'[237]SIKS NG'!$D$16</f>
        <v>Penyediaan data kesejahteraan sosial SIKS NG</v>
      </c>
      <c r="H43" s="101" t="s">
        <v>51</v>
      </c>
      <c r="I43" s="100" t="s">
        <v>44</v>
      </c>
      <c r="J43" s="101" t="s">
        <v>63</v>
      </c>
      <c r="K43" s="102" t="s">
        <v>33</v>
      </c>
      <c r="L43" s="92">
        <f>'[237]SIKS NG'!$J$16</f>
        <v>6000000</v>
      </c>
      <c r="M43" s="101" t="s">
        <v>34</v>
      </c>
      <c r="N43" s="79" t="s">
        <v>35</v>
      </c>
      <c r="O43" s="101"/>
      <c r="P43" s="103"/>
      <c r="Q43" s="81" t="s">
        <v>57</v>
      </c>
      <c r="R43" s="99"/>
      <c r="S43" s="71">
        <f t="shared" si="0"/>
        <v>6000000</v>
      </c>
    </row>
    <row r="44" spans="1:19" s="58" customFormat="1" ht="47.25" customHeight="1" x14ac:dyDescent="0.25">
      <c r="A44" s="48" t="s">
        <v>64</v>
      </c>
      <c r="B44" s="48" t="str">
        <f>'[236]Musyawarah Desa'!D8</f>
        <v>1.4.01</v>
      </c>
      <c r="C44" s="60"/>
      <c r="D44" s="219" t="str">
        <f>IFERROR(VLOOKUP(A44,'[236]Parameter Keg'!$B$3:$C$191,2),"")</f>
        <v>Penyelenggaraan Tata Praja Pemerintahan, Perencanaan, Keuangan dan Pelaporan</v>
      </c>
      <c r="E44" s="105">
        <v>13</v>
      </c>
      <c r="F44" s="215" t="str">
        <f>IFERROR(VLOOKUP(B44,'[236]Parameter Keg '!$B$3:$C$191,2),"")</f>
        <v>Penyelenggaraan Musyawarah Perencanaan Desa/Pembahasan APBDes (Reguler)</v>
      </c>
      <c r="G44" s="211"/>
      <c r="H44" s="109"/>
      <c r="I44" s="109"/>
      <c r="J44" s="108"/>
      <c r="K44" s="110"/>
      <c r="L44" s="111"/>
      <c r="M44" s="108"/>
      <c r="N44" s="108"/>
      <c r="O44" s="108"/>
      <c r="P44" s="113"/>
      <c r="Q44" s="56"/>
      <c r="R44" s="99"/>
      <c r="S44" s="71">
        <f t="shared" si="0"/>
        <v>0</v>
      </c>
    </row>
    <row r="45" spans="1:19" s="58" customFormat="1" ht="30.75" customHeight="1" x14ac:dyDescent="0.25">
      <c r="A45" s="59"/>
      <c r="B45" s="48"/>
      <c r="C45" s="60"/>
      <c r="D45" s="220"/>
      <c r="E45" s="85"/>
      <c r="F45" s="63" t="s">
        <v>29</v>
      </c>
      <c r="G45" s="88" t="str">
        <f>[237]Musdes!$D$16</f>
        <v>Penyelenggaraan Musyawarah Desa</v>
      </c>
      <c r="H45" s="95" t="s">
        <v>30</v>
      </c>
      <c r="I45" s="95" t="s">
        <v>65</v>
      </c>
      <c r="J45" s="96" t="s">
        <v>58</v>
      </c>
      <c r="K45" s="97" t="s">
        <v>66</v>
      </c>
      <c r="L45" s="89">
        <f>[237]Musdes!$J$16</f>
        <v>17524000</v>
      </c>
      <c r="M45" s="96" t="s">
        <v>56</v>
      </c>
      <c r="N45" s="68" t="s">
        <v>35</v>
      </c>
      <c r="O45" s="96"/>
      <c r="P45" s="98"/>
      <c r="Q45" s="70" t="s">
        <v>67</v>
      </c>
      <c r="R45" s="99"/>
      <c r="S45" s="71">
        <f>SUM(L45:L46)</f>
        <v>21349000</v>
      </c>
    </row>
    <row r="46" spans="1:19" s="58" customFormat="1" ht="30.75" customHeight="1" x14ac:dyDescent="0.25">
      <c r="A46" s="59"/>
      <c r="B46" s="48"/>
      <c r="C46" s="60"/>
      <c r="D46" s="116"/>
      <c r="E46" s="90"/>
      <c r="F46" s="73" t="s">
        <v>37</v>
      </c>
      <c r="G46" s="91" t="str">
        <f>[237]Musdes!$D$29</f>
        <v>Penyelenggaraan Rembug Desa</v>
      </c>
      <c r="H46" s="100" t="s">
        <v>30</v>
      </c>
      <c r="I46" s="100" t="s">
        <v>65</v>
      </c>
      <c r="J46" s="101" t="s">
        <v>58</v>
      </c>
      <c r="K46" s="102" t="s">
        <v>66</v>
      </c>
      <c r="L46" s="92">
        <f>[237]Musdes!$J$29</f>
        <v>3825000</v>
      </c>
      <c r="M46" s="101" t="s">
        <v>56</v>
      </c>
      <c r="N46" s="79" t="s">
        <v>35</v>
      </c>
      <c r="O46" s="101"/>
      <c r="P46" s="103"/>
      <c r="Q46" s="81" t="s">
        <v>67</v>
      </c>
      <c r="R46" s="99"/>
      <c r="S46" s="71"/>
    </row>
    <row r="47" spans="1:19" s="58" customFormat="1" ht="31.5" customHeight="1" x14ac:dyDescent="0.25">
      <c r="A47" s="48" t="s">
        <v>68</v>
      </c>
      <c r="B47" s="48" t="str">
        <f>[236]PBB.!D8</f>
        <v>1.5.06</v>
      </c>
      <c r="C47" s="60"/>
      <c r="D47" s="50" t="str">
        <f>IFERROR(VLOOKUP(A47,'[236]Parameter Keg'!$B$3:$C$191,2),"")</f>
        <v>Sub Bidang Pertanahan</v>
      </c>
      <c r="E47" s="105">
        <v>14</v>
      </c>
      <c r="F47" s="215" t="str">
        <f>IFERROR(VLOOKUP(B47,'[236]Parameter Keg '!$B$3:$C$191,2),"")</f>
        <v>Adminstrasi Pajak Bumi dan Bangunan (PBB)</v>
      </c>
      <c r="G47" s="211"/>
      <c r="H47" s="109"/>
      <c r="I47" s="109"/>
      <c r="J47" s="108"/>
      <c r="K47" s="110"/>
      <c r="L47" s="111"/>
      <c r="M47" s="108"/>
      <c r="N47" s="108"/>
      <c r="O47" s="108"/>
      <c r="P47" s="113"/>
      <c r="Q47" s="56"/>
      <c r="R47" s="99"/>
      <c r="S47" s="71">
        <f t="shared" si="0"/>
        <v>0</v>
      </c>
    </row>
    <row r="48" spans="1:19" s="58" customFormat="1" ht="30" x14ac:dyDescent="0.25">
      <c r="A48" s="59"/>
      <c r="B48" s="48"/>
      <c r="C48" s="60"/>
      <c r="D48" s="117"/>
      <c r="E48" s="85"/>
      <c r="F48" s="63" t="s">
        <v>29</v>
      </c>
      <c r="G48" s="88" t="str">
        <f>[237]PBB!$D$16</f>
        <v>Penyediaan operasional PBH</v>
      </c>
      <c r="H48" s="96" t="s">
        <v>51</v>
      </c>
      <c r="I48" s="95" t="s">
        <v>44</v>
      </c>
      <c r="J48" s="96" t="s">
        <v>69</v>
      </c>
      <c r="K48" s="97" t="s">
        <v>33</v>
      </c>
      <c r="L48" s="89">
        <f>[237]PBB!$J$16</f>
        <v>16272522</v>
      </c>
      <c r="M48" s="96" t="s">
        <v>70</v>
      </c>
      <c r="N48" s="68" t="s">
        <v>35</v>
      </c>
      <c r="O48" s="96"/>
      <c r="P48" s="98"/>
      <c r="Q48" s="70" t="s">
        <v>53</v>
      </c>
      <c r="R48" s="99"/>
      <c r="S48" s="71">
        <f>SUM(L48:L50)</f>
        <v>18376999</v>
      </c>
    </row>
    <row r="49" spans="1:19" s="58" customFormat="1" ht="30" x14ac:dyDescent="0.25">
      <c r="A49" s="59"/>
      <c r="B49" s="48"/>
      <c r="C49" s="60"/>
      <c r="D49" s="117"/>
      <c r="E49" s="85"/>
      <c r="F49" s="63" t="s">
        <v>37</v>
      </c>
      <c r="G49" s="88" t="str">
        <f>[237]PBB!$D$31</f>
        <v>Penyediaan operasional PBR</v>
      </c>
      <c r="H49" s="96" t="s">
        <v>51</v>
      </c>
      <c r="I49" s="95" t="s">
        <v>44</v>
      </c>
      <c r="J49" s="96" t="s">
        <v>71</v>
      </c>
      <c r="K49" s="97" t="s">
        <v>33</v>
      </c>
      <c r="L49" s="89">
        <f>[237]PBB!$J$31</f>
        <v>1241094</v>
      </c>
      <c r="M49" s="96" t="s">
        <v>72</v>
      </c>
      <c r="N49" s="68" t="s">
        <v>35</v>
      </c>
      <c r="O49" s="96"/>
      <c r="P49" s="98"/>
      <c r="Q49" s="70" t="s">
        <v>53</v>
      </c>
      <c r="R49" s="99"/>
      <c r="S49" s="71"/>
    </row>
    <row r="50" spans="1:19" s="58" customFormat="1" ht="30" x14ac:dyDescent="0.25">
      <c r="A50" s="59"/>
      <c r="B50" s="48"/>
      <c r="C50" s="60"/>
      <c r="D50" s="85"/>
      <c r="E50" s="85"/>
      <c r="F50" s="63" t="s">
        <v>73</v>
      </c>
      <c r="G50" s="88" t="str">
        <f>[237]PBB!$D$36</f>
        <v>Penyediaan Mobiler (SiLPA PBH 2025)</v>
      </c>
      <c r="H50" s="96" t="s">
        <v>51</v>
      </c>
      <c r="I50" s="95" t="s">
        <v>44</v>
      </c>
      <c r="J50" s="96" t="s">
        <v>69</v>
      </c>
      <c r="K50" s="97" t="s">
        <v>74</v>
      </c>
      <c r="L50" s="89">
        <f>[237]PBB!$J$36</f>
        <v>863383</v>
      </c>
      <c r="M50" s="96" t="s">
        <v>75</v>
      </c>
      <c r="N50" s="79" t="s">
        <v>35</v>
      </c>
      <c r="O50" s="96"/>
      <c r="P50" s="98"/>
      <c r="Q50" s="70" t="s">
        <v>53</v>
      </c>
      <c r="R50" s="99"/>
      <c r="S50" s="71"/>
    </row>
    <row r="51" spans="1:19" s="58" customFormat="1" x14ac:dyDescent="0.25">
      <c r="A51" s="59"/>
      <c r="B51" s="59"/>
      <c r="C51" s="118"/>
      <c r="D51" s="119" t="str">
        <f>IFERROR(VLOOKUP(B51,'[236]Parameter Keg '!$B$3:$C$191,2),"")</f>
        <v/>
      </c>
      <c r="E51" s="120"/>
      <c r="F51" s="121"/>
      <c r="G51" s="120"/>
      <c r="H51" s="122"/>
      <c r="I51" s="122"/>
      <c r="J51" s="122"/>
      <c r="K51" s="123" t="s">
        <v>76</v>
      </c>
      <c r="L51" s="124">
        <f>SUM(L14:L50)</f>
        <v>374440312</v>
      </c>
      <c r="M51" s="122"/>
      <c r="N51" s="122"/>
      <c r="O51" s="122"/>
      <c r="P51" s="125"/>
      <c r="Q51" s="126"/>
      <c r="R51" s="57"/>
      <c r="S51" s="71"/>
    </row>
    <row r="52" spans="1:19" s="58" customFormat="1" ht="3.75" customHeight="1" x14ac:dyDescent="0.25">
      <c r="A52" s="59"/>
      <c r="B52" s="59"/>
      <c r="C52" s="127"/>
      <c r="D52" s="128" t="str">
        <f>IFERROR(VLOOKUP(A52,'[236]Parameter Keg '!$B$3:$C$191,2),"")</f>
        <v/>
      </c>
      <c r="E52" s="128"/>
      <c r="F52" s="129"/>
      <c r="G52" s="128" t="str">
        <f>IFERROR(VLOOKUP(B52,'[236]Parameter Keg '!$B$3:$C$191,2),"")</f>
        <v/>
      </c>
      <c r="H52" s="130"/>
      <c r="I52" s="130"/>
      <c r="J52" s="130"/>
      <c r="K52" s="130"/>
      <c r="L52" s="131"/>
      <c r="M52" s="130"/>
      <c r="N52" s="130"/>
      <c r="O52" s="130"/>
      <c r="P52" s="132"/>
      <c r="Q52" s="133"/>
      <c r="R52" s="57"/>
      <c r="S52" s="71"/>
    </row>
    <row r="53" spans="1:19" s="47" customFormat="1" x14ac:dyDescent="0.25">
      <c r="A53" s="36"/>
      <c r="B53" s="36"/>
      <c r="C53" s="37">
        <v>2</v>
      </c>
      <c r="D53" s="38" t="s">
        <v>77</v>
      </c>
      <c r="E53" s="39"/>
      <c r="F53" s="40"/>
      <c r="G53" s="39"/>
      <c r="H53" s="41"/>
      <c r="I53" s="41"/>
      <c r="J53" s="41"/>
      <c r="K53" s="41"/>
      <c r="L53" s="42">
        <f>L88</f>
        <v>716730000</v>
      </c>
      <c r="M53" s="43"/>
      <c r="N53" s="41"/>
      <c r="O53" s="41"/>
      <c r="P53" s="44"/>
      <c r="Q53" s="134"/>
      <c r="R53" s="46"/>
      <c r="S53" s="71"/>
    </row>
    <row r="54" spans="1:19" s="58" customFormat="1" ht="63" customHeight="1" x14ac:dyDescent="0.25">
      <c r="A54" s="48" t="s">
        <v>78</v>
      </c>
      <c r="B54" s="59" t="str">
        <f>[236]Paud!D8</f>
        <v>2.1.01</v>
      </c>
      <c r="C54" s="60"/>
      <c r="D54" s="50" t="str">
        <f>IFERROR(VLOOKUP(A54,'[236]Parameter Keg'!$B$3:$C$191,2),"")</f>
        <v>Sub Bidang Pendidikan</v>
      </c>
      <c r="E54" s="135">
        <v>15</v>
      </c>
      <c r="F54" s="210" t="str">
        <f>IFERROR(VLOOKUP(B54,'[236]Parameter Keg '!$B$3:$C$191,2),"")</f>
        <v>Penyelenggaran PAUD/TK/TPA/TKA/TPQ/Madrasah NonFormal Milik Desa (Honor, Pakaian dll)</v>
      </c>
      <c r="G54" s="211"/>
      <c r="H54" s="60"/>
      <c r="I54" s="60"/>
      <c r="J54" s="83"/>
      <c r="K54" s="66"/>
      <c r="L54" s="89"/>
      <c r="M54" s="60"/>
      <c r="N54" s="60"/>
      <c r="O54" s="60"/>
      <c r="P54" s="70"/>
      <c r="Q54" s="70"/>
      <c r="R54" s="57"/>
      <c r="S54" s="71">
        <f t="shared" si="0"/>
        <v>0</v>
      </c>
    </row>
    <row r="55" spans="1:19" s="58" customFormat="1" ht="30" x14ac:dyDescent="0.25">
      <c r="A55" s="59"/>
      <c r="B55" s="59"/>
      <c r="C55" s="60"/>
      <c r="D55" s="85" t="str">
        <f>IFERROR(VLOOKUP(A55,'[236]Parameter Keg '!$B$3:$C$191,2),"")</f>
        <v/>
      </c>
      <c r="E55" s="135"/>
      <c r="F55" s="136" t="s">
        <v>29</v>
      </c>
      <c r="G55" s="104" t="str">
        <f>[236]Paud!D16</f>
        <v>Operasional TK/Paud milik desa Earmark stunting</v>
      </c>
      <c r="H55" s="137" t="s">
        <v>51</v>
      </c>
      <c r="I55" s="60" t="s">
        <v>44</v>
      </c>
      <c r="J55" s="83" t="s">
        <v>79</v>
      </c>
      <c r="K55" s="66" t="s">
        <v>33</v>
      </c>
      <c r="L55" s="89">
        <f>[236]Paud!K16</f>
        <v>12350000</v>
      </c>
      <c r="M55" s="60" t="s">
        <v>56</v>
      </c>
      <c r="N55" s="68" t="s">
        <v>35</v>
      </c>
      <c r="O55" s="60"/>
      <c r="P55" s="70"/>
      <c r="Q55" s="70" t="s">
        <v>57</v>
      </c>
      <c r="R55" s="57"/>
      <c r="S55" s="71">
        <f t="shared" si="0"/>
        <v>12350000</v>
      </c>
    </row>
    <row r="56" spans="1:19" s="58" customFormat="1" ht="30" x14ac:dyDescent="0.25">
      <c r="A56" s="59"/>
      <c r="B56" s="59"/>
      <c r="C56" s="60"/>
      <c r="D56" s="85" t="str">
        <f>IFERROR(VLOOKUP(A56,'[236]Parameter Keg '!$B$3:$C$191,2),"")</f>
        <v/>
      </c>
      <c r="E56" s="135"/>
      <c r="F56" s="136" t="s">
        <v>37</v>
      </c>
      <c r="G56" s="104" t="str">
        <f>[236]Paud!D28</f>
        <v>Dukungan penyelenggaraan Paud non milik desa Earmark Stunting</v>
      </c>
      <c r="H56" s="137" t="s">
        <v>51</v>
      </c>
      <c r="I56" s="60" t="s">
        <v>44</v>
      </c>
      <c r="J56" s="83" t="s">
        <v>80</v>
      </c>
      <c r="K56" s="66" t="s">
        <v>33</v>
      </c>
      <c r="L56" s="89">
        <f>[236]Paud!K28</f>
        <v>9600000</v>
      </c>
      <c r="M56" s="60" t="s">
        <v>56</v>
      </c>
      <c r="N56" s="68" t="s">
        <v>35</v>
      </c>
      <c r="O56" s="60"/>
      <c r="P56" s="70"/>
      <c r="Q56" s="70" t="s">
        <v>57</v>
      </c>
      <c r="R56" s="57"/>
      <c r="S56" s="71">
        <f t="shared" si="0"/>
        <v>9600000</v>
      </c>
    </row>
    <row r="57" spans="1:19" s="58" customFormat="1" ht="45" x14ac:dyDescent="0.25">
      <c r="A57" s="59"/>
      <c r="B57" s="59"/>
      <c r="C57" s="60"/>
      <c r="D57" s="85" t="str">
        <f>IFERROR(VLOOKUP(A57,'[236]Parameter Keg '!$B$3:$C$191,2),"")</f>
        <v/>
      </c>
      <c r="E57" s="138"/>
      <c r="F57" s="139" t="s">
        <v>73</v>
      </c>
      <c r="G57" s="140" t="str">
        <f>[236]Paud!D33</f>
        <v>Dukungan penyelenggaraan Taman Belajar Keagamaan Non Earmark</v>
      </c>
      <c r="H57" s="141" t="s">
        <v>51</v>
      </c>
      <c r="I57" s="75" t="s">
        <v>44</v>
      </c>
      <c r="J57" s="86" t="s">
        <v>81</v>
      </c>
      <c r="K57" s="77" t="s">
        <v>33</v>
      </c>
      <c r="L57" s="92">
        <f>[236]Paud!K33</f>
        <v>5400000</v>
      </c>
      <c r="M57" s="75" t="s">
        <v>56</v>
      </c>
      <c r="N57" s="79" t="s">
        <v>35</v>
      </c>
      <c r="O57" s="75"/>
      <c r="P57" s="81"/>
      <c r="Q57" s="81" t="s">
        <v>57</v>
      </c>
      <c r="R57" s="57"/>
      <c r="S57" s="71">
        <f t="shared" si="0"/>
        <v>5400000</v>
      </c>
    </row>
    <row r="58" spans="1:19" s="58" customFormat="1" ht="28.5" customHeight="1" x14ac:dyDescent="0.25">
      <c r="A58" s="48" t="s">
        <v>78</v>
      </c>
      <c r="B58" s="59" t="str">
        <f>'[236]Penyuluhan Masyarakat'!D8</f>
        <v>2.1.03</v>
      </c>
      <c r="C58" s="60"/>
      <c r="D58" s="61"/>
      <c r="E58" s="135">
        <v>16</v>
      </c>
      <c r="F58" s="216" t="str">
        <f>IFERROR(VLOOKUP(B58,'[236]Parameter Keg '!$B$3:$C$191,2),"")</f>
        <v>Penyuluhan dan Pelatihan Pendidikan Bagi Masyarakat</v>
      </c>
      <c r="G58" s="217"/>
      <c r="H58" s="60"/>
      <c r="I58" s="60"/>
      <c r="J58" s="83"/>
      <c r="K58" s="66"/>
      <c r="L58" s="89"/>
      <c r="M58" s="60"/>
      <c r="N58" s="60"/>
      <c r="O58" s="60"/>
      <c r="P58" s="70"/>
      <c r="Q58" s="70"/>
      <c r="R58" s="57"/>
      <c r="S58" s="71">
        <f t="shared" si="0"/>
        <v>0</v>
      </c>
    </row>
    <row r="59" spans="1:19" s="58" customFormat="1" ht="30" x14ac:dyDescent="0.25">
      <c r="A59" s="59"/>
      <c r="B59" s="59"/>
      <c r="C59" s="60"/>
      <c r="D59" s="85" t="str">
        <f>IFERROR(VLOOKUP(A59,'[236]Parameter Keg '!$B$3:$C$191,2),"")</f>
        <v/>
      </c>
      <c r="E59" s="138"/>
      <c r="F59" s="139" t="s">
        <v>29</v>
      </c>
      <c r="G59" s="140" t="str">
        <f>'[236]Penyuluhan Masyarakat'!D16</f>
        <v>Penyuluhan hukum Non Earmark</v>
      </c>
      <c r="H59" s="75" t="s">
        <v>82</v>
      </c>
      <c r="I59" s="75" t="s">
        <v>83</v>
      </c>
      <c r="J59" s="86" t="s">
        <v>84</v>
      </c>
      <c r="K59" s="77" t="s">
        <v>85</v>
      </c>
      <c r="L59" s="92">
        <f>'[236]Penyuluhan Masyarakat'!K16</f>
        <v>10345000</v>
      </c>
      <c r="M59" s="75" t="s">
        <v>56</v>
      </c>
      <c r="N59" s="79" t="s">
        <v>35</v>
      </c>
      <c r="O59" s="75"/>
      <c r="P59" s="81"/>
      <c r="Q59" s="81" t="s">
        <v>53</v>
      </c>
      <c r="R59" s="57"/>
      <c r="S59" s="71">
        <f t="shared" si="0"/>
        <v>10345000</v>
      </c>
    </row>
    <row r="60" spans="1:19" s="58" customFormat="1" ht="30" customHeight="1" x14ac:dyDescent="0.25">
      <c r="A60" s="59"/>
      <c r="B60" s="59" t="str">
        <f>'[236]Taman Bacaan'!D8</f>
        <v>2.1.08</v>
      </c>
      <c r="C60" s="60"/>
      <c r="D60" s="85" t="str">
        <f>IFERROR(VLOOKUP(A60,'[236]Parameter Keg '!$B$3:$C$191,2),"")</f>
        <v/>
      </c>
      <c r="E60" s="135">
        <v>17</v>
      </c>
      <c r="F60" s="210" t="str">
        <f>IFERROR(VLOOKUP(B60,'[236]Parameter Keg '!$B$3:$C$191,2),"")</f>
        <v>Pengelolaan Perpustakaan Milik Desa (Pengadaan Buku, Honor, Taman Baca)</v>
      </c>
      <c r="G60" s="211"/>
      <c r="H60" s="60"/>
      <c r="I60" s="60"/>
      <c r="J60" s="83"/>
      <c r="K60" s="66"/>
      <c r="L60" s="89"/>
      <c r="M60" s="60"/>
      <c r="N60" s="60"/>
      <c r="O60" s="60"/>
      <c r="P60" s="69"/>
      <c r="Q60" s="70"/>
      <c r="R60" s="57"/>
      <c r="S60" s="71">
        <f t="shared" si="0"/>
        <v>0</v>
      </c>
    </row>
    <row r="61" spans="1:19" s="58" customFormat="1" ht="30" x14ac:dyDescent="0.25">
      <c r="A61" s="59"/>
      <c r="B61" s="48"/>
      <c r="C61" s="75"/>
      <c r="D61" s="90" t="str">
        <f>IFERROR(VLOOKUP(A61,'[236]Parameter Keg '!$B$3:$C$191,2),"")</f>
        <v/>
      </c>
      <c r="E61" s="138"/>
      <c r="F61" s="139" t="s">
        <v>29</v>
      </c>
      <c r="G61" s="140" t="str">
        <f>'[236]Taman Bacaan'!D16</f>
        <v>Dukungan Pengelolaan Taman Bacaan Desa Non Earmark</v>
      </c>
      <c r="H61" s="75" t="s">
        <v>82</v>
      </c>
      <c r="I61" s="75" t="s">
        <v>44</v>
      </c>
      <c r="J61" s="86" t="s">
        <v>86</v>
      </c>
      <c r="K61" s="77" t="s">
        <v>33</v>
      </c>
      <c r="L61" s="92">
        <f>'[236]Taman Bacaan'!K16</f>
        <v>6000000</v>
      </c>
      <c r="M61" s="75" t="s">
        <v>56</v>
      </c>
      <c r="N61" s="75"/>
      <c r="O61" s="75"/>
      <c r="P61" s="80"/>
      <c r="Q61" s="81" t="s">
        <v>57</v>
      </c>
      <c r="R61" s="57"/>
      <c r="S61" s="71">
        <f t="shared" si="0"/>
        <v>6000000</v>
      </c>
    </row>
    <row r="62" spans="1:19" s="58" customFormat="1" ht="45" customHeight="1" x14ac:dyDescent="0.25">
      <c r="A62" s="59" t="str">
        <f>[236]Poskesdes.!D7</f>
        <v>2.2</v>
      </c>
      <c r="B62" s="59" t="str">
        <f>[236]Poskesdes.!D8</f>
        <v>2.2.01</v>
      </c>
      <c r="C62" s="60"/>
      <c r="D62" s="61" t="str">
        <f>IFERROR(VLOOKUP(A62,'[236]Parameter Keg '!$B$3:$C$191,2),"")</f>
        <v>Sub Bidang Kesehatan</v>
      </c>
      <c r="E62" s="135">
        <v>18</v>
      </c>
      <c r="F62" s="210" t="str">
        <f>IFERROR(VLOOKUP(B62,'[236]Parameter Keg '!$B$3:$C$191,2),"")</f>
        <v>Penyelenggaraan Pos Kesehatan Desa/Polindes Milik Desa (obat, Insentif, KB, dsb)</v>
      </c>
      <c r="G62" s="211"/>
      <c r="H62" s="60"/>
      <c r="I62" s="60"/>
      <c r="J62" s="83"/>
      <c r="K62" s="66"/>
      <c r="L62" s="89"/>
      <c r="M62" s="60"/>
      <c r="N62" s="60"/>
      <c r="O62" s="60"/>
      <c r="P62" s="69"/>
      <c r="Q62" s="70" t="s">
        <v>87</v>
      </c>
      <c r="R62" s="57"/>
      <c r="S62" s="71">
        <f t="shared" si="0"/>
        <v>0</v>
      </c>
    </row>
    <row r="63" spans="1:19" s="58" customFormat="1" ht="30" x14ac:dyDescent="0.25">
      <c r="A63" s="59"/>
      <c r="B63" s="59"/>
      <c r="C63" s="60"/>
      <c r="D63" s="85" t="str">
        <f>IFERROR(VLOOKUP(A63,'[236]Parameter Keg '!$B$3:$C$191,2),"")</f>
        <v/>
      </c>
      <c r="E63" s="138"/>
      <c r="F63" s="139" t="s">
        <v>29</v>
      </c>
      <c r="G63" s="140" t="str">
        <f>[236]Poskesdes.!D16</f>
        <v>Dukungan penyelenggaraan Poskesdes Eramark Stunting</v>
      </c>
      <c r="H63" s="141" t="s">
        <v>51</v>
      </c>
      <c r="I63" s="75" t="s">
        <v>44</v>
      </c>
      <c r="J63" s="86" t="s">
        <v>58</v>
      </c>
      <c r="K63" s="77" t="s">
        <v>33</v>
      </c>
      <c r="L63" s="92">
        <f>[236]Poskesdes.!K16</f>
        <v>2672000</v>
      </c>
      <c r="M63" s="75" t="s">
        <v>56</v>
      </c>
      <c r="N63" s="79" t="s">
        <v>35</v>
      </c>
      <c r="O63" s="75"/>
      <c r="P63" s="80"/>
      <c r="Q63" s="81" t="s">
        <v>57</v>
      </c>
      <c r="R63" s="57"/>
      <c r="S63" s="71">
        <f t="shared" si="0"/>
        <v>2672000</v>
      </c>
    </row>
    <row r="64" spans="1:19" s="58" customFormat="1" ht="47.25" customHeight="1" x14ac:dyDescent="0.25">
      <c r="A64" s="59"/>
      <c r="B64" s="59" t="str">
        <f>[236]Posyandu.!D8</f>
        <v>2.2.02</v>
      </c>
      <c r="C64" s="60"/>
      <c r="D64" s="85" t="str">
        <f>IFERROR(VLOOKUP(A64,'[236]Parameter Keg '!$B$3:$C$191,2),"")</f>
        <v/>
      </c>
      <c r="E64" s="135">
        <v>19</v>
      </c>
      <c r="F64" s="210" t="str">
        <f>IFERROR(VLOOKUP(B64,'[236]Parameter Keg '!$B$3:$C$191,2),"")</f>
        <v>Penyelenggaraan Posyandu (Mkn Tambahan, Kls Bumil, Lamsia, Insentif)</v>
      </c>
      <c r="G64" s="211"/>
      <c r="H64" s="60"/>
      <c r="I64" s="60"/>
      <c r="J64" s="83"/>
      <c r="K64" s="66"/>
      <c r="L64" s="89"/>
      <c r="M64" s="60"/>
      <c r="N64" s="60"/>
      <c r="O64" s="60"/>
      <c r="P64" s="69"/>
      <c r="Q64" s="70"/>
      <c r="R64" s="57"/>
      <c r="S64" s="71">
        <f t="shared" si="0"/>
        <v>0</v>
      </c>
    </row>
    <row r="65" spans="1:19" s="58" customFormat="1" ht="30" x14ac:dyDescent="0.25">
      <c r="A65" s="59"/>
      <c r="B65" s="59"/>
      <c r="C65" s="60"/>
      <c r="D65" s="85"/>
      <c r="E65" s="135"/>
      <c r="F65" s="136" t="s">
        <v>29</v>
      </c>
      <c r="G65" s="104" t="str">
        <f>[236]Posyandu.!D16</f>
        <v>Dukungan Penyelenggaraan Posyandu Eramark Stunting</v>
      </c>
      <c r="H65" s="137" t="s">
        <v>51</v>
      </c>
      <c r="I65" s="60" t="s">
        <v>44</v>
      </c>
      <c r="J65" s="83" t="s">
        <v>88</v>
      </c>
      <c r="K65" s="66" t="s">
        <v>89</v>
      </c>
      <c r="L65" s="89">
        <f>[236]Posyandu.!K16</f>
        <v>49446000</v>
      </c>
      <c r="M65" s="60" t="s">
        <v>56</v>
      </c>
      <c r="N65" s="68" t="s">
        <v>35</v>
      </c>
      <c r="O65" s="60"/>
      <c r="P65" s="69"/>
      <c r="Q65" s="70" t="s">
        <v>57</v>
      </c>
      <c r="R65" s="57"/>
      <c r="S65" s="71">
        <f t="shared" si="0"/>
        <v>49446000</v>
      </c>
    </row>
    <row r="66" spans="1:19" s="58" customFormat="1" ht="30" x14ac:dyDescent="0.25">
      <c r="A66" s="59"/>
      <c r="B66" s="59"/>
      <c r="C66" s="60"/>
      <c r="D66" s="85"/>
      <c r="E66" s="135"/>
      <c r="F66" s="136" t="s">
        <v>37</v>
      </c>
      <c r="G66" s="104" t="str">
        <f>[236]Posyandu.!D31</f>
        <v>Pemberian PMT Bumil Balita Earmark Stunting</v>
      </c>
      <c r="H66" s="137" t="s">
        <v>51</v>
      </c>
      <c r="I66" s="60" t="s">
        <v>90</v>
      </c>
      <c r="J66" s="83" t="s">
        <v>91</v>
      </c>
      <c r="K66" s="66" t="s">
        <v>89</v>
      </c>
      <c r="L66" s="89">
        <f>[236]Posyandu.!K31</f>
        <v>9600000</v>
      </c>
      <c r="M66" s="60" t="s">
        <v>56</v>
      </c>
      <c r="N66" s="68" t="s">
        <v>35</v>
      </c>
      <c r="O66" s="60"/>
      <c r="P66" s="69"/>
      <c r="Q66" s="70" t="s">
        <v>57</v>
      </c>
      <c r="R66" s="57"/>
      <c r="S66" s="71">
        <f t="shared" si="0"/>
        <v>9600000</v>
      </c>
    </row>
    <row r="67" spans="1:19" s="58" customFormat="1" ht="30" x14ac:dyDescent="0.25">
      <c r="A67" s="59"/>
      <c r="B67" s="59"/>
      <c r="C67" s="60"/>
      <c r="D67" s="85"/>
      <c r="E67" s="135"/>
      <c r="F67" s="136" t="s">
        <v>73</v>
      </c>
      <c r="G67" s="104" t="str">
        <f>[236]Posyandu.!D42</f>
        <v>Kegiatan extra posyandu Eramark Stunting</v>
      </c>
      <c r="H67" s="137" t="s">
        <v>51</v>
      </c>
      <c r="I67" s="60" t="s">
        <v>44</v>
      </c>
      <c r="J67" s="83" t="s">
        <v>92</v>
      </c>
      <c r="K67" s="66" t="s">
        <v>85</v>
      </c>
      <c r="L67" s="89">
        <f>[236]Posyandu.!K42</f>
        <v>1000000</v>
      </c>
      <c r="M67" s="60" t="s">
        <v>56</v>
      </c>
      <c r="N67" s="68" t="s">
        <v>35</v>
      </c>
      <c r="O67" s="60"/>
      <c r="P67" s="69"/>
      <c r="Q67" s="70" t="s">
        <v>57</v>
      </c>
      <c r="R67" s="57"/>
      <c r="S67" s="71">
        <f t="shared" si="0"/>
        <v>1000000</v>
      </c>
    </row>
    <row r="68" spans="1:19" s="58" customFormat="1" ht="30" x14ac:dyDescent="0.25">
      <c r="A68" s="59"/>
      <c r="B68" s="59"/>
      <c r="C68" s="60"/>
      <c r="D68" s="85"/>
      <c r="E68" s="138"/>
      <c r="F68" s="139" t="s">
        <v>93</v>
      </c>
      <c r="G68" s="140" t="str">
        <f>[236]Posyandu.!D50</f>
        <v>Pemberian PMT Lansia Non Earmark</v>
      </c>
      <c r="H68" s="141" t="s">
        <v>51</v>
      </c>
      <c r="I68" s="75" t="s">
        <v>94</v>
      </c>
      <c r="J68" s="86" t="s">
        <v>95</v>
      </c>
      <c r="K68" s="77" t="s">
        <v>89</v>
      </c>
      <c r="L68" s="92">
        <f>[236]Posyandu.!K50</f>
        <v>14400000</v>
      </c>
      <c r="M68" s="75" t="s">
        <v>56</v>
      </c>
      <c r="N68" s="79" t="s">
        <v>35</v>
      </c>
      <c r="O68" s="75"/>
      <c r="P68" s="80"/>
      <c r="Q68" s="81" t="s">
        <v>57</v>
      </c>
      <c r="R68" s="57"/>
      <c r="S68" s="71">
        <f t="shared" si="0"/>
        <v>14400000</v>
      </c>
    </row>
    <row r="69" spans="1:19" s="58" customFormat="1" ht="30" customHeight="1" x14ac:dyDescent="0.25">
      <c r="A69" s="59"/>
      <c r="B69" s="59" t="str">
        <f>'[236]Siaga Kesehatan'!D8</f>
        <v>2.2.04</v>
      </c>
      <c r="C69" s="60"/>
      <c r="D69" s="85"/>
      <c r="E69" s="135">
        <v>20</v>
      </c>
      <c r="F69" s="210" t="str">
        <f>IFERROR(VLOOKUP(B69,'[236]Parameter Keg '!$B$3:$C$191,2),"")</f>
        <v>Penyelenggaraan Desa Siaga Kesehatan</v>
      </c>
      <c r="G69" s="211"/>
      <c r="H69" s="60"/>
      <c r="I69" s="60"/>
      <c r="J69" s="83"/>
      <c r="K69" s="66"/>
      <c r="L69" s="89"/>
      <c r="M69" s="60"/>
      <c r="N69" s="60"/>
      <c r="O69" s="60"/>
      <c r="P69" s="69"/>
      <c r="Q69" s="70" t="s">
        <v>57</v>
      </c>
      <c r="R69" s="57"/>
      <c r="S69" s="71">
        <f t="shared" si="0"/>
        <v>0</v>
      </c>
    </row>
    <row r="70" spans="1:19" s="58" customFormat="1" ht="30" x14ac:dyDescent="0.25">
      <c r="A70" s="59"/>
      <c r="B70" s="59"/>
      <c r="C70" s="60"/>
      <c r="D70" s="85"/>
      <c r="E70" s="138"/>
      <c r="F70" s="139" t="s">
        <v>29</v>
      </c>
      <c r="G70" s="140" t="str">
        <f>'[236]Siaga Kesehatan'!D16</f>
        <v>Dukungan penyelenggaraan desa siaga kesehatan Earmark</v>
      </c>
      <c r="H70" s="141" t="s">
        <v>51</v>
      </c>
      <c r="I70" s="75" t="s">
        <v>44</v>
      </c>
      <c r="J70" s="86" t="s">
        <v>58</v>
      </c>
      <c r="K70" s="77" t="s">
        <v>33</v>
      </c>
      <c r="L70" s="92">
        <f>'[236]Siaga Kesehatan'!K16</f>
        <v>44000000</v>
      </c>
      <c r="M70" s="75" t="s">
        <v>56</v>
      </c>
      <c r="N70" s="79" t="s">
        <v>35</v>
      </c>
      <c r="O70" s="75"/>
      <c r="P70" s="80"/>
      <c r="Q70" s="81" t="s">
        <v>57</v>
      </c>
      <c r="R70" s="57"/>
      <c r="S70" s="71">
        <f t="shared" si="0"/>
        <v>44000000</v>
      </c>
    </row>
    <row r="71" spans="1:19" s="58" customFormat="1" ht="33.75" customHeight="1" x14ac:dyDescent="0.25">
      <c r="A71" s="59"/>
      <c r="B71" s="59" t="str">
        <f>'[236]Pemeliharaan pokesdes'!D8</f>
        <v>2.2.08</v>
      </c>
      <c r="C71" s="60"/>
      <c r="D71" s="85"/>
      <c r="E71" s="135">
        <v>21</v>
      </c>
      <c r="F71" s="210" t="str">
        <f>IFERROR(VLOOKUP(B71,'[236]Parameter Keg '!$B$3:$C$191,2),"")</f>
        <v>Pemeliharaan Sarana Prasarana Posyandu/Polindes/PKD</v>
      </c>
      <c r="G71" s="211"/>
      <c r="H71" s="60"/>
      <c r="I71" s="60"/>
      <c r="J71" s="83"/>
      <c r="K71" s="66"/>
      <c r="L71" s="89"/>
      <c r="M71" s="60"/>
      <c r="N71" s="60"/>
      <c r="O71" s="60"/>
      <c r="P71" s="69"/>
      <c r="Q71" s="70"/>
      <c r="R71" s="57"/>
      <c r="S71" s="71">
        <f t="shared" si="0"/>
        <v>0</v>
      </c>
    </row>
    <row r="72" spans="1:19" s="58" customFormat="1" ht="30" x14ac:dyDescent="0.25">
      <c r="A72" s="59"/>
      <c r="B72" s="59"/>
      <c r="C72" s="60"/>
      <c r="D72" s="85"/>
      <c r="E72" s="138"/>
      <c r="F72" s="139" t="s">
        <v>29</v>
      </c>
      <c r="G72" s="140" t="str">
        <f>'[236]Pemeliharaan pokesdes'!D17</f>
        <v>Pemeliharaan gedung poskesdes Non Earmark</v>
      </c>
      <c r="H72" s="75" t="s">
        <v>96</v>
      </c>
      <c r="I72" s="75" t="s">
        <v>97</v>
      </c>
      <c r="J72" s="86" t="s">
        <v>58</v>
      </c>
      <c r="K72" s="77" t="s">
        <v>74</v>
      </c>
      <c r="L72" s="92">
        <f>'[236]Pemeliharaan pokesdes'!J17</f>
        <v>2250000</v>
      </c>
      <c r="M72" s="75" t="s">
        <v>56</v>
      </c>
      <c r="N72" s="79" t="s">
        <v>35</v>
      </c>
      <c r="O72" s="75"/>
      <c r="P72" s="80"/>
      <c r="Q72" s="81" t="s">
        <v>57</v>
      </c>
      <c r="R72" s="57"/>
      <c r="S72" s="71">
        <f t="shared" si="0"/>
        <v>2250000</v>
      </c>
    </row>
    <row r="73" spans="1:19" s="58" customFormat="1" ht="47.25" customHeight="1" x14ac:dyDescent="0.25">
      <c r="A73" s="59"/>
      <c r="B73" s="59" t="str">
        <f>'[236]Pagar Poskesdes'!D8</f>
        <v>2.2.09</v>
      </c>
      <c r="C73" s="60"/>
      <c r="D73" s="85"/>
      <c r="E73" s="135">
        <v>22</v>
      </c>
      <c r="F73" s="210" t="str">
        <f>IFERROR(VLOOKUP(B73,'[236]Parameter Keg '!$B$3:$C$191,2),"")</f>
        <v>Pembangunan/Rehabilitasi/Peningkatan/Pengadaan Sarana/Prasarana Posyandu/Polindes/PKD **</v>
      </c>
      <c r="G73" s="211"/>
      <c r="H73" s="60"/>
      <c r="I73" s="60"/>
      <c r="J73" s="83"/>
      <c r="K73" s="66"/>
      <c r="L73" s="89"/>
      <c r="M73" s="60"/>
      <c r="N73" s="60"/>
      <c r="O73" s="60"/>
      <c r="P73" s="69"/>
      <c r="Q73" s="70"/>
      <c r="R73" s="57"/>
      <c r="S73" s="71">
        <f t="shared" si="0"/>
        <v>0</v>
      </c>
    </row>
    <row r="74" spans="1:19" s="58" customFormat="1" ht="30" x14ac:dyDescent="0.25">
      <c r="A74" s="59"/>
      <c r="B74" s="59"/>
      <c r="C74" s="60"/>
      <c r="D74" s="90"/>
      <c r="E74" s="138"/>
      <c r="F74" s="139" t="s">
        <v>29</v>
      </c>
      <c r="G74" s="140" t="str">
        <f>'[236]Pagar Poskesdes'!D16</f>
        <v>Pembangunan pagar Poskesdes Earmark PKTD 35,20 mtr</v>
      </c>
      <c r="H74" s="75" t="s">
        <v>96</v>
      </c>
      <c r="I74" s="75" t="s">
        <v>98</v>
      </c>
      <c r="J74" s="86" t="s">
        <v>58</v>
      </c>
      <c r="K74" s="77" t="s">
        <v>99</v>
      </c>
      <c r="L74" s="92">
        <f>'[236]Pagar Poskesdes'!K15</f>
        <v>20247000</v>
      </c>
      <c r="M74" s="75" t="s">
        <v>56</v>
      </c>
      <c r="N74" s="79" t="s">
        <v>35</v>
      </c>
      <c r="O74" s="75"/>
      <c r="P74" s="80"/>
      <c r="Q74" s="81" t="s">
        <v>100</v>
      </c>
      <c r="R74" s="57"/>
      <c r="S74" s="71">
        <f t="shared" si="0"/>
        <v>20247000</v>
      </c>
    </row>
    <row r="75" spans="1:19" s="58" customFormat="1" ht="29.25" customHeight="1" x14ac:dyDescent="0.25">
      <c r="A75" s="59" t="str">
        <f>'[236]Pemeliharaan jalan'!D7</f>
        <v>2.3</v>
      </c>
      <c r="B75" s="59" t="str">
        <f>'[236]Pemeliharaan jalan'!D8</f>
        <v>2.3.01</v>
      </c>
      <c r="C75" s="60"/>
      <c r="D75" s="212" t="str">
        <f>IFERROR(VLOOKUP(A75,'[236]Parameter Keg '!$B$3:$C$191,2),"")</f>
        <v>Sub Bidang Pekerjaan Umum dan Penataan Ruang</v>
      </c>
      <c r="E75" s="142">
        <v>23</v>
      </c>
      <c r="F75" s="210" t="str">
        <f>IFERROR(VLOOKUP(B75,'[236]Parameter Keg '!$B$3:$C$191,2),"")</f>
        <v>Pemeliharaan Jalan Desa</v>
      </c>
      <c r="G75" s="211"/>
      <c r="H75" s="143"/>
      <c r="I75" s="49"/>
      <c r="J75" s="144"/>
      <c r="K75" s="53"/>
      <c r="L75" s="111"/>
      <c r="M75" s="49"/>
      <c r="N75" s="112"/>
      <c r="O75" s="49"/>
      <c r="P75" s="55"/>
      <c r="Q75" s="56"/>
      <c r="R75" s="57"/>
      <c r="S75" s="71">
        <f t="shared" si="0"/>
        <v>0</v>
      </c>
    </row>
    <row r="76" spans="1:19" s="58" customFormat="1" ht="30" x14ac:dyDescent="0.25">
      <c r="A76" s="59"/>
      <c r="B76" s="59"/>
      <c r="C76" s="75"/>
      <c r="D76" s="213"/>
      <c r="E76" s="138"/>
      <c r="F76" s="139" t="s">
        <v>29</v>
      </c>
      <c r="G76" s="140" t="str">
        <f>'[236]Pemeliharaan jalan'!D16</f>
        <v>Pemeliharaan jalan desa sepanjang 1610 mtr Non Earmark</v>
      </c>
      <c r="H76" s="141" t="s">
        <v>51</v>
      </c>
      <c r="I76" s="75" t="s">
        <v>101</v>
      </c>
      <c r="J76" s="86" t="s">
        <v>102</v>
      </c>
      <c r="K76" s="77" t="s">
        <v>103</v>
      </c>
      <c r="L76" s="92">
        <f>'[236]Pemeliharaan jalan'!K15</f>
        <v>2820000</v>
      </c>
      <c r="M76" s="75" t="s">
        <v>56</v>
      </c>
      <c r="N76" s="79" t="s">
        <v>35</v>
      </c>
      <c r="O76" s="75"/>
      <c r="P76" s="80"/>
      <c r="Q76" s="81" t="s">
        <v>53</v>
      </c>
      <c r="R76" s="57"/>
      <c r="S76" s="71">
        <f t="shared" si="0"/>
        <v>2820000</v>
      </c>
    </row>
    <row r="77" spans="1:19" s="58" customFormat="1" ht="35.25" customHeight="1" x14ac:dyDescent="0.25">
      <c r="A77" s="59"/>
      <c r="B77" s="59" t="str">
        <f>'[236]Rabat Beton.'!D8</f>
        <v>2.3.10</v>
      </c>
      <c r="C77" s="60"/>
      <c r="D77" s="85"/>
      <c r="E77" s="135">
        <v>24</v>
      </c>
      <c r="F77" s="208" t="str">
        <f>IFERROR(VLOOKUP(B77,'[236]Parameter Keg '!$B$3:$C$191,2),"")</f>
        <v>Pembangunan/Rehabilitas/Peningkatan/Pengerasan Jalan Desa **)</v>
      </c>
      <c r="G77" s="209"/>
      <c r="H77" s="60"/>
      <c r="I77" s="60"/>
      <c r="J77" s="83"/>
      <c r="K77" s="66"/>
      <c r="L77" s="89"/>
      <c r="M77" s="60"/>
      <c r="N77" s="60"/>
      <c r="O77" s="60"/>
      <c r="P77" s="69"/>
      <c r="Q77" s="70"/>
      <c r="R77" s="57"/>
      <c r="S77" s="71">
        <f t="shared" si="0"/>
        <v>0</v>
      </c>
    </row>
    <row r="78" spans="1:19" s="58" customFormat="1" ht="45" x14ac:dyDescent="0.25">
      <c r="A78" s="59"/>
      <c r="B78" s="59"/>
      <c r="C78" s="60"/>
      <c r="D78" s="145"/>
      <c r="E78" s="135"/>
      <c r="F78" s="136" t="s">
        <v>29</v>
      </c>
      <c r="G78" s="104" t="str">
        <f>'[236]Rabat Beton.'!D17</f>
        <v>Pembangunan Rabat beton Jl Lrg Gereja Dsn II  (0,15x3,0 x 114 mtr) Earmark PKTD</v>
      </c>
      <c r="H78" s="60" t="s">
        <v>96</v>
      </c>
      <c r="I78" s="60" t="s">
        <v>104</v>
      </c>
      <c r="J78" s="83" t="s">
        <v>58</v>
      </c>
      <c r="K78" s="66" t="s">
        <v>105</v>
      </c>
      <c r="L78" s="89">
        <f>'[236]Rabat Beton.'!K16</f>
        <v>81325000</v>
      </c>
      <c r="M78" s="60" t="s">
        <v>56</v>
      </c>
      <c r="N78" s="68" t="s">
        <v>35</v>
      </c>
      <c r="O78" s="60"/>
      <c r="P78" s="69"/>
      <c r="Q78" s="70" t="s">
        <v>100</v>
      </c>
      <c r="R78" s="57"/>
      <c r="S78" s="71">
        <f t="shared" si="0"/>
        <v>81325000</v>
      </c>
    </row>
    <row r="79" spans="1:19" s="58" customFormat="1" ht="45" x14ac:dyDescent="0.25">
      <c r="A79" s="59"/>
      <c r="B79" s="59"/>
      <c r="C79" s="60"/>
      <c r="D79" s="85"/>
      <c r="E79" s="138"/>
      <c r="F79" s="139" t="s">
        <v>37</v>
      </c>
      <c r="G79" s="140" t="str">
        <f>'[236]Rabat Beton.'!D49</f>
        <v>Pembangunan Rabat beton Jl Lrg Korontua 3 Dsn II  (0,15x3,0 x 119 mtr)</v>
      </c>
      <c r="H79" s="75" t="s">
        <v>96</v>
      </c>
      <c r="I79" s="75" t="s">
        <v>106</v>
      </c>
      <c r="J79" s="86" t="s">
        <v>58</v>
      </c>
      <c r="K79" s="77" t="s">
        <v>105</v>
      </c>
      <c r="L79" s="92">
        <f>'[236]Rabat Beton.'!K49</f>
        <v>84500000</v>
      </c>
      <c r="M79" s="75" t="s">
        <v>56</v>
      </c>
      <c r="N79" s="79" t="s">
        <v>35</v>
      </c>
      <c r="O79" s="75"/>
      <c r="P79" s="80"/>
      <c r="Q79" s="81" t="s">
        <v>100</v>
      </c>
      <c r="R79" s="57"/>
      <c r="S79" s="71">
        <f t="shared" si="0"/>
        <v>84500000</v>
      </c>
    </row>
    <row r="80" spans="1:19" s="58" customFormat="1" ht="31.5" customHeight="1" x14ac:dyDescent="0.25">
      <c r="A80" s="59"/>
      <c r="B80" s="59"/>
      <c r="C80" s="60"/>
      <c r="D80" s="85"/>
      <c r="E80" s="135"/>
      <c r="F80" s="136" t="s">
        <v>73</v>
      </c>
      <c r="G80" s="104" t="str">
        <f>'[236]Rabat Beton.'!D82</f>
        <v>Pembangunan Rabat beton Jl ex PNPM  Dsn II  (0,15x3,0 x 257,60 mtr)</v>
      </c>
      <c r="H80" s="60" t="s">
        <v>96</v>
      </c>
      <c r="I80" s="60" t="s">
        <v>107</v>
      </c>
      <c r="J80" s="83" t="s">
        <v>58</v>
      </c>
      <c r="K80" s="66" t="s">
        <v>108</v>
      </c>
      <c r="L80" s="89">
        <f>'[236]Rabat Beton.'!K82</f>
        <v>158000000</v>
      </c>
      <c r="M80" s="60" t="s">
        <v>56</v>
      </c>
      <c r="N80" s="68" t="s">
        <v>35</v>
      </c>
      <c r="O80" s="60"/>
      <c r="P80" s="69"/>
      <c r="Q80" s="70" t="s">
        <v>100</v>
      </c>
      <c r="R80" s="57"/>
      <c r="S80" s="71">
        <f t="shared" si="0"/>
        <v>158000000</v>
      </c>
    </row>
    <row r="81" spans="1:19" s="58" customFormat="1" ht="45" x14ac:dyDescent="0.25">
      <c r="A81" s="59"/>
      <c r="B81" s="59"/>
      <c r="C81" s="60"/>
      <c r="D81" s="90"/>
      <c r="E81" s="138"/>
      <c r="F81" s="139" t="s">
        <v>93</v>
      </c>
      <c r="G81" s="140" t="str">
        <f>'[236]Rabat Beton.'!D115</f>
        <v>Pembangunan Rabat beton Jl Korontua 4 Dsn II  (0,15x3,0 x 76 mtr)</v>
      </c>
      <c r="H81" s="75" t="s">
        <v>96</v>
      </c>
      <c r="I81" s="75" t="s">
        <v>109</v>
      </c>
      <c r="J81" s="86" t="s">
        <v>58</v>
      </c>
      <c r="K81" s="77" t="s">
        <v>105</v>
      </c>
      <c r="L81" s="92">
        <f>'[236]Rabat Beton.'!K115</f>
        <v>61275000</v>
      </c>
      <c r="M81" s="75" t="s">
        <v>56</v>
      </c>
      <c r="N81" s="79" t="s">
        <v>35</v>
      </c>
      <c r="O81" s="75"/>
      <c r="P81" s="80"/>
      <c r="Q81" s="81" t="s">
        <v>100</v>
      </c>
      <c r="R81" s="57"/>
      <c r="S81" s="71">
        <f t="shared" si="0"/>
        <v>61275000</v>
      </c>
    </row>
    <row r="82" spans="1:19" s="58" customFormat="1" ht="15" customHeight="1" x14ac:dyDescent="0.25">
      <c r="A82" s="59" t="str">
        <f>'[236]Baliho APBDes'!D7</f>
        <v>2.6</v>
      </c>
      <c r="B82" s="59" t="str">
        <f>'[236]Baliho APBDes'!D8</f>
        <v>2.6.02</v>
      </c>
      <c r="C82" s="60"/>
      <c r="D82" s="212" t="str">
        <f>IFERROR(VLOOKUP(A82,'[236]Parameter Keg '!$B$3:$C$191,2),"")</f>
        <v>Sub Bidang Perhubungan, Komunikasi dan Informatika</v>
      </c>
      <c r="E82" s="135">
        <v>25</v>
      </c>
      <c r="F82" s="210" t="str">
        <f>IFERROR(VLOOKUP(B82,'[236]Parameter Keg '!$B$3:$C$191,2),"")</f>
        <v>Penyelenggaraan Informasi Publik Desa (Poster, Baliho Dll)</v>
      </c>
      <c r="G82" s="211"/>
      <c r="H82" s="60"/>
      <c r="I82" s="60"/>
      <c r="J82" s="83"/>
      <c r="K82" s="66"/>
      <c r="L82" s="89"/>
      <c r="M82" s="60"/>
      <c r="N82" s="60"/>
      <c r="O82" s="60"/>
      <c r="P82" s="69"/>
      <c r="Q82" s="70"/>
      <c r="R82" s="57"/>
      <c r="S82" s="71">
        <f t="shared" ref="S82:S115" si="1">L82-R82</f>
        <v>0</v>
      </c>
    </row>
    <row r="83" spans="1:19" s="58" customFormat="1" ht="30" x14ac:dyDescent="0.25">
      <c r="A83" s="59"/>
      <c r="B83" s="59"/>
      <c r="C83" s="60"/>
      <c r="D83" s="207"/>
      <c r="E83" s="138"/>
      <c r="F83" s="139" t="s">
        <v>29</v>
      </c>
      <c r="G83" s="140" t="str">
        <f>'[236]Baliho APBDes'!D16</f>
        <v>Pengadaan baliho APBDes TA 2026</v>
      </c>
      <c r="H83" s="75" t="s">
        <v>30</v>
      </c>
      <c r="I83" s="75" t="s">
        <v>110</v>
      </c>
      <c r="J83" s="86" t="s">
        <v>58</v>
      </c>
      <c r="K83" s="77" t="s">
        <v>85</v>
      </c>
      <c r="L83" s="92">
        <f>'[236]Baliho APBDes'!K16</f>
        <v>900000</v>
      </c>
      <c r="M83" s="75" t="s">
        <v>56</v>
      </c>
      <c r="N83" s="79" t="s">
        <v>35</v>
      </c>
      <c r="O83" s="75"/>
      <c r="P83" s="80"/>
      <c r="Q83" s="81" t="s">
        <v>67</v>
      </c>
      <c r="R83" s="57"/>
      <c r="S83" s="71">
        <f t="shared" si="1"/>
        <v>900000</v>
      </c>
    </row>
    <row r="84" spans="1:19" s="58" customFormat="1" ht="48.75" customHeight="1" x14ac:dyDescent="0.25">
      <c r="A84" s="59"/>
      <c r="B84" s="59" t="str">
        <f>'[236]Informasi Desa.'!D8</f>
        <v>2.6.03</v>
      </c>
      <c r="C84" s="60"/>
      <c r="D84" s="85"/>
      <c r="E84" s="135">
        <v>26</v>
      </c>
      <c r="F84" s="210" t="str">
        <f>IFERROR(VLOOKUP(B84,'[236]Parameter Keg '!$B$3:$C$191,2),"")</f>
        <v>Pengelolaan dan Pembuatan Jaringan/Instalasi Komunikasi dan Informasi Lokal Desa</v>
      </c>
      <c r="G84" s="211"/>
      <c r="H84" s="60"/>
      <c r="I84" s="60"/>
      <c r="J84" s="83"/>
      <c r="K84" s="66"/>
      <c r="L84" s="89"/>
      <c r="M84" s="60"/>
      <c r="N84" s="60"/>
      <c r="O84" s="60"/>
      <c r="P84" s="69"/>
      <c r="Q84" s="70"/>
      <c r="R84" s="57"/>
      <c r="S84" s="71">
        <f t="shared" si="1"/>
        <v>0</v>
      </c>
    </row>
    <row r="85" spans="1:19" s="58" customFormat="1" ht="30" x14ac:dyDescent="0.25">
      <c r="A85" s="59"/>
      <c r="B85" s="59"/>
      <c r="C85" s="60"/>
      <c r="D85" s="85"/>
      <c r="E85" s="135"/>
      <c r="F85" s="136" t="s">
        <v>29</v>
      </c>
      <c r="G85" s="104" t="str">
        <f>'[236]Informasi Desa.'!D16</f>
        <v>Iuran Internet Desa</v>
      </c>
      <c r="H85" s="137" t="s">
        <v>51</v>
      </c>
      <c r="I85" s="60" t="s">
        <v>97</v>
      </c>
      <c r="J85" s="83" t="s">
        <v>58</v>
      </c>
      <c r="K85" s="66" t="s">
        <v>33</v>
      </c>
      <c r="L85" s="89">
        <f>'[236]Informasi Desa.'!K16</f>
        <v>3600000</v>
      </c>
      <c r="M85" s="60" t="s">
        <v>56</v>
      </c>
      <c r="N85" s="68" t="s">
        <v>35</v>
      </c>
      <c r="O85" s="60"/>
      <c r="P85" s="69"/>
      <c r="Q85" s="70" t="s">
        <v>87</v>
      </c>
      <c r="R85" s="57"/>
      <c r="S85" s="71">
        <f t="shared" si="1"/>
        <v>3600000</v>
      </c>
    </row>
    <row r="86" spans="1:19" s="58" customFormat="1" ht="45" x14ac:dyDescent="0.25">
      <c r="A86" s="59"/>
      <c r="B86" s="59"/>
      <c r="C86" s="60"/>
      <c r="D86" s="85"/>
      <c r="E86" s="135"/>
      <c r="F86" s="136" t="s">
        <v>37</v>
      </c>
      <c r="G86" s="104" t="str">
        <f>'[236]Informasi Desa.'!D21</f>
        <v>Pembuatan dan Pengelolaan Jaringan/Instalasi Komunikasi dan Informasi Lokal Desa</v>
      </c>
      <c r="H86" s="137" t="s">
        <v>51</v>
      </c>
      <c r="I86" s="60" t="s">
        <v>97</v>
      </c>
      <c r="J86" s="83" t="s">
        <v>58</v>
      </c>
      <c r="K86" s="66" t="s">
        <v>105</v>
      </c>
      <c r="L86" s="89">
        <f>'[236]Informasi Desa.'!K21</f>
        <v>125000000</v>
      </c>
      <c r="M86" s="60" t="s">
        <v>56</v>
      </c>
      <c r="N86" s="60"/>
      <c r="O86" s="60"/>
      <c r="P86" s="68" t="s">
        <v>35</v>
      </c>
      <c r="Q86" s="70" t="s">
        <v>87</v>
      </c>
      <c r="R86" s="57"/>
      <c r="S86" s="71">
        <f t="shared" si="1"/>
        <v>125000000</v>
      </c>
    </row>
    <row r="87" spans="1:19" s="58" customFormat="1" ht="30" x14ac:dyDescent="0.25">
      <c r="A87" s="59"/>
      <c r="B87" s="59"/>
      <c r="C87" s="60"/>
      <c r="D87" s="85"/>
      <c r="E87" s="138"/>
      <c r="F87" s="139" t="s">
        <v>73</v>
      </c>
      <c r="G87" s="140" t="str">
        <f>'[236]Informasi Desa.'!D34</f>
        <v>Pengelolaan informasi desa</v>
      </c>
      <c r="H87" s="141" t="s">
        <v>51</v>
      </c>
      <c r="I87" s="75" t="s">
        <v>111</v>
      </c>
      <c r="J87" s="86" t="s">
        <v>112</v>
      </c>
      <c r="K87" s="77" t="s">
        <v>33</v>
      </c>
      <c r="L87" s="92">
        <f>'[236]Informasi Desa.'!K34</f>
        <v>12000000</v>
      </c>
      <c r="M87" s="75" t="s">
        <v>56</v>
      </c>
      <c r="N87" s="79" t="s">
        <v>35</v>
      </c>
      <c r="O87" s="75"/>
      <c r="P87" s="79" t="s">
        <v>35</v>
      </c>
      <c r="Q87" s="81" t="s">
        <v>87</v>
      </c>
      <c r="R87" s="57"/>
      <c r="S87" s="71">
        <f t="shared" si="1"/>
        <v>12000000</v>
      </c>
    </row>
    <row r="88" spans="1:19" s="58" customFormat="1" x14ac:dyDescent="0.25">
      <c r="A88" s="59"/>
      <c r="B88" s="59"/>
      <c r="C88" s="118"/>
      <c r="D88" s="119" t="str">
        <f>IFERROR(VLOOKUP(B88,'[236]Parameter Keg '!$B$3:$C$191,2),"")</f>
        <v/>
      </c>
      <c r="E88" s="120"/>
      <c r="F88" s="121"/>
      <c r="G88" s="120"/>
      <c r="H88" s="122"/>
      <c r="I88" s="122"/>
      <c r="J88" s="122"/>
      <c r="K88" s="146" t="s">
        <v>113</v>
      </c>
      <c r="L88" s="124">
        <f>SUM(L54:L87)</f>
        <v>716730000</v>
      </c>
      <c r="M88" s="122"/>
      <c r="N88" s="122"/>
      <c r="O88" s="122"/>
      <c r="P88" s="125"/>
      <c r="Q88" s="126"/>
      <c r="R88" s="57"/>
      <c r="S88" s="71"/>
    </row>
    <row r="89" spans="1:19" s="58" customFormat="1" ht="3.75" customHeight="1" x14ac:dyDescent="0.25">
      <c r="A89" s="59"/>
      <c r="B89" s="59"/>
      <c r="C89" s="127"/>
      <c r="D89" s="128" t="str">
        <f>IFERROR(VLOOKUP(A89,'[236]Parameter Keg '!$B$3:$C$191,2),"")</f>
        <v/>
      </c>
      <c r="E89" s="128"/>
      <c r="F89" s="129"/>
      <c r="G89" s="128" t="str">
        <f>IFERROR(VLOOKUP(B89,'[236]Parameter Keg '!$B$3:$C$191,2),"")</f>
        <v/>
      </c>
      <c r="H89" s="130"/>
      <c r="I89" s="130"/>
      <c r="J89" s="130"/>
      <c r="K89" s="130"/>
      <c r="L89" s="131"/>
      <c r="M89" s="130"/>
      <c r="N89" s="130"/>
      <c r="O89" s="130"/>
      <c r="P89" s="132"/>
      <c r="Q89" s="133"/>
      <c r="R89" s="57"/>
      <c r="S89" s="71"/>
    </row>
    <row r="90" spans="1:19" s="47" customFormat="1" x14ac:dyDescent="0.25">
      <c r="A90" s="36"/>
      <c r="B90" s="36"/>
      <c r="C90" s="37">
        <v>3</v>
      </c>
      <c r="D90" s="38" t="s">
        <v>114</v>
      </c>
      <c r="E90" s="39"/>
      <c r="F90" s="40"/>
      <c r="G90" s="39"/>
      <c r="H90" s="41"/>
      <c r="I90" s="41"/>
      <c r="J90" s="41"/>
      <c r="K90" s="41"/>
      <c r="L90" s="42">
        <f>L100</f>
        <v>37200000</v>
      </c>
      <c r="M90" s="43"/>
      <c r="N90" s="41"/>
      <c r="O90" s="41"/>
      <c r="P90" s="44"/>
      <c r="Q90" s="134"/>
      <c r="R90" s="46"/>
      <c r="S90" s="71"/>
    </row>
    <row r="91" spans="1:19" s="58" customFormat="1" ht="45" customHeight="1" x14ac:dyDescent="0.25">
      <c r="A91" s="59" t="str">
        <f>'[236]Honor Imam_pdt'!D7</f>
        <v>3.2</v>
      </c>
      <c r="B91" s="59" t="str">
        <f>'[236]Honor Imam_pdt'!D8</f>
        <v>3.2.03</v>
      </c>
      <c r="C91" s="60"/>
      <c r="D91" s="61" t="str">
        <f>IFERROR(VLOOKUP(A91,'[236]Parameter Keg '!$B$3:$C$191,2),"")</f>
        <v>Sub Bidang Kebudayaan dan Keagamaan</v>
      </c>
      <c r="E91" s="135">
        <v>27</v>
      </c>
      <c r="F91" s="210" t="str">
        <f>IFERROR(VLOOKUP(B91,'[236]Parameter Keg '!$B$3:$C$191,2),"")</f>
        <v>Penyelenggaran Festival Kesenian, Adat/Kebudayaan, dan Kegamaan (HUT RI, Raya Keagamaan dll)</v>
      </c>
      <c r="G91" s="211"/>
      <c r="H91" s="60"/>
      <c r="I91" s="60"/>
      <c r="J91" s="65"/>
      <c r="K91" s="66"/>
      <c r="L91" s="89"/>
      <c r="M91" s="60"/>
      <c r="N91" s="60"/>
      <c r="O91" s="60"/>
      <c r="P91" s="69"/>
      <c r="Q91" s="70"/>
      <c r="R91" s="57"/>
      <c r="S91" s="71">
        <f t="shared" si="1"/>
        <v>0</v>
      </c>
    </row>
    <row r="92" spans="1:19" s="58" customFormat="1" ht="30" x14ac:dyDescent="0.25">
      <c r="A92" s="59"/>
      <c r="B92" s="48"/>
      <c r="C92" s="60"/>
      <c r="D92" s="85" t="str">
        <f>IFERROR(VLOOKUP(A92,'[236]Parameter Keg '!$B$3:$C$191,2),"")</f>
        <v/>
      </c>
      <c r="E92" s="135"/>
      <c r="F92" s="136" t="s">
        <v>29</v>
      </c>
      <c r="G92" s="104" t="str">
        <f>'[236]Honor Imam_pdt'!D16</f>
        <v>Honorarium Imam/pegawai sara dan Pendeta</v>
      </c>
      <c r="H92" s="137" t="s">
        <v>51</v>
      </c>
      <c r="I92" s="60" t="s">
        <v>44</v>
      </c>
      <c r="J92" s="83" t="s">
        <v>115</v>
      </c>
      <c r="K92" s="66" t="s">
        <v>33</v>
      </c>
      <c r="L92" s="89">
        <f>'[236]Honor Imam_pdt'!K16</f>
        <v>19200000</v>
      </c>
      <c r="M92" s="60" t="s">
        <v>56</v>
      </c>
      <c r="N92" s="68" t="s">
        <v>35</v>
      </c>
      <c r="O92" s="60"/>
      <c r="P92" s="69"/>
      <c r="Q92" s="70" t="s">
        <v>53</v>
      </c>
      <c r="R92" s="57"/>
      <c r="S92" s="71">
        <f t="shared" si="1"/>
        <v>19200000</v>
      </c>
    </row>
    <row r="93" spans="1:19" s="58" customFormat="1" ht="30" x14ac:dyDescent="0.25">
      <c r="A93" s="59"/>
      <c r="B93" s="48"/>
      <c r="C93" s="75"/>
      <c r="D93" s="90"/>
      <c r="E93" s="138"/>
      <c r="F93" s="139" t="s">
        <v>37</v>
      </c>
      <c r="G93" s="140" t="str">
        <f>'[236]Honor Imam_pdt'!D22</f>
        <v>Bantuan kegiatan keagamaan</v>
      </c>
      <c r="H93" s="141" t="s">
        <v>51</v>
      </c>
      <c r="I93" s="75" t="s">
        <v>111</v>
      </c>
      <c r="J93" s="86" t="s">
        <v>116</v>
      </c>
      <c r="K93" s="77" t="s">
        <v>117</v>
      </c>
      <c r="L93" s="92">
        <f>'[236]Honor Imam_pdt'!K22</f>
        <v>9000000</v>
      </c>
      <c r="M93" s="75" t="s">
        <v>56</v>
      </c>
      <c r="N93" s="79" t="s">
        <v>35</v>
      </c>
      <c r="O93" s="75"/>
      <c r="P93" s="80"/>
      <c r="Q93" s="81" t="s">
        <v>57</v>
      </c>
      <c r="R93" s="57"/>
      <c r="S93" s="71"/>
    </row>
    <row r="94" spans="1:19" s="58" customFormat="1" ht="18.75" customHeight="1" x14ac:dyDescent="0.25">
      <c r="A94" s="59" t="str">
        <f>'[236]L Adat'!D7</f>
        <v>3.4</v>
      </c>
      <c r="B94" s="48" t="str">
        <f>'[236]L Adat'!D8</f>
        <v>3.4.01</v>
      </c>
      <c r="C94" s="60"/>
      <c r="D94" s="207" t="str">
        <f>IFERROR(VLOOKUP(A94,'[236]Parameter Keg '!$B$3:$C$191,2),"")</f>
        <v>Sub Bidang Kelembagaan Masyarakat</v>
      </c>
      <c r="E94" s="135">
        <v>28</v>
      </c>
      <c r="F94" s="63" t="str">
        <f>IFERROR(VLOOKUP(B94,'[236]Parameter Keg '!$B$3:$C$191,2),"")</f>
        <v>Pembinaan Lembaga Adat</v>
      </c>
      <c r="G94" s="147"/>
      <c r="H94" s="60"/>
      <c r="I94" s="60"/>
      <c r="J94" s="83"/>
      <c r="K94" s="66"/>
      <c r="L94" s="89"/>
      <c r="M94" s="60"/>
      <c r="N94" s="60"/>
      <c r="O94" s="60"/>
      <c r="P94" s="69"/>
      <c r="Q94" s="70"/>
      <c r="R94" s="57"/>
      <c r="S94" s="71">
        <f t="shared" si="1"/>
        <v>0</v>
      </c>
    </row>
    <row r="95" spans="1:19" s="58" customFormat="1" ht="30" x14ac:dyDescent="0.25">
      <c r="A95" s="59"/>
      <c r="B95" s="48"/>
      <c r="C95" s="60"/>
      <c r="D95" s="207"/>
      <c r="E95" s="138"/>
      <c r="F95" s="139" t="s">
        <v>29</v>
      </c>
      <c r="G95" s="140" t="str">
        <f>'[236]L Adat'!D16</f>
        <v>Dukungan operasional Lembaga Adat Desa</v>
      </c>
      <c r="H95" s="141" t="s">
        <v>51</v>
      </c>
      <c r="I95" s="75" t="s">
        <v>44</v>
      </c>
      <c r="J95" s="86" t="s">
        <v>118</v>
      </c>
      <c r="K95" s="77" t="s">
        <v>33</v>
      </c>
      <c r="L95" s="92">
        <f>'[236]L Adat'!K16</f>
        <v>1000000</v>
      </c>
      <c r="M95" s="75" t="s">
        <v>34</v>
      </c>
      <c r="N95" s="79" t="s">
        <v>35</v>
      </c>
      <c r="O95" s="75"/>
      <c r="P95" s="80"/>
      <c r="Q95" s="81" t="s">
        <v>53</v>
      </c>
      <c r="R95" s="57"/>
      <c r="S95" s="71">
        <f t="shared" si="1"/>
        <v>1000000</v>
      </c>
    </row>
    <row r="96" spans="1:19" s="58" customFormat="1" x14ac:dyDescent="0.25">
      <c r="A96" s="59"/>
      <c r="B96" s="48" t="str">
        <f>[236]LPM.!D8</f>
        <v>3.4.02</v>
      </c>
      <c r="C96" s="60"/>
      <c r="D96" s="117"/>
      <c r="E96" s="135">
        <v>29</v>
      </c>
      <c r="F96" s="148" t="str">
        <f>IFERROR(VLOOKUP(B96,'[236]Parameter Keg '!$B$3:$C$191,2),"")</f>
        <v>Pembinaan LKMD/LPM/LPMD</v>
      </c>
      <c r="G96" s="94"/>
      <c r="H96" s="60"/>
      <c r="I96" s="60"/>
      <c r="J96" s="83"/>
      <c r="K96" s="66"/>
      <c r="L96" s="89"/>
      <c r="M96" s="60"/>
      <c r="N96" s="60"/>
      <c r="O96" s="60"/>
      <c r="P96" s="69"/>
      <c r="Q96" s="70"/>
      <c r="R96" s="57"/>
      <c r="S96" s="71">
        <f t="shared" si="1"/>
        <v>0</v>
      </c>
    </row>
    <row r="97" spans="1:19" s="58" customFormat="1" ht="30" x14ac:dyDescent="0.25">
      <c r="A97" s="59"/>
      <c r="B97" s="48"/>
      <c r="C97" s="60"/>
      <c r="D97" s="85"/>
      <c r="E97" s="138"/>
      <c r="F97" s="139" t="s">
        <v>29</v>
      </c>
      <c r="G97" s="149" t="str">
        <f>[236]LPM.!D16</f>
        <v>Dukungan operasional LPM</v>
      </c>
      <c r="H97" s="141" t="s">
        <v>51</v>
      </c>
      <c r="I97" s="75" t="s">
        <v>44</v>
      </c>
      <c r="J97" s="86" t="s">
        <v>119</v>
      </c>
      <c r="K97" s="77" t="s">
        <v>33</v>
      </c>
      <c r="L97" s="92">
        <f>[236]LPM.!K16</f>
        <v>1000000</v>
      </c>
      <c r="M97" s="75" t="s">
        <v>34</v>
      </c>
      <c r="N97" s="79" t="s">
        <v>35</v>
      </c>
      <c r="O97" s="75"/>
      <c r="P97" s="80"/>
      <c r="Q97" s="81" t="s">
        <v>53</v>
      </c>
      <c r="R97" s="57"/>
      <c r="S97" s="71">
        <f t="shared" si="1"/>
        <v>1000000</v>
      </c>
    </row>
    <row r="98" spans="1:19" s="58" customFormat="1" x14ac:dyDescent="0.25">
      <c r="A98" s="59"/>
      <c r="B98" s="48" t="str">
        <f>[236]PKK.!D8</f>
        <v>3.4.03</v>
      </c>
      <c r="C98" s="60"/>
      <c r="D98" s="85"/>
      <c r="E98" s="135">
        <v>30</v>
      </c>
      <c r="F98" s="148" t="str">
        <f>IFERROR(VLOOKUP(B98,'[236]Parameter Keg '!$B$3:$C$191,2),"")</f>
        <v>Pembinaan PKK</v>
      </c>
      <c r="G98" s="94"/>
      <c r="H98" s="60"/>
      <c r="I98" s="60"/>
      <c r="J98" s="83"/>
      <c r="K98" s="66"/>
      <c r="L98" s="89"/>
      <c r="M98" s="60"/>
      <c r="N98" s="60"/>
      <c r="O98" s="60"/>
      <c r="P98" s="69"/>
      <c r="Q98" s="70"/>
      <c r="R98" s="57"/>
      <c r="S98" s="71">
        <f t="shared" si="1"/>
        <v>0</v>
      </c>
    </row>
    <row r="99" spans="1:19" s="58" customFormat="1" ht="30" x14ac:dyDescent="0.25">
      <c r="A99" s="59"/>
      <c r="B99" s="48"/>
      <c r="C99" s="60"/>
      <c r="D99" s="85"/>
      <c r="E99" s="138"/>
      <c r="F99" s="139" t="s">
        <v>29</v>
      </c>
      <c r="G99" s="149" t="str">
        <f>[236]PKK.!D16</f>
        <v>Dukungan operasional PKK</v>
      </c>
      <c r="H99" s="141" t="s">
        <v>51</v>
      </c>
      <c r="I99" s="75" t="s">
        <v>44</v>
      </c>
      <c r="J99" s="86" t="s">
        <v>120</v>
      </c>
      <c r="K99" s="77" t="s">
        <v>33</v>
      </c>
      <c r="L99" s="92">
        <f>[236]PKK.!K16</f>
        <v>7000000</v>
      </c>
      <c r="M99" s="75" t="s">
        <v>34</v>
      </c>
      <c r="N99" s="79" t="s">
        <v>35</v>
      </c>
      <c r="O99" s="75"/>
      <c r="P99" s="80"/>
      <c r="Q99" s="81" t="s">
        <v>57</v>
      </c>
      <c r="R99" s="57"/>
      <c r="S99" s="71">
        <f t="shared" si="1"/>
        <v>7000000</v>
      </c>
    </row>
    <row r="100" spans="1:19" s="58" customFormat="1" x14ac:dyDescent="0.25">
      <c r="A100" s="59"/>
      <c r="B100" s="59"/>
      <c r="C100" s="118"/>
      <c r="D100" s="119" t="str">
        <f>IFERROR(VLOOKUP(B100,'[236]Parameter Keg '!$B$3:$C$191,2),"")</f>
        <v/>
      </c>
      <c r="E100" s="120"/>
      <c r="F100" s="121"/>
      <c r="G100" s="120"/>
      <c r="H100" s="122"/>
      <c r="I100" s="122"/>
      <c r="J100" s="122"/>
      <c r="K100" s="146" t="s">
        <v>121</v>
      </c>
      <c r="L100" s="124">
        <f>SUM(L91:L99)</f>
        <v>37200000</v>
      </c>
      <c r="M100" s="122"/>
      <c r="N100" s="122"/>
      <c r="O100" s="122"/>
      <c r="P100" s="125"/>
      <c r="Q100" s="134"/>
      <c r="R100" s="57"/>
      <c r="S100" s="71"/>
    </row>
    <row r="101" spans="1:19" s="58" customFormat="1" ht="3.75" customHeight="1" x14ac:dyDescent="0.25">
      <c r="A101" s="59"/>
      <c r="B101" s="59"/>
      <c r="C101" s="127"/>
      <c r="D101" s="128" t="str">
        <f>IFERROR(VLOOKUP(A101,'[236]Parameter Keg '!$B$3:$C$191,2),"")</f>
        <v/>
      </c>
      <c r="E101" s="128"/>
      <c r="F101" s="129"/>
      <c r="G101" s="128" t="str">
        <f>IFERROR(VLOOKUP(B101,'[236]Parameter Keg '!$B$3:$C$191,2),"")</f>
        <v/>
      </c>
      <c r="H101" s="130"/>
      <c r="I101" s="130"/>
      <c r="J101" s="130"/>
      <c r="K101" s="130"/>
      <c r="L101" s="131"/>
      <c r="M101" s="130"/>
      <c r="N101" s="130"/>
      <c r="O101" s="130"/>
      <c r="P101" s="132"/>
      <c r="Q101" s="150"/>
      <c r="R101" s="57"/>
      <c r="S101" s="71"/>
    </row>
    <row r="102" spans="1:19" s="58" customFormat="1" x14ac:dyDescent="0.25">
      <c r="A102" s="59"/>
      <c r="B102" s="59"/>
      <c r="C102" s="151">
        <v>4</v>
      </c>
      <c r="D102" s="152" t="s">
        <v>122</v>
      </c>
      <c r="E102" s="153"/>
      <c r="F102" s="154"/>
      <c r="G102" s="153"/>
      <c r="H102" s="155"/>
      <c r="I102" s="155"/>
      <c r="J102" s="155"/>
      <c r="K102" s="156"/>
      <c r="L102" s="157">
        <f>L112</f>
        <v>188832000</v>
      </c>
      <c r="M102" s="155"/>
      <c r="N102" s="155"/>
      <c r="O102" s="155"/>
      <c r="P102" s="158"/>
      <c r="Q102" s="134"/>
      <c r="R102" s="57"/>
      <c r="S102" s="71"/>
    </row>
    <row r="103" spans="1:19" s="58" customFormat="1" ht="47.25" customHeight="1" x14ac:dyDescent="0.25">
      <c r="A103" s="48" t="s">
        <v>123</v>
      </c>
      <c r="B103" s="48" t="s">
        <v>124</v>
      </c>
      <c r="C103" s="60"/>
      <c r="D103" s="50" t="str">
        <f>IFERROR(VLOOKUP(A103,'[236]Parameter Keg '!$B$3:$C$191,2),"")</f>
        <v>Sub Bidang Pertanian dan Peternakan</v>
      </c>
      <c r="E103" s="142">
        <v>31</v>
      </c>
      <c r="F103" s="210" t="str">
        <f>IFERROR(VLOOKUP(B103,'[236]Parameter Keg '!$B$3:$C$191,2),"")</f>
        <v>Peningkatan Produksi Tanaman Pangan (alat produksi/pengelolaan/penggilingan)</v>
      </c>
      <c r="G103" s="211"/>
      <c r="H103" s="49"/>
      <c r="I103" s="49"/>
      <c r="J103" s="144"/>
      <c r="K103" s="53"/>
      <c r="L103" s="111"/>
      <c r="M103" s="49"/>
      <c r="N103" s="49"/>
      <c r="O103" s="49"/>
      <c r="P103" s="55"/>
      <c r="Q103" s="56"/>
      <c r="R103" s="57"/>
      <c r="S103" s="71">
        <f t="shared" ref="S103" si="2">L103-R103</f>
        <v>0</v>
      </c>
    </row>
    <row r="104" spans="1:19" s="58" customFormat="1" ht="33" customHeight="1" x14ac:dyDescent="0.25">
      <c r="A104" s="48"/>
      <c r="B104" s="48"/>
      <c r="C104" s="60"/>
      <c r="D104" s="114"/>
      <c r="E104" s="138"/>
      <c r="F104" s="74" t="s">
        <v>29</v>
      </c>
      <c r="G104" s="91" t="s">
        <v>125</v>
      </c>
      <c r="H104" s="141" t="s">
        <v>51</v>
      </c>
      <c r="I104" s="75" t="s">
        <v>83</v>
      </c>
      <c r="J104" s="86" t="s">
        <v>126</v>
      </c>
      <c r="K104" s="77" t="s">
        <v>44</v>
      </c>
      <c r="L104" s="92">
        <v>14000000</v>
      </c>
      <c r="M104" s="75"/>
      <c r="N104" s="79" t="s">
        <v>35</v>
      </c>
      <c r="O104" s="75"/>
      <c r="P104" s="80"/>
      <c r="Q104" s="81" t="s">
        <v>57</v>
      </c>
      <c r="R104" s="57"/>
      <c r="S104" s="71"/>
    </row>
    <row r="105" spans="1:19" s="58" customFormat="1" ht="39" customHeight="1" x14ac:dyDescent="0.25">
      <c r="A105" s="59" t="str">
        <f>'[236]Pelatihan Koperasi'!D7</f>
        <v>4.5</v>
      </c>
      <c r="B105" s="59" t="str">
        <f>'[236]Pelatihan Koperasi'!D8</f>
        <v>4.5.01</v>
      </c>
      <c r="C105" s="60"/>
      <c r="D105" s="207" t="str">
        <f>IFERROR(VLOOKUP(A105,'[236]Parameter Keg '!$B$3:$C$191,2),"")</f>
        <v>Sub Bidang Koperasi, Usaha Micro Kecil dan Menengah (UMKM)</v>
      </c>
      <c r="E105" s="135">
        <v>32</v>
      </c>
      <c r="F105" s="208" t="str">
        <f>IFERROR(VLOOKUP(B105,'[236]Parameter Keg '!$B$3:$C$191,2),"")</f>
        <v>Pelatihan Manajemen Koperasi/KUD/UMKM</v>
      </c>
      <c r="G105" s="209"/>
      <c r="H105" s="60"/>
      <c r="I105" s="60"/>
      <c r="J105" s="83"/>
      <c r="K105" s="66"/>
      <c r="L105" s="89"/>
      <c r="M105" s="60"/>
      <c r="N105" s="60"/>
      <c r="O105" s="60"/>
      <c r="P105" s="69"/>
      <c r="Q105" s="70"/>
      <c r="R105" s="57"/>
      <c r="S105" s="71">
        <f t="shared" si="1"/>
        <v>0</v>
      </c>
    </row>
    <row r="106" spans="1:19" s="58" customFormat="1" ht="45" x14ac:dyDescent="0.25">
      <c r="A106" s="59"/>
      <c r="B106" s="59"/>
      <c r="C106" s="60"/>
      <c r="D106" s="207"/>
      <c r="E106" s="138"/>
      <c r="F106" s="139" t="s">
        <v>29</v>
      </c>
      <c r="G106" s="140" t="str">
        <f>'[236]Pelatihan Koperasi'!D16</f>
        <v>Pelatihan pengurus Koperasi Mera Putih</v>
      </c>
      <c r="H106" s="75" t="s">
        <v>30</v>
      </c>
      <c r="I106" s="75" t="s">
        <v>127</v>
      </c>
      <c r="J106" s="86" t="s">
        <v>128</v>
      </c>
      <c r="K106" s="77" t="s">
        <v>85</v>
      </c>
      <c r="L106" s="92">
        <f>'[236]Pelatihan Koperasi'!K16</f>
        <v>9916000</v>
      </c>
      <c r="M106" s="75" t="s">
        <v>56</v>
      </c>
      <c r="N106" s="79" t="s">
        <v>35</v>
      </c>
      <c r="O106" s="75"/>
      <c r="P106" s="80"/>
      <c r="Q106" s="81" t="s">
        <v>57</v>
      </c>
      <c r="R106" s="57"/>
      <c r="S106" s="71">
        <f t="shared" si="1"/>
        <v>9916000</v>
      </c>
    </row>
    <row r="107" spans="1:19" s="58" customFormat="1" ht="50.25" customHeight="1" x14ac:dyDescent="0.25">
      <c r="A107" s="48" t="s">
        <v>129</v>
      </c>
      <c r="B107" s="48" t="s">
        <v>130</v>
      </c>
      <c r="C107" s="60"/>
      <c r="D107" s="61"/>
      <c r="E107" s="135">
        <v>33</v>
      </c>
      <c r="F107" s="210" t="str">
        <f>IFERROR(VLOOKUP(B107,'[236]Parameter Keg '!$B$3:$C$191,2),"")</f>
        <v>Pengembangan Sarana Prasarana Usaha Mikro, Kecil, Menengah dan Koperasi</v>
      </c>
      <c r="G107" s="211"/>
      <c r="H107" s="60"/>
      <c r="I107" s="60"/>
      <c r="J107" s="83"/>
      <c r="K107" s="66"/>
      <c r="L107" s="89"/>
      <c r="M107" s="60"/>
      <c r="N107" s="68"/>
      <c r="O107" s="60"/>
      <c r="P107" s="69"/>
      <c r="Q107" s="70"/>
      <c r="R107" s="57"/>
      <c r="S107" s="71"/>
    </row>
    <row r="108" spans="1:19" s="58" customFormat="1" ht="50.25" customHeight="1" x14ac:dyDescent="0.25">
      <c r="A108" s="48"/>
      <c r="B108" s="48"/>
      <c r="C108" s="60"/>
      <c r="D108" s="61"/>
      <c r="E108" s="135"/>
      <c r="F108" s="159" t="s">
        <v>29</v>
      </c>
      <c r="G108" s="160" t="s">
        <v>131</v>
      </c>
      <c r="H108" s="161" t="s">
        <v>51</v>
      </c>
      <c r="I108" s="162"/>
      <c r="J108" s="163" t="s">
        <v>132</v>
      </c>
      <c r="K108" s="164" t="s">
        <v>133</v>
      </c>
      <c r="L108" s="165">
        <v>150000000</v>
      </c>
      <c r="M108" s="162" t="s">
        <v>56</v>
      </c>
      <c r="N108" s="166"/>
      <c r="O108" s="166" t="s">
        <v>35</v>
      </c>
      <c r="P108" s="162"/>
      <c r="Q108" s="161" t="s">
        <v>100</v>
      </c>
      <c r="R108" s="57"/>
      <c r="S108" s="71"/>
    </row>
    <row r="109" spans="1:19" s="58" customFormat="1" ht="50.25" customHeight="1" x14ac:dyDescent="0.25">
      <c r="A109" s="48"/>
      <c r="B109" s="48"/>
      <c r="C109" s="60"/>
      <c r="D109" s="114"/>
      <c r="E109" s="138"/>
      <c r="F109" s="167" t="s">
        <v>37</v>
      </c>
      <c r="G109" s="168" t="s">
        <v>134</v>
      </c>
      <c r="H109" s="169" t="s">
        <v>51</v>
      </c>
      <c r="I109" s="170"/>
      <c r="J109" s="171" t="s">
        <v>135</v>
      </c>
      <c r="K109" s="172" t="s">
        <v>44</v>
      </c>
      <c r="L109" s="173">
        <v>5000000</v>
      </c>
      <c r="M109" s="170" t="s">
        <v>56</v>
      </c>
      <c r="N109" s="174"/>
      <c r="O109" s="174" t="s">
        <v>35</v>
      </c>
      <c r="P109" s="170"/>
      <c r="Q109" s="169" t="s">
        <v>100</v>
      </c>
      <c r="R109" s="57"/>
      <c r="S109" s="71"/>
    </row>
    <row r="110" spans="1:19" s="58" customFormat="1" ht="50.25" customHeight="1" x14ac:dyDescent="0.25">
      <c r="A110" s="59" t="str">
        <f>'[236]Pelatihan Pengurus BUMDes'!D7</f>
        <v>4.6</v>
      </c>
      <c r="B110" s="59" t="str">
        <f>'[236]Pelatihan Pengurus BUMDes'!D8</f>
        <v>4.6.02</v>
      </c>
      <c r="C110" s="60"/>
      <c r="D110" s="61" t="str">
        <f>IFERROR(VLOOKUP(A110,'[236]Parameter Keg '!$B$3:$C$191,2),"")</f>
        <v>Sub Bidang Dukungan Penanaman Modal</v>
      </c>
      <c r="E110" s="135">
        <v>34</v>
      </c>
      <c r="F110" s="208" t="str">
        <f>IFERROR(VLOOKUP(B110,'[236]Parameter Keg '!$B$3:$C$191,2),"")</f>
        <v>Pelatihan Pengelolaan BUM Desa (Pelatihan yg dilaksanakan oleh Pemdes)</v>
      </c>
      <c r="G110" s="209"/>
      <c r="H110" s="60"/>
      <c r="I110" s="60"/>
      <c r="J110" s="83"/>
      <c r="K110" s="66"/>
      <c r="L110" s="89"/>
      <c r="M110" s="60"/>
      <c r="N110" s="68"/>
      <c r="O110" s="60"/>
      <c r="P110" s="69"/>
      <c r="Q110" s="70"/>
      <c r="R110" s="57"/>
      <c r="S110" s="71">
        <f t="shared" si="1"/>
        <v>0</v>
      </c>
    </row>
    <row r="111" spans="1:19" s="58" customFormat="1" ht="45" x14ac:dyDescent="0.25">
      <c r="A111" s="59"/>
      <c r="B111" s="59"/>
      <c r="C111" s="60"/>
      <c r="D111" s="175"/>
      <c r="E111" s="135"/>
      <c r="F111" s="136" t="s">
        <v>29</v>
      </c>
      <c r="G111" s="104" t="str">
        <f>'[236]Pelatihan Pengurus BUMDes'!D16</f>
        <v>Pelatihan pengurus BUMDes</v>
      </c>
      <c r="H111" s="60" t="s">
        <v>30</v>
      </c>
      <c r="I111" s="60" t="s">
        <v>127</v>
      </c>
      <c r="J111" s="83" t="s">
        <v>136</v>
      </c>
      <c r="K111" s="66" t="s">
        <v>85</v>
      </c>
      <c r="L111" s="89">
        <f>'[236]Pelatihan Pengurus BUMDes'!K16</f>
        <v>9916000</v>
      </c>
      <c r="M111" s="60" t="s">
        <v>56</v>
      </c>
      <c r="N111" s="79" t="s">
        <v>35</v>
      </c>
      <c r="O111" s="75"/>
      <c r="P111" s="80"/>
      <c r="Q111" s="81" t="s">
        <v>57</v>
      </c>
      <c r="R111" s="57"/>
      <c r="S111" s="71">
        <f t="shared" si="1"/>
        <v>9916000</v>
      </c>
    </row>
    <row r="112" spans="1:19" s="58" customFormat="1" x14ac:dyDescent="0.2">
      <c r="A112" s="59"/>
      <c r="B112" s="59"/>
      <c r="C112" s="176"/>
      <c r="D112" s="120"/>
      <c r="E112" s="120"/>
      <c r="F112" s="121"/>
      <c r="G112" s="120"/>
      <c r="H112" s="122"/>
      <c r="I112" s="122"/>
      <c r="J112" s="122"/>
      <c r="K112" s="146" t="s">
        <v>137</v>
      </c>
      <c r="L112" s="177">
        <f>SUM(L103:L111)</f>
        <v>188832000</v>
      </c>
      <c r="M112" s="122"/>
      <c r="N112" s="122"/>
      <c r="O112" s="122"/>
      <c r="P112" s="125"/>
      <c r="Q112" s="126"/>
      <c r="R112" s="57"/>
      <c r="S112" s="71"/>
    </row>
    <row r="113" spans="1:19" s="58" customFormat="1" x14ac:dyDescent="0.25">
      <c r="A113" s="59"/>
      <c r="B113" s="59"/>
      <c r="C113" s="151" t="s">
        <v>138</v>
      </c>
      <c r="D113" s="152" t="s">
        <v>139</v>
      </c>
      <c r="E113" s="153"/>
      <c r="F113" s="154"/>
      <c r="G113" s="153"/>
      <c r="H113" s="155"/>
      <c r="I113" s="155"/>
      <c r="J113" s="155"/>
      <c r="K113" s="156"/>
      <c r="L113" s="157">
        <f>L116</f>
        <v>122400000</v>
      </c>
      <c r="M113" s="155"/>
      <c r="N113" s="155"/>
      <c r="O113" s="155"/>
      <c r="P113" s="158"/>
      <c r="Q113" s="134"/>
      <c r="R113" s="57"/>
      <c r="S113" s="71"/>
    </row>
    <row r="114" spans="1:19" s="58" customFormat="1" ht="22.5" customHeight="1" x14ac:dyDescent="0.25">
      <c r="A114" s="59" t="str">
        <f>[236]BLT.!D7</f>
        <v>5.3</v>
      </c>
      <c r="B114" s="48" t="str">
        <f>[236]BLT.!D8</f>
        <v>5.3.00</v>
      </c>
      <c r="C114" s="60"/>
      <c r="D114" s="212" t="str">
        <f>IFERROR(VLOOKUP(A114,'[236]Parameter Keg '!$B$3:$C$191,2),"")</f>
        <v>Sub Bidang Keadaan Mendesak</v>
      </c>
      <c r="E114" s="135">
        <v>35</v>
      </c>
      <c r="F114" s="63" t="str">
        <f>IFERROR(VLOOKUP(B114,'[236]Parameter Keg '!$B$3:$C$191,2),"")</f>
        <v>Penanganan Keadaan Mendesak</v>
      </c>
      <c r="G114" s="147"/>
      <c r="H114" s="60"/>
      <c r="I114" s="60"/>
      <c r="J114" s="65"/>
      <c r="K114" s="66"/>
      <c r="L114" s="89"/>
      <c r="M114" s="60"/>
      <c r="N114" s="60"/>
      <c r="O114" s="60"/>
      <c r="P114" s="69"/>
      <c r="Q114" s="70"/>
      <c r="R114" s="57"/>
      <c r="S114" s="71">
        <f t="shared" si="1"/>
        <v>0</v>
      </c>
    </row>
    <row r="115" spans="1:19" s="58" customFormat="1" ht="30" x14ac:dyDescent="0.25">
      <c r="A115" s="59"/>
      <c r="B115" s="48"/>
      <c r="C115" s="75"/>
      <c r="D115" s="213"/>
      <c r="E115" s="138"/>
      <c r="F115" s="139" t="s">
        <v>29</v>
      </c>
      <c r="G115" s="140" t="str">
        <f>[236]BLT.!D16</f>
        <v>BLT DANA DESA</v>
      </c>
      <c r="H115" s="141" t="s">
        <v>51</v>
      </c>
      <c r="I115" s="75" t="s">
        <v>140</v>
      </c>
      <c r="J115" s="76" t="s">
        <v>141</v>
      </c>
      <c r="K115" s="77" t="s">
        <v>33</v>
      </c>
      <c r="L115" s="92">
        <f>[236]BLT.!K16</f>
        <v>122400000</v>
      </c>
      <c r="M115" s="75" t="s">
        <v>56</v>
      </c>
      <c r="N115" s="79" t="s">
        <v>35</v>
      </c>
      <c r="O115" s="75"/>
      <c r="P115" s="80"/>
      <c r="Q115" s="81" t="s">
        <v>53</v>
      </c>
      <c r="R115" s="57"/>
      <c r="S115" s="71">
        <f t="shared" si="1"/>
        <v>122400000</v>
      </c>
    </row>
    <row r="116" spans="1:19" s="58" customFormat="1" x14ac:dyDescent="0.25">
      <c r="A116" s="59"/>
      <c r="B116" s="59"/>
      <c r="C116" s="176"/>
      <c r="D116" s="120"/>
      <c r="E116" s="120"/>
      <c r="F116" s="121"/>
      <c r="G116" s="120"/>
      <c r="H116" s="122"/>
      <c r="I116" s="122"/>
      <c r="J116" s="122"/>
      <c r="K116" s="146" t="s">
        <v>142</v>
      </c>
      <c r="L116" s="177">
        <f>L115</f>
        <v>122400000</v>
      </c>
      <c r="M116" s="122"/>
      <c r="N116" s="122"/>
      <c r="O116" s="122"/>
      <c r="P116" s="125"/>
      <c r="Q116" s="125"/>
      <c r="R116" s="57"/>
      <c r="S116" s="71"/>
    </row>
    <row r="117" spans="1:19" x14ac:dyDescent="0.25">
      <c r="A117" s="178"/>
      <c r="B117" s="178"/>
      <c r="C117" s="179"/>
      <c r="D117" s="180"/>
      <c r="E117" s="180"/>
      <c r="F117" s="181"/>
      <c r="G117" s="180"/>
      <c r="H117" s="182"/>
      <c r="I117" s="182"/>
      <c r="J117" s="182"/>
      <c r="K117" s="183" t="s">
        <v>143</v>
      </c>
      <c r="L117" s="184">
        <f>L116+L112+L100+L88+L51</f>
        <v>1439602312</v>
      </c>
      <c r="M117" s="182"/>
      <c r="N117" s="182"/>
      <c r="O117" s="182"/>
      <c r="P117" s="185"/>
      <c r="Q117" s="185"/>
      <c r="S117" s="71"/>
    </row>
    <row r="118" spans="1:19" ht="6" customHeight="1" x14ac:dyDescent="0.25">
      <c r="A118" s="178"/>
      <c r="B118" s="178"/>
      <c r="C118" s="186"/>
      <c r="D118" s="187"/>
      <c r="E118" s="187"/>
      <c r="F118" s="188"/>
      <c r="G118" s="187"/>
      <c r="H118" s="189"/>
      <c r="I118" s="189"/>
      <c r="J118" s="214"/>
      <c r="K118" s="214"/>
      <c r="L118" s="190"/>
      <c r="M118" s="189"/>
      <c r="N118" s="189"/>
      <c r="O118" s="189"/>
      <c r="P118" s="191"/>
      <c r="Q118" s="192"/>
    </row>
    <row r="119" spans="1:19" x14ac:dyDescent="0.25">
      <c r="A119" s="178"/>
      <c r="B119" s="178"/>
      <c r="C119" s="193"/>
      <c r="J119" s="1"/>
      <c r="K119" s="1"/>
      <c r="L119" s="194"/>
      <c r="M119" s="195" t="s">
        <v>144</v>
      </c>
      <c r="P119" s="196"/>
      <c r="Q119" s="197"/>
    </row>
    <row r="120" spans="1:19" x14ac:dyDescent="0.25">
      <c r="A120" s="178"/>
      <c r="B120" s="178"/>
      <c r="C120" s="193"/>
      <c r="E120" s="1" t="s">
        <v>145</v>
      </c>
      <c r="J120" s="1"/>
      <c r="K120" s="1"/>
      <c r="L120" s="194"/>
      <c r="M120" s="195" t="s">
        <v>146</v>
      </c>
      <c r="P120" s="196"/>
      <c r="Q120" s="197"/>
    </row>
    <row r="121" spans="1:19" x14ac:dyDescent="0.25">
      <c r="A121" s="178"/>
      <c r="B121" s="178"/>
      <c r="C121" s="193"/>
      <c r="E121" s="1" t="s">
        <v>147</v>
      </c>
      <c r="J121" s="1"/>
      <c r="K121" s="1"/>
      <c r="L121" s="194"/>
      <c r="M121" s="195" t="s">
        <v>148</v>
      </c>
      <c r="P121" s="196"/>
      <c r="Q121" s="197"/>
    </row>
    <row r="122" spans="1:19" x14ac:dyDescent="0.25">
      <c r="A122" s="178"/>
      <c r="B122" s="178"/>
      <c r="C122" s="193"/>
      <c r="E122" s="1"/>
      <c r="J122" s="1"/>
      <c r="K122" s="1"/>
      <c r="L122" s="194"/>
      <c r="M122" s="195"/>
      <c r="P122" s="196"/>
      <c r="Q122" s="197"/>
    </row>
    <row r="123" spans="1:19" x14ac:dyDescent="0.25">
      <c r="A123" s="178"/>
      <c r="B123" s="178"/>
      <c r="C123" s="193"/>
      <c r="E123" s="1"/>
      <c r="J123" s="1"/>
      <c r="K123" s="1"/>
      <c r="L123" s="194"/>
      <c r="M123" s="195"/>
      <c r="P123" s="196"/>
      <c r="Q123" s="197"/>
    </row>
    <row r="124" spans="1:19" x14ac:dyDescent="0.25">
      <c r="A124" s="178"/>
      <c r="B124" s="178"/>
      <c r="C124" s="193"/>
      <c r="E124" s="198" t="s">
        <v>149</v>
      </c>
      <c r="J124" s="1"/>
      <c r="K124" s="1"/>
      <c r="L124" s="194"/>
      <c r="M124" s="199" t="s">
        <v>150</v>
      </c>
      <c r="P124" s="196"/>
      <c r="Q124" s="197"/>
    </row>
    <row r="125" spans="1:19" x14ac:dyDescent="0.25">
      <c r="C125" s="200"/>
      <c r="D125" s="201"/>
      <c r="E125" s="201"/>
      <c r="F125" s="202"/>
      <c r="G125" s="201"/>
      <c r="H125" s="203"/>
      <c r="I125" s="203"/>
      <c r="J125" s="203"/>
      <c r="K125" s="203"/>
      <c r="L125" s="204"/>
      <c r="M125" s="203"/>
      <c r="N125" s="203"/>
      <c r="O125" s="203"/>
      <c r="P125" s="205"/>
      <c r="Q125" s="206"/>
    </row>
  </sheetData>
  <mergeCells count="56">
    <mergeCell ref="C8:E8"/>
    <mergeCell ref="C2:Q2"/>
    <mergeCell ref="C3:Q3"/>
    <mergeCell ref="C5:E5"/>
    <mergeCell ref="C6:E6"/>
    <mergeCell ref="C7:E7"/>
    <mergeCell ref="D14:D17"/>
    <mergeCell ref="F14:G14"/>
    <mergeCell ref="F17:G17"/>
    <mergeCell ref="C10:C11"/>
    <mergeCell ref="D10:G10"/>
    <mergeCell ref="F37:G37"/>
    <mergeCell ref="L10:M10"/>
    <mergeCell ref="N10:P10"/>
    <mergeCell ref="Q10:Q11"/>
    <mergeCell ref="E11:G11"/>
    <mergeCell ref="E12:G12"/>
    <mergeCell ref="H10:H11"/>
    <mergeCell ref="I10:I11"/>
    <mergeCell ref="J10:J11"/>
    <mergeCell ref="K10:K11"/>
    <mergeCell ref="F20:G20"/>
    <mergeCell ref="F23:G23"/>
    <mergeCell ref="F29:G29"/>
    <mergeCell ref="F31:G31"/>
    <mergeCell ref="F33:G33"/>
    <mergeCell ref="D40:D41"/>
    <mergeCell ref="F40:G40"/>
    <mergeCell ref="D42:D43"/>
    <mergeCell ref="F42:G42"/>
    <mergeCell ref="D44:D45"/>
    <mergeCell ref="F44:G44"/>
    <mergeCell ref="F77:G77"/>
    <mergeCell ref="F47:G47"/>
    <mergeCell ref="F54:G54"/>
    <mergeCell ref="F58:G58"/>
    <mergeCell ref="F60:G60"/>
    <mergeCell ref="F62:G62"/>
    <mergeCell ref="F64:G64"/>
    <mergeCell ref="F69:G69"/>
    <mergeCell ref="F71:G71"/>
    <mergeCell ref="F73:G73"/>
    <mergeCell ref="D75:D76"/>
    <mergeCell ref="F75:G75"/>
    <mergeCell ref="J118:K118"/>
    <mergeCell ref="D82:D83"/>
    <mergeCell ref="F82:G82"/>
    <mergeCell ref="F84:G84"/>
    <mergeCell ref="F91:G91"/>
    <mergeCell ref="D94:D95"/>
    <mergeCell ref="F103:G103"/>
    <mergeCell ref="D105:D106"/>
    <mergeCell ref="F105:G105"/>
    <mergeCell ref="F107:G107"/>
    <mergeCell ref="F110:G110"/>
    <mergeCell ref="D114:D115"/>
  </mergeCells>
  <dataValidations count="6">
    <dataValidation allowBlank="1" showInputMessage="1" showErrorMessage="1" prompt="1. Bantuan keg HUT RI_x000a_2. bantuan keg HUT Desa" sqref="G36" xr:uid="{076E3E2F-A248-4F2D-8AA3-D1B14B2CA7A9}"/>
    <dataValidation allowBlank="1" showInputMessage="1" showErrorMessage="1" prompt="bantuan logistik korban bencana" sqref="G35" xr:uid="{8A91D341-B4E0-46B0-A74F-42549AB1BA25}"/>
    <dataValidation allowBlank="1" showInputMessage="1" showErrorMessage="1" prompt="konsumsi rapat bencana" sqref="G34" xr:uid="{BD3E10CA-D2E6-425C-B2FE-76B32D95A9FB}"/>
    <dataValidation type="list" allowBlank="1" showInputMessage="1" showErrorMessage="1" sqref="Q114:Q115 Q91:Q99 Q54:Q87 Q103:Q111 Q15:Q50" xr:uid="{982E9840-E87F-488B-9785-34C2E55DE7D4}">
      <formula1>"Kaur Keuangan,Kaur Perencanaan,Kaur Umum,Kasi Pemerintahan,Kasi Pelayanan,Kasi Kesra"</formula1>
    </dataValidation>
    <dataValidation type="list" allowBlank="1" showInputMessage="1" showErrorMessage="1" sqref="P116:P125 P13:Q13 Q125 Q116:Q117" xr:uid="{1397D1BB-B3DE-4B0D-9C7F-11A0929298C4}">
      <formula1>"Swakelolah,Kerjasama Antar Desa,Kerjasama Pihak Ketiga"</formula1>
    </dataValidation>
    <dataValidation allowBlank="1" showInputMessage="1" showErrorMessage="1" prompt="Link dari RAB" sqref="B13:B16 B90 B53" xr:uid="{65ECD380-A06B-43BD-84C8-7F03E69C909D}"/>
  </dataValidations>
  <pageMargins left="0.35433070866141736" right="0.27559055118110237" top="0.47244094488188981" bottom="0.35433070866141736" header="0.31496062992125984" footer="0.23622047244094491"/>
  <pageSetup paperSize="9" scale="85" orientation="landscape" r:id="rId1"/>
  <headerFooter>
    <oddFooter>&amp;A&amp;RPage &amp;P</oddFooter>
  </headerFooter>
  <rowBreaks count="6" manualBreakCount="6">
    <brk id="28" min="2" max="16" man="1"/>
    <brk id="43" min="2" max="16" man="1"/>
    <brk id="61" min="2" max="16" man="1"/>
    <brk id="76" min="2" max="16" man="1"/>
    <brk id="93" min="2" max="16" man="1"/>
    <brk id="109" min="2"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DD55-2130-4C65-A90E-945653F72A00}">
  <dimension ref="B2:N40"/>
  <sheetViews>
    <sheetView showGridLines="0" topLeftCell="C8" workbookViewId="0">
      <selection activeCell="D20" sqref="D20"/>
    </sheetView>
  </sheetViews>
  <sheetFormatPr defaultRowHeight="15" x14ac:dyDescent="0.25"/>
  <cols>
    <col min="2" max="2" width="6.7109375" customWidth="1"/>
    <col min="3" max="3" width="18.28515625" customWidth="1"/>
    <col min="4" max="4" width="26.7109375" customWidth="1"/>
    <col min="6" max="6" width="12.42578125" customWidth="1"/>
    <col min="8" max="8" width="7.5703125" customWidth="1"/>
    <col min="9" max="9" width="6.5703125" customWidth="1"/>
    <col min="10" max="10" width="8.140625" style="1" customWidth="1"/>
    <col min="11" max="11" width="6.5703125" style="1" customWidth="1"/>
    <col min="12" max="12" width="13.5703125" customWidth="1"/>
    <col min="13" max="14" width="15.140625" customWidth="1"/>
  </cols>
  <sheetData>
    <row r="2" spans="2:14" ht="15.75" x14ac:dyDescent="0.25">
      <c r="B2" s="242" t="s">
        <v>151</v>
      </c>
      <c r="C2" s="242"/>
      <c r="D2" s="242"/>
      <c r="E2" s="242"/>
      <c r="F2" s="242"/>
      <c r="G2" s="242"/>
      <c r="H2" s="242"/>
      <c r="I2" s="242"/>
      <c r="J2" s="242"/>
      <c r="K2" s="242"/>
      <c r="L2" s="242"/>
      <c r="M2" s="242"/>
      <c r="N2" s="242"/>
    </row>
    <row r="3" spans="2:14" x14ac:dyDescent="0.25">
      <c r="B3" s="243" t="s">
        <v>2</v>
      </c>
      <c r="D3" t="s">
        <v>152</v>
      </c>
    </row>
    <row r="4" spans="2:14" x14ac:dyDescent="0.25">
      <c r="B4" s="243" t="s">
        <v>4</v>
      </c>
      <c r="D4" t="s">
        <v>153</v>
      </c>
    </row>
    <row r="5" spans="2:14" x14ac:dyDescent="0.25">
      <c r="B5" s="243" t="s">
        <v>6</v>
      </c>
      <c r="D5" t="s">
        <v>154</v>
      </c>
    </row>
    <row r="6" spans="2:14" x14ac:dyDescent="0.25">
      <c r="B6" s="243" t="s">
        <v>8</v>
      </c>
      <c r="D6" t="s">
        <v>155</v>
      </c>
    </row>
    <row r="7" spans="2:14" s="23" customFormat="1" ht="60" x14ac:dyDescent="0.25">
      <c r="B7" s="244" t="s">
        <v>156</v>
      </c>
      <c r="C7" s="244" t="s">
        <v>19</v>
      </c>
      <c r="D7" s="245" t="s">
        <v>20</v>
      </c>
      <c r="E7" s="245" t="s">
        <v>157</v>
      </c>
      <c r="F7" s="245" t="s">
        <v>158</v>
      </c>
      <c r="G7" s="245" t="s">
        <v>159</v>
      </c>
      <c r="H7" s="246" t="s">
        <v>160</v>
      </c>
      <c r="I7" s="246"/>
      <c r="J7" s="247" t="s">
        <v>161</v>
      </c>
      <c r="K7" s="247"/>
      <c r="L7" s="245" t="s">
        <v>162</v>
      </c>
      <c r="M7" s="245" t="s">
        <v>163</v>
      </c>
      <c r="N7" s="245" t="s">
        <v>164</v>
      </c>
    </row>
    <row r="8" spans="2:14" s="250" customFormat="1" ht="12.75" x14ac:dyDescent="0.25">
      <c r="B8" s="248" t="s">
        <v>29</v>
      </c>
      <c r="C8" s="248" t="s">
        <v>165</v>
      </c>
      <c r="D8" s="248" t="s">
        <v>73</v>
      </c>
      <c r="E8" s="248" t="s">
        <v>93</v>
      </c>
      <c r="F8" s="248" t="s">
        <v>166</v>
      </c>
      <c r="G8" s="248" t="s">
        <v>167</v>
      </c>
      <c r="H8" s="249" t="s">
        <v>168</v>
      </c>
      <c r="I8" s="249"/>
      <c r="J8" s="249" t="s">
        <v>169</v>
      </c>
      <c r="K8" s="249"/>
      <c r="L8" s="248" t="s">
        <v>170</v>
      </c>
      <c r="M8" s="248" t="s">
        <v>171</v>
      </c>
      <c r="N8" s="248" t="s">
        <v>172</v>
      </c>
    </row>
    <row r="9" spans="2:14" x14ac:dyDescent="0.25">
      <c r="B9" s="251" t="s">
        <v>173</v>
      </c>
      <c r="C9" s="252" t="s">
        <v>174</v>
      </c>
      <c r="D9" s="253"/>
      <c r="E9" s="253"/>
      <c r="F9" s="253"/>
      <c r="G9" s="253"/>
      <c r="H9" s="254"/>
      <c r="I9" s="255"/>
      <c r="J9" s="256"/>
      <c r="K9" s="257"/>
      <c r="L9" s="253"/>
      <c r="M9" s="258"/>
      <c r="N9" s="253"/>
    </row>
    <row r="10" spans="2:14" x14ac:dyDescent="0.25">
      <c r="B10" s="259"/>
      <c r="C10" s="260"/>
      <c r="D10" s="261"/>
      <c r="E10" s="261"/>
      <c r="F10" s="261"/>
      <c r="G10" s="261"/>
      <c r="H10" s="193"/>
      <c r="I10" s="262"/>
      <c r="J10" s="263"/>
      <c r="K10" s="264"/>
      <c r="L10" s="261"/>
      <c r="M10" s="261"/>
      <c r="N10" s="261"/>
    </row>
    <row r="11" spans="2:14" x14ac:dyDescent="0.25">
      <c r="B11" s="259"/>
      <c r="C11" s="260"/>
      <c r="D11" s="261"/>
      <c r="E11" s="261"/>
      <c r="F11" s="261"/>
      <c r="G11" s="261"/>
      <c r="H11" s="193"/>
      <c r="I11" s="262"/>
      <c r="J11" s="263"/>
      <c r="K11" s="264"/>
      <c r="L11" s="261"/>
      <c r="M11" s="261"/>
      <c r="N11" s="261"/>
    </row>
    <row r="12" spans="2:14" hidden="1" x14ac:dyDescent="0.25">
      <c r="B12" s="259"/>
      <c r="C12" s="261"/>
      <c r="D12" s="261"/>
      <c r="E12" s="261"/>
      <c r="F12" s="261"/>
      <c r="G12" s="261"/>
      <c r="H12" s="193"/>
      <c r="I12" s="262"/>
      <c r="J12" s="263"/>
      <c r="K12" s="264"/>
      <c r="L12" s="261"/>
      <c r="M12" s="261"/>
      <c r="N12" s="261"/>
    </row>
    <row r="13" spans="2:14" hidden="1" x14ac:dyDescent="0.25">
      <c r="B13" s="259"/>
      <c r="C13" s="261"/>
      <c r="D13" s="261"/>
      <c r="E13" s="261"/>
      <c r="F13" s="261"/>
      <c r="G13" s="261"/>
      <c r="H13" s="193"/>
      <c r="I13" s="262"/>
      <c r="J13" s="263"/>
      <c r="K13" s="264"/>
      <c r="L13" s="261"/>
      <c r="M13" s="261"/>
      <c r="N13" s="261"/>
    </row>
    <row r="14" spans="2:14" hidden="1" x14ac:dyDescent="0.25">
      <c r="B14" s="265"/>
      <c r="C14" s="266"/>
      <c r="D14" s="266"/>
      <c r="E14" s="266"/>
      <c r="F14" s="266"/>
      <c r="G14" s="266"/>
      <c r="H14" s="200"/>
      <c r="I14" s="267"/>
      <c r="J14" s="268"/>
      <c r="K14" s="269"/>
      <c r="L14" s="266"/>
      <c r="M14" s="266"/>
      <c r="N14" s="266"/>
    </row>
    <row r="15" spans="2:14" s="47" customFormat="1" x14ac:dyDescent="0.25">
      <c r="B15" s="270"/>
      <c r="C15" s="271"/>
      <c r="D15" s="271"/>
      <c r="E15" s="271"/>
      <c r="F15" s="271"/>
      <c r="G15" s="272" t="s">
        <v>175</v>
      </c>
      <c r="H15" s="273"/>
      <c r="I15" s="274"/>
      <c r="J15" s="273"/>
      <c r="K15" s="274"/>
      <c r="L15" s="275"/>
      <c r="M15" s="276">
        <f>SUM(M9:M14)</f>
        <v>0</v>
      </c>
      <c r="N15" s="275"/>
    </row>
    <row r="16" spans="2:14" s="58" customFormat="1" ht="33.75" customHeight="1" x14ac:dyDescent="0.25">
      <c r="B16" s="49" t="s">
        <v>176</v>
      </c>
      <c r="C16" s="277" t="s">
        <v>177</v>
      </c>
      <c r="D16" s="50" t="s">
        <v>178</v>
      </c>
      <c r="E16" s="278"/>
      <c r="F16" s="278"/>
      <c r="G16" s="49" t="s">
        <v>179</v>
      </c>
      <c r="H16" s="279">
        <v>300</v>
      </c>
      <c r="I16" s="280" t="s">
        <v>180</v>
      </c>
      <c r="J16" s="281">
        <v>100</v>
      </c>
      <c r="K16" s="109" t="s">
        <v>181</v>
      </c>
      <c r="L16" s="278"/>
      <c r="M16" s="111"/>
      <c r="N16" s="282" t="s">
        <v>182</v>
      </c>
    </row>
    <row r="17" spans="2:14" s="58" customFormat="1" ht="45" x14ac:dyDescent="0.25">
      <c r="B17" s="60"/>
      <c r="C17" s="283"/>
      <c r="D17" s="61" t="s">
        <v>183</v>
      </c>
      <c r="E17" s="85"/>
      <c r="F17" s="85"/>
      <c r="G17" s="60" t="s">
        <v>184</v>
      </c>
      <c r="H17" s="284">
        <v>25</v>
      </c>
      <c r="I17" s="285" t="s">
        <v>185</v>
      </c>
      <c r="J17" s="286">
        <v>25</v>
      </c>
      <c r="K17" s="95" t="s">
        <v>186</v>
      </c>
      <c r="L17" s="85"/>
      <c r="M17" s="85"/>
      <c r="N17" s="85" t="s">
        <v>187</v>
      </c>
    </row>
    <row r="18" spans="2:14" x14ac:dyDescent="0.25">
      <c r="B18" s="259"/>
      <c r="C18" s="287"/>
      <c r="D18" s="287" t="s">
        <v>188</v>
      </c>
      <c r="E18" s="261"/>
      <c r="F18" s="261"/>
      <c r="G18" s="288" t="s">
        <v>189</v>
      </c>
      <c r="H18" s="289">
        <v>500</v>
      </c>
      <c r="I18" s="262" t="s">
        <v>190</v>
      </c>
      <c r="J18" s="290">
        <v>400</v>
      </c>
      <c r="K18" s="264" t="s">
        <v>181</v>
      </c>
      <c r="L18" s="261"/>
      <c r="M18" s="261"/>
      <c r="N18" s="261" t="s">
        <v>191</v>
      </c>
    </row>
    <row r="19" spans="2:14" x14ac:dyDescent="0.25">
      <c r="B19" s="259"/>
      <c r="C19" s="261"/>
      <c r="D19" s="287" t="s">
        <v>192</v>
      </c>
      <c r="E19" s="261"/>
      <c r="F19" s="261"/>
      <c r="G19" s="288" t="s">
        <v>193</v>
      </c>
      <c r="H19" s="289">
        <v>500</v>
      </c>
      <c r="I19" s="262" t="s">
        <v>190</v>
      </c>
      <c r="J19" s="290">
        <v>400</v>
      </c>
      <c r="K19" s="264" t="s">
        <v>181</v>
      </c>
      <c r="L19" s="261"/>
      <c r="M19" s="261"/>
      <c r="N19" s="261" t="s">
        <v>194</v>
      </c>
    </row>
    <row r="20" spans="2:14" ht="30" x14ac:dyDescent="0.25">
      <c r="B20" s="259"/>
      <c r="C20" s="261"/>
      <c r="D20" s="291" t="s">
        <v>195</v>
      </c>
      <c r="E20" s="261"/>
      <c r="F20" s="261"/>
      <c r="G20" s="288" t="s">
        <v>179</v>
      </c>
      <c r="H20" s="193">
        <v>500</v>
      </c>
      <c r="I20" s="262" t="s">
        <v>190</v>
      </c>
      <c r="J20" s="290">
        <v>500</v>
      </c>
      <c r="K20" s="264" t="s">
        <v>181</v>
      </c>
      <c r="L20" s="261"/>
      <c r="M20" s="261"/>
      <c r="N20" s="261" t="s">
        <v>191</v>
      </c>
    </row>
    <row r="21" spans="2:14" x14ac:dyDescent="0.25">
      <c r="B21" s="259"/>
      <c r="C21" s="287"/>
      <c r="D21" s="287" t="s">
        <v>196</v>
      </c>
      <c r="E21" s="261"/>
      <c r="F21" s="261"/>
      <c r="G21" s="288" t="s">
        <v>197</v>
      </c>
      <c r="H21" s="289">
        <v>250</v>
      </c>
      <c r="I21" s="262" t="s">
        <v>190</v>
      </c>
      <c r="J21" s="290">
        <v>400</v>
      </c>
      <c r="K21" s="264" t="s">
        <v>181</v>
      </c>
      <c r="L21" s="261"/>
      <c r="M21" s="261"/>
      <c r="N21" s="261" t="s">
        <v>191</v>
      </c>
    </row>
    <row r="22" spans="2:14" x14ac:dyDescent="0.25">
      <c r="B22" s="265"/>
      <c r="C22" s="266"/>
      <c r="D22" s="292" t="s">
        <v>198</v>
      </c>
      <c r="E22" s="266"/>
      <c r="F22" s="266"/>
      <c r="G22" s="293" t="s">
        <v>184</v>
      </c>
      <c r="H22" s="200">
        <v>30</v>
      </c>
      <c r="I22" s="267" t="s">
        <v>199</v>
      </c>
      <c r="J22" s="294">
        <v>500</v>
      </c>
      <c r="K22" s="269" t="s">
        <v>181</v>
      </c>
      <c r="L22" s="266"/>
      <c r="M22" s="266"/>
      <c r="N22" s="266" t="s">
        <v>200</v>
      </c>
    </row>
    <row r="23" spans="2:14" s="47" customFormat="1" x14ac:dyDescent="0.25">
      <c r="B23" s="270"/>
      <c r="C23" s="271"/>
      <c r="D23" s="271"/>
      <c r="E23" s="271"/>
      <c r="F23" s="271"/>
      <c r="G23" s="272" t="s">
        <v>201</v>
      </c>
      <c r="H23" s="295"/>
      <c r="I23" s="296"/>
      <c r="J23" s="295"/>
      <c r="K23" s="296"/>
      <c r="L23" s="275"/>
      <c r="M23" s="276">
        <f>SUM(M16:M22)</f>
        <v>0</v>
      </c>
      <c r="N23" s="275"/>
    </row>
    <row r="24" spans="2:14" x14ac:dyDescent="0.25">
      <c r="B24" s="251" t="s">
        <v>202</v>
      </c>
      <c r="C24" s="297" t="s">
        <v>203</v>
      </c>
      <c r="D24" s="253"/>
      <c r="E24" s="253"/>
      <c r="F24" s="253"/>
      <c r="G24" s="253"/>
      <c r="H24" s="254"/>
      <c r="I24" s="255"/>
      <c r="J24" s="256"/>
      <c r="K24" s="257"/>
      <c r="L24" s="253"/>
      <c r="M24" s="258"/>
      <c r="N24" s="253"/>
    </row>
    <row r="25" spans="2:14" x14ac:dyDescent="0.25">
      <c r="B25" s="259"/>
      <c r="C25" s="287" t="s">
        <v>204</v>
      </c>
      <c r="D25" s="261"/>
      <c r="E25" s="261"/>
      <c r="F25" s="261"/>
      <c r="G25" s="261"/>
      <c r="H25" s="193"/>
      <c r="I25" s="262"/>
      <c r="J25" s="263"/>
      <c r="K25" s="264"/>
      <c r="L25" s="261"/>
      <c r="M25" s="261"/>
      <c r="N25" s="261"/>
    </row>
    <row r="26" spans="2:14" x14ac:dyDescent="0.25">
      <c r="B26" s="259"/>
      <c r="C26" s="287" t="s">
        <v>2</v>
      </c>
      <c r="D26" s="261"/>
      <c r="E26" s="261"/>
      <c r="F26" s="261"/>
      <c r="G26" s="261"/>
      <c r="H26" s="193"/>
      <c r="I26" s="262"/>
      <c r="J26" s="263"/>
      <c r="K26" s="264"/>
      <c r="L26" s="261"/>
      <c r="M26" s="261"/>
      <c r="N26" s="261"/>
    </row>
    <row r="27" spans="2:14" s="47" customFormat="1" x14ac:dyDescent="0.25">
      <c r="B27" s="270"/>
      <c r="C27" s="271"/>
      <c r="D27" s="271"/>
      <c r="E27" s="271"/>
      <c r="F27" s="271"/>
      <c r="G27" s="272" t="s">
        <v>205</v>
      </c>
      <c r="H27" s="273"/>
      <c r="I27" s="274"/>
      <c r="J27" s="273"/>
      <c r="K27" s="274"/>
      <c r="L27" s="275"/>
      <c r="M27" s="276">
        <f>SUM(M24:M26)</f>
        <v>0</v>
      </c>
      <c r="N27" s="275"/>
    </row>
    <row r="28" spans="2:14" x14ac:dyDescent="0.25">
      <c r="B28" s="251" t="s">
        <v>206</v>
      </c>
      <c r="C28" s="297" t="s">
        <v>207</v>
      </c>
      <c r="D28" s="253"/>
      <c r="E28" s="253"/>
      <c r="F28" s="253"/>
      <c r="G28" s="253"/>
      <c r="H28" s="254"/>
      <c r="I28" s="255"/>
      <c r="J28" s="256"/>
      <c r="K28" s="257"/>
      <c r="L28" s="253"/>
      <c r="M28" s="258"/>
      <c r="N28" s="253"/>
    </row>
    <row r="29" spans="2:14" x14ac:dyDescent="0.25">
      <c r="B29" s="259"/>
      <c r="C29" s="287" t="s">
        <v>204</v>
      </c>
      <c r="D29" s="261"/>
      <c r="E29" s="261"/>
      <c r="F29" s="261"/>
      <c r="G29" s="261"/>
      <c r="H29" s="193"/>
      <c r="I29" s="262"/>
      <c r="J29" s="263"/>
      <c r="K29" s="264"/>
      <c r="L29" s="261"/>
      <c r="M29" s="261"/>
      <c r="N29" s="261"/>
    </row>
    <row r="30" spans="2:14" x14ac:dyDescent="0.25">
      <c r="B30" s="259"/>
      <c r="C30" s="287" t="s">
        <v>2</v>
      </c>
      <c r="D30" s="261"/>
      <c r="E30" s="261"/>
      <c r="F30" s="261"/>
      <c r="G30" s="261"/>
      <c r="H30" s="193"/>
      <c r="I30" s="262"/>
      <c r="J30" s="263"/>
      <c r="K30" s="264"/>
      <c r="L30" s="261"/>
      <c r="M30" s="261"/>
      <c r="N30" s="261"/>
    </row>
    <row r="31" spans="2:14" s="47" customFormat="1" x14ac:dyDescent="0.25">
      <c r="B31" s="270"/>
      <c r="C31" s="271"/>
      <c r="D31" s="271"/>
      <c r="E31" s="271"/>
      <c r="F31" s="271"/>
      <c r="G31" s="272" t="s">
        <v>208</v>
      </c>
      <c r="H31" s="273"/>
      <c r="I31" s="274"/>
      <c r="J31" s="273"/>
      <c r="K31" s="274"/>
      <c r="L31" s="275"/>
      <c r="M31" s="276">
        <f>SUM(M28:M30)</f>
        <v>0</v>
      </c>
      <c r="N31" s="275"/>
    </row>
    <row r="32" spans="2:14" s="47" customFormat="1" x14ac:dyDescent="0.25">
      <c r="B32" s="270"/>
      <c r="C32" s="271"/>
      <c r="D32" s="271"/>
      <c r="E32" s="271"/>
      <c r="F32" s="271"/>
      <c r="G32" s="272" t="s">
        <v>209</v>
      </c>
      <c r="H32" s="295"/>
      <c r="I32" s="296"/>
      <c r="J32" s="295"/>
      <c r="K32" s="296"/>
      <c r="L32" s="275"/>
      <c r="M32" s="276">
        <f>M31+M27+M23+M15</f>
        <v>0</v>
      </c>
      <c r="N32" s="275"/>
    </row>
    <row r="33" spans="2:14" x14ac:dyDescent="0.25">
      <c r="B33" s="186"/>
      <c r="C33" s="187"/>
      <c r="D33" s="187"/>
      <c r="E33" s="187"/>
      <c r="F33" s="187"/>
      <c r="G33" s="187"/>
      <c r="H33" s="187"/>
      <c r="I33" s="187"/>
      <c r="J33" s="189"/>
      <c r="K33" s="189"/>
      <c r="L33" s="187"/>
      <c r="M33" s="187"/>
      <c r="N33" s="255"/>
    </row>
    <row r="34" spans="2:14" x14ac:dyDescent="0.25">
      <c r="B34" s="193"/>
      <c r="L34" t="s">
        <v>210</v>
      </c>
      <c r="N34" s="262"/>
    </row>
    <row r="35" spans="2:14" x14ac:dyDescent="0.25">
      <c r="B35" s="193"/>
      <c r="D35" t="s">
        <v>145</v>
      </c>
      <c r="L35" t="s">
        <v>211</v>
      </c>
      <c r="N35" s="262"/>
    </row>
    <row r="36" spans="2:14" x14ac:dyDescent="0.25">
      <c r="B36" s="193"/>
      <c r="D36" t="s">
        <v>212</v>
      </c>
      <c r="N36" s="262"/>
    </row>
    <row r="37" spans="2:14" x14ac:dyDescent="0.25">
      <c r="B37" s="193"/>
      <c r="N37" s="262"/>
    </row>
    <row r="38" spans="2:14" x14ac:dyDescent="0.25">
      <c r="B38" s="193"/>
      <c r="N38" s="262"/>
    </row>
    <row r="39" spans="2:14" x14ac:dyDescent="0.25">
      <c r="B39" s="193"/>
      <c r="N39" s="262"/>
    </row>
    <row r="40" spans="2:14" x14ac:dyDescent="0.25">
      <c r="B40" s="200"/>
      <c r="C40" s="201"/>
      <c r="D40" s="298" t="s">
        <v>149</v>
      </c>
      <c r="E40" s="201"/>
      <c r="F40" s="201"/>
      <c r="G40" s="201"/>
      <c r="H40" s="201"/>
      <c r="I40" s="201"/>
      <c r="J40" s="203"/>
      <c r="K40" s="203"/>
      <c r="L40" s="298" t="s">
        <v>213</v>
      </c>
      <c r="M40" s="201"/>
      <c r="N40" s="267"/>
    </row>
  </sheetData>
  <mergeCells count="6">
    <mergeCell ref="B2:N2"/>
    <mergeCell ref="H7:I7"/>
    <mergeCell ref="J7:K7"/>
    <mergeCell ref="H8:I8"/>
    <mergeCell ref="J8:K8"/>
    <mergeCell ref="C9:C11"/>
  </mergeCells>
  <pageMargins left="0.94488188976377963" right="0.43307086614173229" top="0.43307086614173229" bottom="0.31" header="0.31496062992125984" footer="0.16"/>
  <pageSetup paperSize="9" scale="85" orientation="landscape" r:id="rId1"/>
  <headerFooter>
    <oddFooter>&amp;A&amp;RPage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D1F7-49DF-42B6-9BD6-BD1AD0F37F94}">
  <dimension ref="B8:M92"/>
  <sheetViews>
    <sheetView showGridLines="0" topLeftCell="A36" zoomScaleNormal="100" zoomScaleSheetLayoutView="100" workbookViewId="0">
      <selection activeCell="L51" sqref="L51"/>
    </sheetView>
  </sheetViews>
  <sheetFormatPr defaultRowHeight="15" x14ac:dyDescent="0.25"/>
  <cols>
    <col min="2" max="3" width="5.28515625" customWidth="1"/>
    <col min="4" max="4" width="4" customWidth="1"/>
    <col min="5" max="5" width="4.7109375" customWidth="1"/>
    <col min="8" max="8" width="14.85546875" customWidth="1"/>
    <col min="9" max="9" width="18.85546875" customWidth="1"/>
    <col min="10" max="10" width="17.85546875" customWidth="1"/>
  </cols>
  <sheetData>
    <row r="8" spans="2:10" ht="7.5" customHeight="1" x14ac:dyDescent="0.25"/>
    <row r="9" spans="2:10" ht="15.75" x14ac:dyDescent="0.25">
      <c r="B9" s="242" t="s">
        <v>214</v>
      </c>
      <c r="C9" s="242"/>
      <c r="D9" s="242"/>
      <c r="E9" s="242"/>
      <c r="F9" s="242"/>
      <c r="G9" s="242"/>
      <c r="H9" s="242"/>
      <c r="I9" s="242"/>
      <c r="J9" s="242"/>
    </row>
    <row r="10" spans="2:10" ht="15.75" x14ac:dyDescent="0.25">
      <c r="B10" s="242" t="s">
        <v>215</v>
      </c>
      <c r="C10" s="242"/>
      <c r="D10" s="242"/>
      <c r="E10" s="242"/>
      <c r="F10" s="242"/>
      <c r="G10" s="242"/>
      <c r="H10" s="242"/>
      <c r="I10" s="242"/>
      <c r="J10" s="242"/>
    </row>
    <row r="11" spans="2:10" ht="15.75" x14ac:dyDescent="0.25">
      <c r="B11" s="242" t="s">
        <v>216</v>
      </c>
      <c r="C11" s="242"/>
      <c r="D11" s="242"/>
      <c r="E11" s="242"/>
      <c r="F11" s="242"/>
      <c r="G11" s="242"/>
      <c r="H11" s="242"/>
      <c r="I11" s="242"/>
      <c r="J11" s="242"/>
    </row>
    <row r="12" spans="2:10" ht="15.75" x14ac:dyDescent="0.25">
      <c r="B12" s="242" t="s">
        <v>217</v>
      </c>
      <c r="C12" s="242"/>
      <c r="D12" s="242"/>
      <c r="E12" s="242"/>
      <c r="F12" s="242"/>
      <c r="G12" s="242"/>
      <c r="H12" s="242"/>
      <c r="I12" s="242"/>
      <c r="J12" s="242"/>
    </row>
    <row r="13" spans="2:10" ht="15.75" x14ac:dyDescent="0.25">
      <c r="B13" s="242" t="s">
        <v>218</v>
      </c>
      <c r="C13" s="242"/>
      <c r="D13" s="242"/>
      <c r="E13" s="242"/>
      <c r="F13" s="242"/>
      <c r="G13" s="242"/>
      <c r="H13" s="242"/>
      <c r="I13" s="242"/>
      <c r="J13" s="242"/>
    </row>
    <row r="14" spans="2:10" ht="15.75" x14ac:dyDescent="0.25">
      <c r="B14" s="299" t="s">
        <v>219</v>
      </c>
      <c r="C14" s="299"/>
      <c r="D14" s="299"/>
      <c r="E14" s="299"/>
      <c r="F14" s="299"/>
      <c r="G14" s="299"/>
      <c r="H14" s="299"/>
      <c r="I14" s="299"/>
      <c r="J14" s="299"/>
    </row>
    <row r="15" spans="2:10" ht="15.75" x14ac:dyDescent="0.25">
      <c r="B15" s="299" t="s">
        <v>1</v>
      </c>
      <c r="C15" s="299"/>
      <c r="D15" s="299"/>
      <c r="E15" s="299"/>
      <c r="F15" s="299"/>
      <c r="G15" s="299"/>
      <c r="H15" s="299"/>
      <c r="I15" s="299"/>
      <c r="J15" s="299"/>
    </row>
    <row r="16" spans="2:10" ht="3.75" customHeight="1" x14ac:dyDescent="0.25">
      <c r="B16" s="300"/>
      <c r="C16" s="300"/>
      <c r="D16" s="300"/>
    </row>
    <row r="17" spans="2:13" ht="15.75" x14ac:dyDescent="0.25">
      <c r="B17" s="299" t="s">
        <v>220</v>
      </c>
      <c r="C17" s="299"/>
      <c r="D17" s="299"/>
      <c r="E17" s="299"/>
      <c r="F17" s="299"/>
      <c r="G17" s="299"/>
      <c r="H17" s="299"/>
      <c r="I17" s="299"/>
      <c r="J17" s="299"/>
    </row>
    <row r="18" spans="2:13" ht="15.75" x14ac:dyDescent="0.25">
      <c r="B18" s="299" t="s">
        <v>214</v>
      </c>
      <c r="C18" s="299"/>
      <c r="D18" s="299"/>
      <c r="E18" s="299"/>
      <c r="F18" s="299"/>
      <c r="G18" s="299"/>
      <c r="H18" s="299"/>
      <c r="I18" s="299"/>
      <c r="J18" s="299"/>
    </row>
    <row r="19" spans="2:13" ht="4.5" customHeight="1" x14ac:dyDescent="0.25"/>
    <row r="20" spans="2:13" s="58" customFormat="1" ht="45.75" customHeight="1" x14ac:dyDescent="0.25">
      <c r="B20" s="301" t="s">
        <v>221</v>
      </c>
      <c r="C20" s="301"/>
      <c r="D20" s="301"/>
      <c r="E20" s="63" t="s">
        <v>222</v>
      </c>
      <c r="F20" s="302" t="s">
        <v>223</v>
      </c>
      <c r="G20" s="302"/>
      <c r="H20" s="302"/>
      <c r="I20" s="302"/>
      <c r="J20" s="302"/>
    </row>
    <row r="21" spans="2:13" s="58" customFormat="1" ht="108" customHeight="1" x14ac:dyDescent="0.25">
      <c r="E21" s="63" t="s">
        <v>224</v>
      </c>
      <c r="F21" s="302" t="s">
        <v>225</v>
      </c>
      <c r="G21" s="302"/>
      <c r="H21" s="302"/>
      <c r="I21" s="302"/>
      <c r="J21" s="302"/>
    </row>
    <row r="22" spans="2:13" s="58" customFormat="1" ht="48" customHeight="1" x14ac:dyDescent="0.25">
      <c r="E22" s="63" t="s">
        <v>73</v>
      </c>
      <c r="F22" s="302" t="s">
        <v>226</v>
      </c>
      <c r="G22" s="302"/>
      <c r="H22" s="302"/>
      <c r="I22" s="302"/>
      <c r="J22" s="302"/>
    </row>
    <row r="23" spans="2:13" s="58" customFormat="1" ht="43.5" customHeight="1" x14ac:dyDescent="0.25">
      <c r="B23" s="301" t="s">
        <v>227</v>
      </c>
      <c r="C23" s="301"/>
      <c r="D23" s="301"/>
      <c r="E23" s="63">
        <v>1</v>
      </c>
      <c r="F23" s="302" t="s">
        <v>228</v>
      </c>
      <c r="G23" s="302"/>
      <c r="H23" s="302"/>
      <c r="I23" s="302"/>
      <c r="J23" s="302"/>
    </row>
    <row r="24" spans="2:13" s="58" customFormat="1" ht="120.75" customHeight="1" x14ac:dyDescent="0.25">
      <c r="E24" s="63">
        <v>2</v>
      </c>
      <c r="F24" s="302" t="s">
        <v>229</v>
      </c>
      <c r="G24" s="302"/>
      <c r="H24" s="302"/>
      <c r="I24" s="302"/>
      <c r="J24" s="302"/>
      <c r="M24" s="136" t="s">
        <v>230</v>
      </c>
    </row>
    <row r="25" spans="2:13" s="58" customFormat="1" ht="48.75" customHeight="1" x14ac:dyDescent="0.25">
      <c r="E25" s="63">
        <v>3</v>
      </c>
      <c r="F25" s="302" t="s">
        <v>231</v>
      </c>
      <c r="G25" s="302"/>
      <c r="H25" s="302"/>
      <c r="I25" s="302"/>
      <c r="J25" s="302"/>
    </row>
    <row r="26" spans="2:13" s="58" customFormat="1" ht="46.5" customHeight="1" x14ac:dyDescent="0.25">
      <c r="E26" s="63">
        <v>4</v>
      </c>
      <c r="F26" s="302" t="s">
        <v>232</v>
      </c>
      <c r="G26" s="302"/>
      <c r="H26" s="302"/>
      <c r="I26" s="302"/>
      <c r="J26" s="302"/>
    </row>
    <row r="27" spans="2:13" s="58" customFormat="1" ht="75.75" customHeight="1" x14ac:dyDescent="0.25">
      <c r="E27" s="63">
        <v>5</v>
      </c>
      <c r="F27" s="302" t="s">
        <v>233</v>
      </c>
      <c r="G27" s="302"/>
      <c r="H27" s="302"/>
      <c r="I27" s="302"/>
      <c r="J27" s="302"/>
    </row>
    <row r="28" spans="2:13" s="58" customFormat="1" ht="31.5" customHeight="1" x14ac:dyDescent="0.25">
      <c r="E28" s="63">
        <v>6</v>
      </c>
      <c r="F28" s="302" t="s">
        <v>234</v>
      </c>
      <c r="G28" s="302"/>
      <c r="H28" s="302"/>
      <c r="I28" s="302"/>
      <c r="J28" s="302"/>
    </row>
    <row r="29" spans="2:13" s="58" customFormat="1" ht="30.75" customHeight="1" x14ac:dyDescent="0.25">
      <c r="E29" s="63">
        <v>7</v>
      </c>
      <c r="F29" s="302" t="s">
        <v>235</v>
      </c>
      <c r="G29" s="302"/>
      <c r="H29" s="302"/>
      <c r="I29" s="302"/>
      <c r="J29" s="302"/>
    </row>
    <row r="30" spans="2:13" s="58" customFormat="1" ht="15.75" customHeight="1" x14ac:dyDescent="0.25">
      <c r="B30" s="303" t="s">
        <v>236</v>
      </c>
      <c r="C30" s="303"/>
      <c r="D30" s="303"/>
      <c r="E30" s="303"/>
      <c r="F30" s="303"/>
      <c r="G30" s="303"/>
      <c r="H30" s="303"/>
      <c r="I30" s="303"/>
      <c r="J30" s="303"/>
    </row>
    <row r="31" spans="2:13" s="58" customFormat="1" ht="21" customHeight="1" x14ac:dyDescent="0.25">
      <c r="B31" s="304" t="s">
        <v>237</v>
      </c>
      <c r="C31" s="304"/>
      <c r="D31" s="304"/>
      <c r="E31" s="304"/>
      <c r="F31" s="304"/>
      <c r="G31" s="304"/>
      <c r="H31" s="304"/>
      <c r="I31" s="304"/>
      <c r="J31" s="304"/>
    </row>
    <row r="32" spans="2:13" s="58" customFormat="1" ht="21" customHeight="1" x14ac:dyDescent="0.25">
      <c r="B32" s="303" t="s">
        <v>238</v>
      </c>
      <c r="C32" s="303"/>
      <c r="D32" s="303"/>
      <c r="E32" s="303"/>
      <c r="F32" s="303"/>
      <c r="G32" s="303"/>
      <c r="H32" s="303"/>
      <c r="I32" s="303"/>
      <c r="J32" s="303"/>
    </row>
    <row r="33" spans="2:10" s="58" customFormat="1" ht="21" customHeight="1" x14ac:dyDescent="0.25">
      <c r="B33" s="304" t="s">
        <v>214</v>
      </c>
      <c r="C33" s="304"/>
      <c r="D33" s="304"/>
      <c r="E33" s="304"/>
      <c r="F33" s="304"/>
      <c r="G33" s="304"/>
      <c r="H33" s="304"/>
      <c r="I33" s="304"/>
      <c r="J33" s="304"/>
    </row>
    <row r="34" spans="2:10" s="58" customFormat="1" x14ac:dyDescent="0.25">
      <c r="B34" s="305" t="s">
        <v>239</v>
      </c>
      <c r="C34" s="305"/>
      <c r="D34" s="305"/>
      <c r="E34" s="305"/>
      <c r="F34" s="305"/>
      <c r="G34" s="305"/>
      <c r="H34" s="305"/>
      <c r="I34" s="305"/>
      <c r="J34" s="305"/>
    </row>
    <row r="35" spans="2:10" s="58" customFormat="1" ht="37.5" customHeight="1" x14ac:dyDescent="0.25">
      <c r="B35" s="306" t="s">
        <v>240</v>
      </c>
      <c r="C35" s="306"/>
      <c r="D35" s="306"/>
      <c r="E35" s="307" t="s">
        <v>241</v>
      </c>
      <c r="F35" s="307"/>
      <c r="G35" s="307"/>
      <c r="H35" s="307"/>
      <c r="I35" s="307"/>
      <c r="J35" s="307"/>
    </row>
    <row r="36" spans="2:10" s="58" customFormat="1" x14ac:dyDescent="0.2">
      <c r="B36" s="308" t="s">
        <v>242</v>
      </c>
      <c r="C36" s="308"/>
      <c r="D36" s="308"/>
      <c r="E36" s="308"/>
      <c r="F36" s="308"/>
      <c r="G36" s="308"/>
      <c r="H36" s="308"/>
      <c r="I36" s="308"/>
      <c r="J36" s="308"/>
    </row>
    <row r="37" spans="2:10" s="58" customFormat="1" ht="30.75" customHeight="1" x14ac:dyDescent="0.25">
      <c r="B37" s="309" t="s">
        <v>243</v>
      </c>
      <c r="C37" s="309"/>
      <c r="D37" s="309"/>
      <c r="E37" s="309"/>
      <c r="F37" s="309"/>
      <c r="G37" s="309"/>
      <c r="H37" s="309"/>
      <c r="I37" s="309"/>
      <c r="J37" s="309"/>
    </row>
    <row r="38" spans="2:10" s="58" customFormat="1" x14ac:dyDescent="0.25">
      <c r="B38" s="63">
        <v>1</v>
      </c>
      <c r="C38" s="136" t="s">
        <v>244</v>
      </c>
      <c r="E38" s="63"/>
      <c r="F38" s="310"/>
      <c r="G38" s="310"/>
      <c r="H38" s="310"/>
      <c r="I38" s="310"/>
      <c r="J38" s="311">
        <f>'[238]Lamp 1a'!D13</f>
        <v>692448400</v>
      </c>
    </row>
    <row r="39" spans="2:10" s="58" customFormat="1" ht="8.25" customHeight="1" x14ac:dyDescent="0.25">
      <c r="C39" s="312"/>
      <c r="E39" s="63"/>
      <c r="F39" s="310"/>
      <c r="G39" s="310"/>
      <c r="H39" s="310"/>
      <c r="J39" s="311"/>
    </row>
    <row r="40" spans="2:10" s="58" customFormat="1" x14ac:dyDescent="0.25">
      <c r="B40" s="63">
        <v>2</v>
      </c>
      <c r="C40" s="58" t="s">
        <v>245</v>
      </c>
      <c r="E40" s="63"/>
      <c r="F40" s="310"/>
      <c r="G40" s="310"/>
      <c r="H40" s="310"/>
      <c r="I40" s="310"/>
      <c r="J40" s="311">
        <f>'[238]Lamp 1a'!D19</f>
        <v>768196954</v>
      </c>
    </row>
    <row r="41" spans="2:10" s="58" customFormat="1" ht="4.5" customHeight="1" x14ac:dyDescent="0.25">
      <c r="E41" s="63"/>
      <c r="F41" s="310"/>
      <c r="G41" s="310"/>
      <c r="H41" s="313"/>
      <c r="I41" s="310"/>
      <c r="J41" s="310"/>
    </row>
    <row r="42" spans="2:10" s="58" customFormat="1" x14ac:dyDescent="0.25">
      <c r="B42" s="63">
        <v>3</v>
      </c>
      <c r="C42" s="58" t="s">
        <v>246</v>
      </c>
      <c r="E42" s="63"/>
      <c r="F42" s="310"/>
      <c r="G42" s="310"/>
      <c r="H42" s="310"/>
      <c r="I42" s="310"/>
      <c r="J42" s="311">
        <f>J43</f>
        <v>75748554</v>
      </c>
    </row>
    <row r="43" spans="2:10" s="58" customFormat="1" x14ac:dyDescent="0.25">
      <c r="C43" s="312" t="s">
        <v>247</v>
      </c>
      <c r="D43" s="58" t="s">
        <v>248</v>
      </c>
      <c r="E43" s="63"/>
      <c r="F43" s="310"/>
      <c r="G43" s="310"/>
      <c r="H43" s="310"/>
      <c r="I43" s="310"/>
      <c r="J43" s="311">
        <f>J40-J38</f>
        <v>75748554</v>
      </c>
    </row>
    <row r="44" spans="2:10" s="58" customFormat="1" x14ac:dyDescent="0.25">
      <c r="C44" s="312" t="s">
        <v>249</v>
      </c>
      <c r="D44" s="58" t="s">
        <v>250</v>
      </c>
      <c r="E44" s="63"/>
      <c r="F44" s="310"/>
      <c r="G44" s="310"/>
      <c r="H44" s="310"/>
      <c r="I44" s="310"/>
      <c r="J44" s="311">
        <v>0</v>
      </c>
    </row>
    <row r="45" spans="2:10" s="58" customFormat="1" x14ac:dyDescent="0.25">
      <c r="E45" s="63"/>
      <c r="F45" s="310"/>
      <c r="G45" s="310"/>
      <c r="I45" s="314" t="s">
        <v>251</v>
      </c>
      <c r="J45" s="311">
        <f>J43-J44</f>
        <v>75748554</v>
      </c>
    </row>
    <row r="46" spans="2:10" ht="8.25" customHeight="1" x14ac:dyDescent="0.25">
      <c r="E46" s="315"/>
    </row>
    <row r="47" spans="2:10" x14ac:dyDescent="0.25">
      <c r="B47" s="308" t="s">
        <v>252</v>
      </c>
      <c r="C47" s="308"/>
      <c r="D47" s="308"/>
      <c r="E47" s="308"/>
      <c r="F47" s="308"/>
      <c r="G47" s="308"/>
      <c r="H47" s="308"/>
      <c r="I47" s="308"/>
      <c r="J47" s="308"/>
    </row>
    <row r="48" spans="2:10" ht="31.5" customHeight="1" x14ac:dyDescent="0.25">
      <c r="B48" s="309" t="s">
        <v>253</v>
      </c>
      <c r="C48" s="309"/>
      <c r="D48" s="309"/>
      <c r="E48" s="309"/>
      <c r="F48" s="309"/>
      <c r="G48" s="309"/>
      <c r="H48" s="309"/>
      <c r="I48" s="309"/>
      <c r="J48" s="309"/>
    </row>
    <row r="49" spans="2:10" ht="16.5" customHeight="1" x14ac:dyDescent="0.25">
      <c r="B49" s="308" t="s">
        <v>254</v>
      </c>
      <c r="C49" s="308"/>
      <c r="D49" s="308"/>
      <c r="E49" s="308"/>
      <c r="F49" s="308"/>
      <c r="G49" s="308"/>
      <c r="H49" s="308"/>
      <c r="I49" s="308"/>
      <c r="J49" s="308"/>
    </row>
    <row r="50" spans="2:10" ht="16.5" customHeight="1" x14ac:dyDescent="0.25">
      <c r="B50" s="309" t="s">
        <v>255</v>
      </c>
      <c r="C50" s="309"/>
      <c r="D50" s="309"/>
      <c r="E50" s="309"/>
      <c r="F50" s="309"/>
      <c r="G50" s="309"/>
      <c r="H50" s="309"/>
      <c r="I50" s="309"/>
      <c r="J50" s="309"/>
    </row>
    <row r="51" spans="2:10" ht="16.5" customHeight="1" x14ac:dyDescent="0.25">
      <c r="B51" s="316" t="s">
        <v>29</v>
      </c>
      <c r="C51" s="317" t="s">
        <v>256</v>
      </c>
      <c r="D51" s="318"/>
      <c r="E51" s="318"/>
      <c r="F51" s="318"/>
      <c r="G51" s="318"/>
      <c r="H51" s="318"/>
      <c r="I51" s="318"/>
      <c r="J51" s="318"/>
    </row>
    <row r="52" spans="2:10" ht="16.5" customHeight="1" x14ac:dyDescent="0.25">
      <c r="B52" s="316" t="s">
        <v>37</v>
      </c>
      <c r="C52" s="317" t="s">
        <v>257</v>
      </c>
      <c r="D52" s="318"/>
      <c r="E52" s="318"/>
      <c r="F52" s="318"/>
      <c r="G52" s="318"/>
      <c r="H52" s="318"/>
      <c r="I52" s="318"/>
      <c r="J52" s="318"/>
    </row>
    <row r="53" spans="2:10" ht="16.5" customHeight="1" x14ac:dyDescent="0.25">
      <c r="B53" s="316" t="s">
        <v>73</v>
      </c>
      <c r="C53" s="317" t="s">
        <v>258</v>
      </c>
      <c r="D53" s="318"/>
      <c r="E53" s="318"/>
      <c r="F53" s="318"/>
      <c r="G53" s="318"/>
      <c r="H53" s="318"/>
      <c r="I53" s="318"/>
      <c r="J53" s="318"/>
    </row>
    <row r="54" spans="2:10" ht="16.5" customHeight="1" x14ac:dyDescent="0.25">
      <c r="B54" s="316" t="s">
        <v>93</v>
      </c>
      <c r="C54" s="317" t="s">
        <v>259</v>
      </c>
      <c r="D54" s="318"/>
      <c r="E54" s="318"/>
      <c r="F54" s="318"/>
      <c r="G54" s="318"/>
      <c r="H54" s="318"/>
      <c r="I54" s="318"/>
      <c r="J54" s="318"/>
    </row>
    <row r="55" spans="2:10" ht="15" customHeight="1" x14ac:dyDescent="0.25">
      <c r="B55" s="308" t="s">
        <v>260</v>
      </c>
      <c r="C55" s="308"/>
      <c r="D55" s="308"/>
      <c r="E55" s="308"/>
      <c r="F55" s="308"/>
      <c r="G55" s="308"/>
      <c r="H55" s="308"/>
      <c r="I55" s="308"/>
      <c r="J55" s="308"/>
    </row>
    <row r="56" spans="2:10" ht="30.75" customHeight="1" x14ac:dyDescent="0.25">
      <c r="B56" s="309" t="s">
        <v>261</v>
      </c>
      <c r="C56" s="309"/>
      <c r="D56" s="309"/>
      <c r="E56" s="309"/>
      <c r="F56" s="309"/>
      <c r="G56" s="309"/>
      <c r="H56" s="309"/>
      <c r="I56" s="309"/>
      <c r="J56" s="309"/>
    </row>
    <row r="57" spans="2:10" ht="15" customHeight="1" x14ac:dyDescent="0.25">
      <c r="B57" s="308" t="s">
        <v>262</v>
      </c>
      <c r="C57" s="308"/>
      <c r="D57" s="308"/>
      <c r="E57" s="308"/>
      <c r="F57" s="308"/>
      <c r="G57" s="308"/>
      <c r="H57" s="308"/>
      <c r="I57" s="308"/>
      <c r="J57" s="308"/>
    </row>
    <row r="58" spans="2:10" ht="31.5" customHeight="1" x14ac:dyDescent="0.25">
      <c r="B58" s="319" t="s">
        <v>263</v>
      </c>
      <c r="C58" s="302" t="s">
        <v>264</v>
      </c>
      <c r="D58" s="302"/>
      <c r="E58" s="302"/>
      <c r="F58" s="302"/>
      <c r="G58" s="302"/>
      <c r="H58" s="302"/>
      <c r="I58" s="302"/>
      <c r="J58" s="302"/>
    </row>
    <row r="59" spans="2:10" ht="30" customHeight="1" x14ac:dyDescent="0.25">
      <c r="B59" s="319" t="s">
        <v>265</v>
      </c>
      <c r="C59" s="302" t="s">
        <v>266</v>
      </c>
      <c r="D59" s="302"/>
      <c r="E59" s="302"/>
      <c r="F59" s="302"/>
      <c r="G59" s="302"/>
      <c r="H59" s="302"/>
      <c r="I59" s="302"/>
      <c r="J59" s="302"/>
    </row>
    <row r="60" spans="2:10" ht="42.75" customHeight="1" x14ac:dyDescent="0.25">
      <c r="B60" s="319" t="s">
        <v>267</v>
      </c>
      <c r="C60" s="302" t="s">
        <v>268</v>
      </c>
      <c r="D60" s="302"/>
      <c r="E60" s="302"/>
      <c r="F60" s="302"/>
      <c r="G60" s="302"/>
      <c r="H60" s="302"/>
      <c r="I60" s="302"/>
      <c r="J60" s="302"/>
    </row>
    <row r="61" spans="2:10" ht="15.75" customHeight="1" x14ac:dyDescent="0.25">
      <c r="B61" s="319" t="s">
        <v>269</v>
      </c>
      <c r="C61" s="302" t="s">
        <v>270</v>
      </c>
      <c r="D61" s="302"/>
      <c r="E61" s="302"/>
      <c r="F61" s="302"/>
      <c r="G61" s="302"/>
      <c r="H61" s="302"/>
      <c r="I61" s="302"/>
      <c r="J61" s="302"/>
    </row>
    <row r="62" spans="2:10" ht="15.75" customHeight="1" x14ac:dyDescent="0.25">
      <c r="B62" s="319"/>
      <c r="C62" s="320" t="s">
        <v>271</v>
      </c>
      <c r="D62" s="302" t="s">
        <v>272</v>
      </c>
      <c r="E62" s="302"/>
      <c r="F62" s="302"/>
      <c r="G62" s="302"/>
      <c r="H62" s="302"/>
      <c r="I62" s="302"/>
      <c r="J62" s="302"/>
    </row>
    <row r="63" spans="2:10" ht="15.75" customHeight="1" x14ac:dyDescent="0.25">
      <c r="B63" s="319"/>
      <c r="C63" s="320" t="s">
        <v>37</v>
      </c>
      <c r="D63" s="302" t="s">
        <v>273</v>
      </c>
      <c r="E63" s="302"/>
      <c r="F63" s="302"/>
      <c r="G63" s="302"/>
      <c r="H63" s="302"/>
      <c r="I63" s="302"/>
      <c r="J63" s="302"/>
    </row>
    <row r="64" spans="2:10" ht="15.75" customHeight="1" x14ac:dyDescent="0.25">
      <c r="B64" s="319"/>
      <c r="C64" s="320" t="s">
        <v>73</v>
      </c>
      <c r="D64" s="302" t="s">
        <v>274</v>
      </c>
      <c r="E64" s="302"/>
      <c r="F64" s="302"/>
      <c r="G64" s="302"/>
      <c r="H64" s="302"/>
      <c r="I64" s="302"/>
      <c r="J64" s="302"/>
    </row>
    <row r="65" spans="2:10" ht="15.75" customHeight="1" x14ac:dyDescent="0.25">
      <c r="B65" s="319"/>
      <c r="C65" s="320" t="s">
        <v>93</v>
      </c>
      <c r="D65" s="302" t="s">
        <v>275</v>
      </c>
      <c r="E65" s="302"/>
      <c r="F65" s="302"/>
      <c r="G65" s="302"/>
      <c r="H65" s="302"/>
      <c r="I65" s="302"/>
      <c r="J65" s="302"/>
    </row>
    <row r="66" spans="2:10" ht="15.75" customHeight="1" x14ac:dyDescent="0.25">
      <c r="B66" s="319"/>
      <c r="C66" s="321"/>
      <c r="D66" s="302" t="s">
        <v>276</v>
      </c>
      <c r="E66" s="302"/>
      <c r="F66" s="302"/>
      <c r="G66" s="302"/>
      <c r="H66" s="302"/>
      <c r="I66" s="302"/>
      <c r="J66" s="302"/>
    </row>
    <row r="67" spans="2:10" ht="15" customHeight="1" x14ac:dyDescent="0.25">
      <c r="B67" s="308" t="s">
        <v>277</v>
      </c>
      <c r="C67" s="308"/>
      <c r="D67" s="308"/>
      <c r="E67" s="308"/>
      <c r="F67" s="308"/>
      <c r="G67" s="308"/>
      <c r="H67" s="308"/>
      <c r="I67" s="308"/>
      <c r="J67" s="308"/>
    </row>
    <row r="68" spans="2:10" ht="15.75" customHeight="1" x14ac:dyDescent="0.25">
      <c r="B68" s="319" t="s">
        <v>278</v>
      </c>
      <c r="C68" s="321"/>
      <c r="D68" s="321"/>
      <c r="E68" s="321"/>
      <c r="F68" s="321"/>
      <c r="G68" s="321"/>
      <c r="H68" s="321"/>
      <c r="I68" s="321"/>
      <c r="J68" s="321"/>
    </row>
    <row r="69" spans="2:10" ht="15.75" customHeight="1" x14ac:dyDescent="0.25">
      <c r="B69" s="319"/>
      <c r="C69" s="321" t="s">
        <v>29</v>
      </c>
      <c r="D69" s="317" t="s">
        <v>279</v>
      </c>
      <c r="E69" s="321"/>
      <c r="F69" s="321"/>
      <c r="G69" s="321"/>
      <c r="H69" s="321"/>
      <c r="I69" s="321"/>
      <c r="J69" s="321"/>
    </row>
    <row r="70" spans="2:10" ht="15.75" customHeight="1" x14ac:dyDescent="0.25">
      <c r="B70" s="319"/>
      <c r="C70" s="321" t="s">
        <v>37</v>
      </c>
      <c r="D70" s="317" t="s">
        <v>280</v>
      </c>
      <c r="E70" s="321"/>
      <c r="F70" s="321"/>
      <c r="G70" s="321"/>
      <c r="H70" s="321"/>
      <c r="I70" s="321"/>
      <c r="J70" s="321"/>
    </row>
    <row r="71" spans="2:10" ht="31.5" customHeight="1" x14ac:dyDescent="0.25">
      <c r="B71" s="317"/>
      <c r="C71" s="317" t="s">
        <v>73</v>
      </c>
      <c r="D71" s="302" t="s">
        <v>281</v>
      </c>
      <c r="E71" s="302"/>
      <c r="F71" s="302"/>
      <c r="G71" s="302"/>
      <c r="H71" s="302"/>
      <c r="I71" s="302"/>
      <c r="J71" s="302"/>
    </row>
    <row r="72" spans="2:10" ht="28.5" customHeight="1" x14ac:dyDescent="0.25">
      <c r="B72" s="302" t="s">
        <v>282</v>
      </c>
      <c r="C72" s="302"/>
      <c r="D72" s="302"/>
      <c r="E72" s="302"/>
      <c r="F72" s="302"/>
      <c r="G72" s="302"/>
      <c r="H72" s="302"/>
      <c r="I72" s="302"/>
      <c r="J72" s="302"/>
    </row>
    <row r="73" spans="2:10" ht="15" customHeight="1" x14ac:dyDescent="0.25">
      <c r="B73" s="308" t="s">
        <v>283</v>
      </c>
      <c r="C73" s="308"/>
      <c r="D73" s="308"/>
      <c r="E73" s="308"/>
      <c r="F73" s="308"/>
      <c r="G73" s="308"/>
      <c r="H73" s="308"/>
      <c r="I73" s="308"/>
      <c r="J73" s="308"/>
    </row>
    <row r="74" spans="2:10" ht="15" customHeight="1" x14ac:dyDescent="0.25">
      <c r="B74" s="322" t="s">
        <v>284</v>
      </c>
      <c r="C74" s="323"/>
      <c r="D74" s="323"/>
      <c r="E74" s="323"/>
      <c r="F74" s="323"/>
      <c r="G74" s="323"/>
      <c r="H74" s="323"/>
      <c r="I74" s="323"/>
      <c r="J74" s="323"/>
    </row>
    <row r="75" spans="2:10" ht="28.5" customHeight="1" x14ac:dyDescent="0.25">
      <c r="B75" s="302" t="s">
        <v>285</v>
      </c>
      <c r="C75" s="302"/>
      <c r="D75" s="302"/>
      <c r="E75" s="302"/>
      <c r="F75" s="302"/>
      <c r="G75" s="302"/>
      <c r="H75" s="302"/>
      <c r="I75" s="302"/>
      <c r="J75" s="302"/>
    </row>
    <row r="76" spans="2:10" x14ac:dyDescent="0.25">
      <c r="I76" t="s">
        <v>286</v>
      </c>
    </row>
    <row r="77" spans="2:10" x14ac:dyDescent="0.25">
      <c r="I77" s="324" t="s">
        <v>287</v>
      </c>
    </row>
    <row r="78" spans="2:10" x14ac:dyDescent="0.25">
      <c r="I78" t="s">
        <v>288</v>
      </c>
    </row>
    <row r="82" spans="2:9" x14ac:dyDescent="0.25">
      <c r="I82" s="325" t="s">
        <v>149</v>
      </c>
    </row>
    <row r="84" spans="2:9" x14ac:dyDescent="0.25">
      <c r="B84" s="315" t="s">
        <v>289</v>
      </c>
    </row>
    <row r="85" spans="2:9" x14ac:dyDescent="0.25">
      <c r="B85" s="326" t="s">
        <v>290</v>
      </c>
    </row>
    <row r="86" spans="2:9" x14ac:dyDescent="0.25">
      <c r="B86" s="327" t="s">
        <v>291</v>
      </c>
    </row>
    <row r="87" spans="2:9" x14ac:dyDescent="0.25">
      <c r="B87" s="315"/>
    </row>
    <row r="88" spans="2:9" x14ac:dyDescent="0.25">
      <c r="B88" s="315"/>
    </row>
    <row r="89" spans="2:9" x14ac:dyDescent="0.25">
      <c r="B89" s="315"/>
    </row>
    <row r="90" spans="2:9" x14ac:dyDescent="0.25">
      <c r="B90" s="328" t="s">
        <v>150</v>
      </c>
    </row>
    <row r="91" spans="2:9" x14ac:dyDescent="0.25">
      <c r="B91" s="315"/>
    </row>
    <row r="92" spans="2:9" x14ac:dyDescent="0.25">
      <c r="B92" s="329" t="s">
        <v>292</v>
      </c>
    </row>
  </sheetData>
  <mergeCells count="51">
    <mergeCell ref="B72:J72"/>
    <mergeCell ref="B73:J73"/>
    <mergeCell ref="B75:J75"/>
    <mergeCell ref="D63:J63"/>
    <mergeCell ref="D64:J64"/>
    <mergeCell ref="D65:J65"/>
    <mergeCell ref="D66:J66"/>
    <mergeCell ref="B67:J67"/>
    <mergeCell ref="D71:J71"/>
    <mergeCell ref="B57:J57"/>
    <mergeCell ref="C58:J58"/>
    <mergeCell ref="C59:J59"/>
    <mergeCell ref="C60:J60"/>
    <mergeCell ref="C61:J61"/>
    <mergeCell ref="D62:J62"/>
    <mergeCell ref="B47:J47"/>
    <mergeCell ref="B48:J48"/>
    <mergeCell ref="B49:J49"/>
    <mergeCell ref="B50:J50"/>
    <mergeCell ref="B55:J55"/>
    <mergeCell ref="B56:J56"/>
    <mergeCell ref="B33:J33"/>
    <mergeCell ref="B34:J34"/>
    <mergeCell ref="B35:D35"/>
    <mergeCell ref="E35:J35"/>
    <mergeCell ref="B36:J36"/>
    <mergeCell ref="B37:J37"/>
    <mergeCell ref="F27:J27"/>
    <mergeCell ref="F28:J28"/>
    <mergeCell ref="F29:J29"/>
    <mergeCell ref="B30:J30"/>
    <mergeCell ref="B31:J31"/>
    <mergeCell ref="B32:J32"/>
    <mergeCell ref="F22:J22"/>
    <mergeCell ref="B23:D23"/>
    <mergeCell ref="F23:J23"/>
    <mergeCell ref="F24:J24"/>
    <mergeCell ref="F25:J25"/>
    <mergeCell ref="F26:J26"/>
    <mergeCell ref="B15:J15"/>
    <mergeCell ref="B17:J17"/>
    <mergeCell ref="B18:J18"/>
    <mergeCell ref="B20:D20"/>
    <mergeCell ref="F20:J20"/>
    <mergeCell ref="F21:J21"/>
    <mergeCell ref="B9:J9"/>
    <mergeCell ref="B10:J10"/>
    <mergeCell ref="B11:J11"/>
    <mergeCell ref="B12:J12"/>
    <mergeCell ref="B13:J13"/>
    <mergeCell ref="B14:J14"/>
  </mergeCells>
  <pageMargins left="0.62" right="0.56000000000000005" top="0.53" bottom="0.43"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C15E-ABA2-4BB1-8178-9E4E9FABEAE0}">
  <dimension ref="B2:H129"/>
  <sheetViews>
    <sheetView showGridLines="0" topLeftCell="A113" zoomScaleNormal="100" zoomScaleSheetLayoutView="100" workbookViewId="0">
      <selection activeCell="J113" sqref="J113"/>
    </sheetView>
  </sheetViews>
  <sheetFormatPr defaultRowHeight="15" x14ac:dyDescent="0.25"/>
  <cols>
    <col min="3" max="3" width="9" customWidth="1"/>
    <col min="4" max="4" width="50.42578125" customWidth="1"/>
    <col min="5" max="5" width="16" style="4" customWidth="1"/>
    <col min="6" max="6" width="11.7109375" customWidth="1"/>
    <col min="8" max="8" width="12.42578125" customWidth="1"/>
  </cols>
  <sheetData>
    <row r="2" spans="2:6" x14ac:dyDescent="0.25">
      <c r="B2" s="186"/>
      <c r="C2" s="187"/>
      <c r="D2" s="187"/>
      <c r="E2" s="190" t="s">
        <v>293</v>
      </c>
      <c r="F2" s="255"/>
    </row>
    <row r="3" spans="2:6" x14ac:dyDescent="0.25">
      <c r="B3" s="193"/>
      <c r="E3" s="194" t="s">
        <v>294</v>
      </c>
      <c r="F3" s="262"/>
    </row>
    <row r="4" spans="2:6" x14ac:dyDescent="0.25">
      <c r="B4" s="193"/>
      <c r="E4" s="194" t="s">
        <v>295</v>
      </c>
      <c r="F4" s="262"/>
    </row>
    <row r="5" spans="2:6" x14ac:dyDescent="0.25">
      <c r="B5" s="193"/>
      <c r="E5" s="330" t="s">
        <v>296</v>
      </c>
      <c r="F5" s="262"/>
    </row>
    <row r="6" spans="2:6" ht="7.5" customHeight="1" x14ac:dyDescent="0.25">
      <c r="B6" s="193"/>
      <c r="E6" s="194"/>
      <c r="F6" s="262"/>
    </row>
    <row r="7" spans="2:6" x14ac:dyDescent="0.25">
      <c r="B7" s="331" t="s">
        <v>297</v>
      </c>
      <c r="C7" s="305"/>
      <c r="D7" s="305"/>
      <c r="E7" s="305"/>
      <c r="F7" s="332"/>
    </row>
    <row r="8" spans="2:6" x14ac:dyDescent="0.25">
      <c r="B8" s="331" t="s">
        <v>298</v>
      </c>
      <c r="C8" s="305"/>
      <c r="D8" s="305"/>
      <c r="E8" s="305"/>
      <c r="F8" s="332"/>
    </row>
    <row r="9" spans="2:6" x14ac:dyDescent="0.25">
      <c r="B9" s="331" t="s">
        <v>1</v>
      </c>
      <c r="C9" s="305"/>
      <c r="D9" s="305"/>
      <c r="E9" s="305"/>
      <c r="F9" s="332"/>
    </row>
    <row r="10" spans="2:6" ht="7.5" customHeight="1" x14ac:dyDescent="0.25">
      <c r="B10" s="200"/>
      <c r="C10" s="201"/>
      <c r="D10" s="201"/>
      <c r="E10" s="204"/>
      <c r="F10" s="267"/>
    </row>
    <row r="11" spans="2:6" s="23" customFormat="1" ht="30" x14ac:dyDescent="0.25">
      <c r="B11" s="246" t="s">
        <v>299</v>
      </c>
      <c r="C11" s="246"/>
      <c r="D11" s="244" t="s">
        <v>300</v>
      </c>
      <c r="E11" s="333" t="s">
        <v>301</v>
      </c>
      <c r="F11" s="245" t="s">
        <v>302</v>
      </c>
    </row>
    <row r="12" spans="2:6" x14ac:dyDescent="0.25">
      <c r="B12" s="334">
        <v>1</v>
      </c>
      <c r="C12" s="335">
        <v>2</v>
      </c>
      <c r="D12" s="335">
        <v>3</v>
      </c>
      <c r="E12" s="336">
        <v>4</v>
      </c>
      <c r="F12" s="335">
        <v>5</v>
      </c>
    </row>
    <row r="13" spans="2:6" x14ac:dyDescent="0.25">
      <c r="B13" s="261"/>
      <c r="C13" s="337">
        <v>4</v>
      </c>
      <c r="D13" s="337" t="s">
        <v>303</v>
      </c>
      <c r="E13" s="338"/>
      <c r="F13" s="264"/>
    </row>
    <row r="14" spans="2:6" x14ac:dyDescent="0.25">
      <c r="B14" s="261"/>
      <c r="C14" s="339" t="s">
        <v>123</v>
      </c>
      <c r="D14" s="340" t="s">
        <v>304</v>
      </c>
      <c r="E14" s="341">
        <f>E15+E17+E21</f>
        <v>691472929</v>
      </c>
      <c r="F14" s="264"/>
    </row>
    <row r="15" spans="2:6" x14ac:dyDescent="0.25">
      <c r="B15" s="261"/>
      <c r="C15" s="342" t="str">
        <f>'[240]Lamp Perkades 2026'!$D$13</f>
        <v>4.2.1</v>
      </c>
      <c r="D15" s="343" t="s">
        <v>305</v>
      </c>
      <c r="E15" s="344">
        <f>E16</f>
        <v>350835000</v>
      </c>
      <c r="F15" s="264"/>
    </row>
    <row r="16" spans="2:6" x14ac:dyDescent="0.25">
      <c r="B16" s="261"/>
      <c r="C16" s="345" t="str">
        <f>'[240]Lamp Perkades 2026'!$D$14</f>
        <v>4.2.1.01</v>
      </c>
      <c r="D16" s="346" t="s">
        <v>305</v>
      </c>
      <c r="E16" s="338">
        <f>'[240]Lamp Perkades 2026'!$H$14</f>
        <v>350835000</v>
      </c>
      <c r="F16" s="264" t="s">
        <v>56</v>
      </c>
    </row>
    <row r="17" spans="2:6" x14ac:dyDescent="0.25">
      <c r="B17" s="261"/>
      <c r="C17" s="342" t="s">
        <v>306</v>
      </c>
      <c r="D17" s="347" t="s">
        <v>307</v>
      </c>
      <c r="E17" s="344">
        <f>E18</f>
        <v>17513616</v>
      </c>
      <c r="F17" s="264"/>
    </row>
    <row r="18" spans="2:6" x14ac:dyDescent="0.25">
      <c r="B18" s="261"/>
      <c r="C18" s="345" t="s">
        <v>308</v>
      </c>
      <c r="D18" s="348" t="s">
        <v>307</v>
      </c>
      <c r="E18" s="338">
        <f>SUM(E19:E20)</f>
        <v>17513616</v>
      </c>
      <c r="F18" s="264"/>
    </row>
    <row r="19" spans="2:6" x14ac:dyDescent="0.25">
      <c r="B19" s="261"/>
      <c r="C19" s="345"/>
      <c r="D19" s="346" t="s">
        <v>70</v>
      </c>
      <c r="E19" s="349">
        <f>'[240]Lamp Perkades 2026'!$H$17</f>
        <v>16272522</v>
      </c>
      <c r="F19" s="264" t="s">
        <v>70</v>
      </c>
    </row>
    <row r="20" spans="2:6" x14ac:dyDescent="0.25">
      <c r="B20" s="261"/>
      <c r="C20" s="345"/>
      <c r="D20" s="346" t="s">
        <v>72</v>
      </c>
      <c r="E20" s="349">
        <f>'[240]Lamp Perkades 2026'!$H$18</f>
        <v>1241094</v>
      </c>
      <c r="F20" s="264" t="s">
        <v>72</v>
      </c>
    </row>
    <row r="21" spans="2:6" x14ac:dyDescent="0.25">
      <c r="B21" s="261"/>
      <c r="C21" s="342" t="s">
        <v>309</v>
      </c>
      <c r="D21" s="347" t="s">
        <v>310</v>
      </c>
      <c r="E21" s="344">
        <f>E22</f>
        <v>323124313</v>
      </c>
      <c r="F21" s="264"/>
    </row>
    <row r="22" spans="2:6" x14ac:dyDescent="0.25">
      <c r="B22" s="261"/>
      <c r="C22" s="345" t="s">
        <v>311</v>
      </c>
      <c r="D22" s="348" t="s">
        <v>310</v>
      </c>
      <c r="E22" s="349">
        <f>'[240]Lamp Perkades 2026'!$H$20</f>
        <v>323124313</v>
      </c>
      <c r="F22" s="264" t="s">
        <v>34</v>
      </c>
    </row>
    <row r="23" spans="2:6" x14ac:dyDescent="0.25">
      <c r="B23" s="193"/>
      <c r="C23" s="350" t="s">
        <v>312</v>
      </c>
      <c r="D23" s="351" t="s">
        <v>313</v>
      </c>
      <c r="E23" s="341">
        <f>E24</f>
        <v>975471</v>
      </c>
      <c r="F23" s="264"/>
    </row>
    <row r="24" spans="2:6" x14ac:dyDescent="0.25">
      <c r="B24" s="193"/>
      <c r="C24" s="352" t="s">
        <v>314</v>
      </c>
      <c r="D24" s="347" t="s">
        <v>315</v>
      </c>
      <c r="E24" s="344">
        <f>E25</f>
        <v>975471</v>
      </c>
      <c r="F24" s="288"/>
    </row>
    <row r="25" spans="2:6" x14ac:dyDescent="0.25">
      <c r="B25" s="193"/>
      <c r="C25" s="353" t="s">
        <v>316</v>
      </c>
      <c r="D25" s="348" t="s">
        <v>315</v>
      </c>
      <c r="E25" s="349">
        <v>975471</v>
      </c>
      <c r="F25" s="288" t="s">
        <v>46</v>
      </c>
    </row>
    <row r="26" spans="2:6" ht="15.75" thickBot="1" x14ac:dyDescent="0.3">
      <c r="B26" s="193"/>
      <c r="C26" s="354"/>
      <c r="D26" s="355"/>
      <c r="E26" s="338"/>
      <c r="F26" s="356"/>
    </row>
    <row r="27" spans="2:6" ht="15.75" thickBot="1" x14ac:dyDescent="0.3">
      <c r="B27" s="357"/>
      <c r="C27" s="358"/>
      <c r="D27" s="359" t="s">
        <v>317</v>
      </c>
      <c r="E27" s="360">
        <f>E14+E23</f>
        <v>692448400</v>
      </c>
      <c r="F27" s="361"/>
    </row>
    <row r="28" spans="2:6" x14ac:dyDescent="0.25">
      <c r="B28" s="362"/>
      <c r="C28" s="363">
        <v>5</v>
      </c>
      <c r="D28" s="363" t="s">
        <v>318</v>
      </c>
      <c r="E28" s="364"/>
      <c r="F28" s="365"/>
    </row>
    <row r="29" spans="2:6" x14ac:dyDescent="0.25">
      <c r="B29" s="366">
        <v>1</v>
      </c>
      <c r="C29" s="367"/>
      <c r="D29" s="367" t="str">
        <f>IFERROR(VLOOKUP(B29,'[241]Parameter Keg'!B$3:C$191,2),"")</f>
        <v>BIDANG PENYELENGGARAN PEMERINTAHAN DESA</v>
      </c>
      <c r="E29" s="368">
        <f>E30+E54+E59+E62</f>
        <v>397869254</v>
      </c>
      <c r="F29" s="369"/>
    </row>
    <row r="30" spans="2:6" s="58" customFormat="1" ht="30" x14ac:dyDescent="0.25">
      <c r="B30" s="370" t="s">
        <v>27</v>
      </c>
      <c r="C30" s="371"/>
      <c r="D30" s="372" t="str">
        <f>IFERROR(VLOOKUP(B30,'[241]Parameter Keg'!B$3:C$191,2),"")</f>
        <v>Penyelenggaran Belanja Siltap, Tunjangan dan Operasional Pemerintahan Desa</v>
      </c>
      <c r="E30" s="373">
        <f>E31+E33+E35+E37+E43+E45+E47+E49+E51</f>
        <v>341684534</v>
      </c>
      <c r="F30" s="374"/>
    </row>
    <row r="31" spans="2:6" s="58" customFormat="1" ht="30" x14ac:dyDescent="0.25">
      <c r="B31" s="375" t="str">
        <f>'[240]Lamp Perkades 2026'!$C$28</f>
        <v>1.1.01</v>
      </c>
      <c r="C31" s="376"/>
      <c r="D31" s="377" t="str">
        <f>IFERROR(VLOOKUP(B31,'[241]Parameter Keg'!B$3:C$191,2),"")</f>
        <v>Penyediaan Penghasilan Tetap dan Tunjangan Kepala Desa</v>
      </c>
      <c r="E31" s="378">
        <f>E32</f>
        <v>40769880</v>
      </c>
      <c r="F31" s="95"/>
    </row>
    <row r="32" spans="2:6" s="58" customFormat="1" x14ac:dyDescent="0.25">
      <c r="B32" s="379"/>
      <c r="C32" s="380" t="s">
        <v>319</v>
      </c>
      <c r="D32" s="381" t="s">
        <v>320</v>
      </c>
      <c r="E32" s="382">
        <f>'[240]Lamp Perkades 2026'!$H$29</f>
        <v>40769880</v>
      </c>
      <c r="F32" s="95" t="s">
        <v>34</v>
      </c>
    </row>
    <row r="33" spans="2:8" s="58" customFormat="1" ht="30" x14ac:dyDescent="0.25">
      <c r="B33" s="383" t="str">
        <f>'[240]Lamp Perkades 2026'!$C$33</f>
        <v>1.1.02</v>
      </c>
      <c r="C33" s="384"/>
      <c r="D33" s="377" t="str">
        <f>IFERROR(VLOOKUP(B33,'[241]Parameter Keg'!B$3:C$191,2),"")</f>
        <v>Penyediaan Penghasilan Tetap dan Tunjangan Perangkat Desa</v>
      </c>
      <c r="E33" s="378">
        <f>E34</f>
        <v>163648440</v>
      </c>
      <c r="F33" s="95"/>
    </row>
    <row r="34" spans="2:8" s="58" customFormat="1" x14ac:dyDescent="0.25">
      <c r="B34" s="62"/>
      <c r="C34" s="385" t="s">
        <v>319</v>
      </c>
      <c r="D34" s="147" t="s">
        <v>320</v>
      </c>
      <c r="E34" s="386">
        <f>'[240]Lamp Perkades 2026'!$H$34</f>
        <v>163648440</v>
      </c>
      <c r="F34" s="95" t="s">
        <v>34</v>
      </c>
    </row>
    <row r="35" spans="2:8" s="58" customFormat="1" ht="30" x14ac:dyDescent="0.25">
      <c r="B35" s="383" t="str">
        <f>'[240]Lamp Perkades 2026'!$C$38</f>
        <v>1.1.03</v>
      </c>
      <c r="C35" s="384"/>
      <c r="D35" s="377" t="str">
        <f>IFERROR(VLOOKUP(B35,'[241]Parameter Keg'!B$3:C$191,2),"")</f>
        <v>Penyediaan Jaminan Sosial bagi Kepala Desa dan Perangkat Desa</v>
      </c>
      <c r="E35" s="378">
        <f>E36</f>
        <v>2798400</v>
      </c>
      <c r="F35" s="95"/>
    </row>
    <row r="36" spans="2:8" s="58" customFormat="1" x14ac:dyDescent="0.25">
      <c r="B36" s="62"/>
      <c r="C36" s="385" t="s">
        <v>319</v>
      </c>
      <c r="D36" s="147" t="s">
        <v>320</v>
      </c>
      <c r="E36" s="386">
        <f>'[240]Lamp Perkades 2026'!$H$39</f>
        <v>2798400</v>
      </c>
      <c r="F36" s="95" t="s">
        <v>34</v>
      </c>
    </row>
    <row r="37" spans="2:8" s="58" customFormat="1" ht="30" x14ac:dyDescent="0.25">
      <c r="B37" s="383" t="str">
        <f>'[240]Lamp Perkades 2026'!$C$43</f>
        <v>1.1.04</v>
      </c>
      <c r="C37" s="384"/>
      <c r="D37" s="377" t="str">
        <f>IFERROR(VLOOKUP(B37,'[241]Parameter Keg'!B$3:C$191,2),"")</f>
        <v>Penyediaan Operasional Pemerintah Desa (ATK, Honor PKPKD dan PPKD dll)</v>
      </c>
      <c r="E37" s="378">
        <f>SUM(E38:E42)</f>
        <v>73597814</v>
      </c>
      <c r="F37" s="95"/>
    </row>
    <row r="38" spans="2:8" s="58" customFormat="1" x14ac:dyDescent="0.25">
      <c r="B38" s="62"/>
      <c r="C38" s="385" t="s">
        <v>321</v>
      </c>
      <c r="D38" s="147" t="s">
        <v>322</v>
      </c>
      <c r="E38" s="386">
        <f>[237]O.Kantor!$J$17</f>
        <v>32627593</v>
      </c>
      <c r="F38" s="95" t="s">
        <v>34</v>
      </c>
    </row>
    <row r="39" spans="2:8" s="58" customFormat="1" x14ac:dyDescent="0.25">
      <c r="B39" s="62"/>
      <c r="C39" s="380" t="s">
        <v>323</v>
      </c>
      <c r="D39" s="387" t="s">
        <v>324</v>
      </c>
      <c r="E39" s="386">
        <f>[237]O.Kantor!$J$55</f>
        <v>18000000</v>
      </c>
      <c r="F39" s="95" t="s">
        <v>34</v>
      </c>
    </row>
    <row r="40" spans="2:8" s="58" customFormat="1" x14ac:dyDescent="0.25">
      <c r="B40" s="379"/>
      <c r="C40" s="385" t="s">
        <v>321</v>
      </c>
      <c r="D40" s="147" t="s">
        <v>322</v>
      </c>
      <c r="E40" s="388">
        <f>[237]O.Kantor!$J$60</f>
        <v>975471</v>
      </c>
      <c r="F40" s="95" t="s">
        <v>46</v>
      </c>
    </row>
    <row r="41" spans="2:8" s="58" customFormat="1" x14ac:dyDescent="0.25">
      <c r="B41" s="379"/>
      <c r="C41" s="385" t="s">
        <v>321</v>
      </c>
      <c r="D41" s="147" t="s">
        <v>322</v>
      </c>
      <c r="E41" s="388">
        <f>'[237]Op.Ktr Desa SiLPA ADD'!$J$17</f>
        <v>18000000</v>
      </c>
      <c r="F41" s="95" t="s">
        <v>325</v>
      </c>
      <c r="H41" s="71">
        <f>SUM(E41:E42)</f>
        <v>21994750</v>
      </c>
    </row>
    <row r="42" spans="2:8" s="58" customFormat="1" x14ac:dyDescent="0.25">
      <c r="B42" s="379"/>
      <c r="C42" s="380" t="s">
        <v>323</v>
      </c>
      <c r="D42" s="387" t="s">
        <v>324</v>
      </c>
      <c r="E42" s="388">
        <f>'[240]Lamp Perkades 2026'!$H$69</f>
        <v>3994750</v>
      </c>
      <c r="F42" s="95" t="s">
        <v>325</v>
      </c>
    </row>
    <row r="43" spans="2:8" s="58" customFormat="1" x14ac:dyDescent="0.25">
      <c r="B43" s="375" t="s">
        <v>326</v>
      </c>
      <c r="C43" s="384"/>
      <c r="D43" s="337" t="str">
        <f>IFERROR(VLOOKUP(B43,'[241]Parameter Keg'!B$3:C$191,2),"")</f>
        <v>Penyediaan Tunjangan BPD</v>
      </c>
      <c r="E43" s="378">
        <f>E44</f>
        <v>22200000</v>
      </c>
      <c r="F43" s="95"/>
    </row>
    <row r="44" spans="2:8" s="58" customFormat="1" x14ac:dyDescent="0.25">
      <c r="B44" s="62"/>
      <c r="C44" s="385" t="str">
        <f>'[240]Lamp Perkades 2026'!$D$68</f>
        <v>5.2.5.01</v>
      </c>
      <c r="D44" s="147" t="s">
        <v>320</v>
      </c>
      <c r="E44" s="389">
        <f>'[240]Lamp Perkades 2026'!$H$73</f>
        <v>22200000</v>
      </c>
      <c r="F44" s="95" t="s">
        <v>34</v>
      </c>
    </row>
    <row r="45" spans="2:8" s="58" customFormat="1" ht="30" x14ac:dyDescent="0.25">
      <c r="B45" s="383" t="str">
        <f>'[240]Lamp Perkades 2026'!$C$76</f>
        <v>1.1.06</v>
      </c>
      <c r="C45" s="384"/>
      <c r="D45" s="377" t="str">
        <f>IFERROR(VLOOKUP(B45,'[241]Parameter Keg'!B$3:C$191,2),"")</f>
        <v>Penyediaan Operasional BPD (rapat, ATK, Makan Minum, Pakaian Seragam, Listrik dll)</v>
      </c>
      <c r="E45" s="378">
        <f>E46</f>
        <v>5000000</v>
      </c>
      <c r="F45" s="95"/>
    </row>
    <row r="46" spans="2:8" s="58" customFormat="1" x14ac:dyDescent="0.25">
      <c r="B46" s="62"/>
      <c r="C46" s="385" t="s">
        <v>321</v>
      </c>
      <c r="D46" s="147" t="s">
        <v>322</v>
      </c>
      <c r="E46" s="389">
        <f>'[240]Lamp Perkades 2026'!$H$76</f>
        <v>5000000</v>
      </c>
      <c r="F46" s="95" t="s">
        <v>34</v>
      </c>
    </row>
    <row r="47" spans="2:8" s="58" customFormat="1" x14ac:dyDescent="0.25">
      <c r="B47" s="375" t="s">
        <v>327</v>
      </c>
      <c r="C47" s="384"/>
      <c r="D47" s="390" t="str">
        <f>IFERROR(VLOOKUP(B47,'[241]Parameter Keg'!B$3:C$191,2),"")</f>
        <v>Penyediaan Insentif/Operasional RT/RW</v>
      </c>
      <c r="E47" s="378">
        <f>E48</f>
        <v>3000000</v>
      </c>
      <c r="F47" s="95"/>
    </row>
    <row r="48" spans="2:8" s="58" customFormat="1" ht="17.25" customHeight="1" x14ac:dyDescent="0.25">
      <c r="B48" s="72"/>
      <c r="C48" s="391" t="s">
        <v>321</v>
      </c>
      <c r="D48" s="392" t="s">
        <v>322</v>
      </c>
      <c r="E48" s="393">
        <f>'[240]Lamp Perkades 2026'!$H$86</f>
        <v>3000000</v>
      </c>
      <c r="F48" s="100" t="s">
        <v>34</v>
      </c>
    </row>
    <row r="49" spans="2:6" s="58" customFormat="1" ht="30" x14ac:dyDescent="0.25">
      <c r="B49" s="383" t="str">
        <f>'[240]Lamp Perkades 2026'!$C$89</f>
        <v>1.1.08</v>
      </c>
      <c r="C49" s="384"/>
      <c r="D49" s="377" t="str">
        <f>IFERROR(VLOOKUP(B49,'[241]Parameter Keg'!B$3:C$191,2),"")</f>
        <v>Penyediaan Operasional Pemerintah Desa yang bersumber dari Dana Desa</v>
      </c>
      <c r="E49" s="378">
        <f>E50</f>
        <v>10510000</v>
      </c>
      <c r="F49" s="95"/>
    </row>
    <row r="50" spans="2:6" s="58" customFormat="1" ht="22.5" customHeight="1" x14ac:dyDescent="0.25">
      <c r="B50" s="62"/>
      <c r="C50" s="385" t="s">
        <v>321</v>
      </c>
      <c r="D50" s="147" t="s">
        <v>322</v>
      </c>
      <c r="E50" s="389">
        <f>'[240]Lamp Perkades 2026'!$H$90</f>
        <v>10510000</v>
      </c>
      <c r="F50" s="95" t="s">
        <v>56</v>
      </c>
    </row>
    <row r="51" spans="2:6" s="58" customFormat="1" x14ac:dyDescent="0.25">
      <c r="B51" s="375" t="s">
        <v>328</v>
      </c>
      <c r="C51" s="384"/>
      <c r="D51" s="390" t="str">
        <f>IFERROR(VLOOKUP(B51,'[241]Parameter Keg'!B$3:C$191,2),"")</f>
        <v>Penyediaan jaminan sosial bagi pekerja rentan</v>
      </c>
      <c r="E51" s="378">
        <f>SUM(E52:E53)</f>
        <v>20160000</v>
      </c>
      <c r="F51" s="95"/>
    </row>
    <row r="52" spans="2:6" s="58" customFormat="1" ht="15.75" customHeight="1" x14ac:dyDescent="0.25">
      <c r="B52" s="62"/>
      <c r="C52" s="385" t="s">
        <v>321</v>
      </c>
      <c r="D52" s="147" t="s">
        <v>322</v>
      </c>
      <c r="E52" s="389">
        <f>'[240]Lamp Perkades 2026'!$H$97</f>
        <v>10080000</v>
      </c>
      <c r="F52" s="95" t="s">
        <v>34</v>
      </c>
    </row>
    <row r="53" spans="2:6" s="58" customFormat="1" ht="15.75" customHeight="1" x14ac:dyDescent="0.25">
      <c r="B53" s="72"/>
      <c r="C53" s="391" t="s">
        <v>321</v>
      </c>
      <c r="D53" s="392" t="s">
        <v>322</v>
      </c>
      <c r="E53" s="393">
        <f>'[240]Lamp Perkades 2026'!$H$97</f>
        <v>10080000</v>
      </c>
      <c r="F53" s="100" t="s">
        <v>34</v>
      </c>
    </row>
    <row r="54" spans="2:6" s="58" customFormat="1" ht="30" x14ac:dyDescent="0.25">
      <c r="B54" s="370" t="s">
        <v>62</v>
      </c>
      <c r="C54" s="371"/>
      <c r="D54" s="372" t="str">
        <f>IFERROR(VLOOKUP(B54,'[241]Parameter Keg'!B$3:C$191,2),"")</f>
        <v>Pengelolaan Administrasi Kependudukan, Pencatatan Sipil, Statistik dan Kearsipan</v>
      </c>
      <c r="E54" s="373">
        <f>E55+E57</f>
        <v>14000000</v>
      </c>
      <c r="F54" s="374"/>
    </row>
    <row r="55" spans="2:6" s="58" customFormat="1" x14ac:dyDescent="0.25">
      <c r="B55" s="375" t="s">
        <v>329</v>
      </c>
      <c r="C55" s="384"/>
      <c r="D55" s="337" t="str">
        <f>IFERROR(VLOOKUP(B55,'[241]Parameter Keg'!B$3:C$191,2),"")</f>
        <v>Penyusunan, Pendataan, dan Pemutakhiran Profil Desa **)</v>
      </c>
      <c r="E55" s="378">
        <f>E56</f>
        <v>8000000</v>
      </c>
      <c r="F55" s="95"/>
    </row>
    <row r="56" spans="2:6" s="58" customFormat="1" x14ac:dyDescent="0.25">
      <c r="B56" s="62"/>
      <c r="C56" s="385" t="s">
        <v>321</v>
      </c>
      <c r="D56" s="147" t="s">
        <v>322</v>
      </c>
      <c r="E56" s="389">
        <f>'[240]Lamp Perkades 2026'!$H$102</f>
        <v>8000000</v>
      </c>
      <c r="F56" s="95" t="s">
        <v>34</v>
      </c>
    </row>
    <row r="57" spans="2:6" s="58" customFormat="1" ht="30" x14ac:dyDescent="0.25">
      <c r="B57" s="375" t="s">
        <v>330</v>
      </c>
      <c r="C57" s="384"/>
      <c r="D57" s="377" t="str">
        <f>IFERROR(VLOOKUP(B57,'[241]Parameter Keg'!B$3:C$191,2),"")</f>
        <v>Pemetaan dan Analisis Kemiskinan Desa secara Partisipatif</v>
      </c>
      <c r="E57" s="378">
        <f>E58</f>
        <v>6000000</v>
      </c>
      <c r="F57" s="95"/>
    </row>
    <row r="58" spans="2:6" s="58" customFormat="1" x14ac:dyDescent="0.25">
      <c r="B58" s="62"/>
      <c r="C58" s="385" t="s">
        <v>321</v>
      </c>
      <c r="D58" s="147" t="s">
        <v>322</v>
      </c>
      <c r="E58" s="389">
        <f>'[240]Lamp Perkades 2026'!$H$107</f>
        <v>6000000</v>
      </c>
      <c r="F58" s="95" t="s">
        <v>34</v>
      </c>
    </row>
    <row r="59" spans="2:6" s="58" customFormat="1" ht="30" x14ac:dyDescent="0.25">
      <c r="B59" s="370" t="s">
        <v>64</v>
      </c>
      <c r="C59" s="371"/>
      <c r="D59" s="372" t="str">
        <f>IFERROR(VLOOKUP(B59,'[241]Parameter Keg'!B$3:C$191,2),"")</f>
        <v>Penyelenggaraan Tata Praja Pemerintahan, Perencanaan, Keuangan dan Pelaporan</v>
      </c>
      <c r="E59" s="373">
        <f>E60</f>
        <v>21349000</v>
      </c>
      <c r="F59" s="374"/>
    </row>
    <row r="60" spans="2:6" s="58" customFormat="1" ht="30" x14ac:dyDescent="0.25">
      <c r="B60" s="375" t="str">
        <f>'[240]Lamp Perkades 2026'!$C$111</f>
        <v>1.4.01</v>
      </c>
      <c r="C60" s="384"/>
      <c r="D60" s="377" t="str">
        <f>IFERROR(VLOOKUP(B60,'[241]Parameter Keg'!B$3:C$191,2),"")</f>
        <v>Penyelenggaraan Musyawarah Perencanaan Desa/Pembahasan APBDes (Reguler)</v>
      </c>
      <c r="E60" s="378">
        <f>E61</f>
        <v>21349000</v>
      </c>
      <c r="F60" s="95"/>
    </row>
    <row r="61" spans="2:6" s="58" customFormat="1" x14ac:dyDescent="0.25">
      <c r="B61" s="62"/>
      <c r="C61" s="385" t="s">
        <v>321</v>
      </c>
      <c r="D61" s="147" t="s">
        <v>322</v>
      </c>
      <c r="E61" s="389">
        <f>'[240]Lamp Perkades 2026'!$H$112+'[240]Lamp Perkades 2026'!$H$119</f>
        <v>21349000</v>
      </c>
      <c r="F61" s="95" t="s">
        <v>56</v>
      </c>
    </row>
    <row r="62" spans="2:6" s="58" customFormat="1" x14ac:dyDescent="0.25">
      <c r="B62" s="370" t="s">
        <v>68</v>
      </c>
      <c r="C62" s="371"/>
      <c r="D62" s="394" t="str">
        <f>IFERROR(VLOOKUP(B62,'[241]Parameter Keg'!B$3:C$191,2),"")</f>
        <v>Sub Bidang Pertanahan</v>
      </c>
      <c r="E62" s="373">
        <f>E63</f>
        <v>20835720</v>
      </c>
      <c r="F62" s="374"/>
    </row>
    <row r="63" spans="2:6" s="58" customFormat="1" x14ac:dyDescent="0.25">
      <c r="B63" s="375" t="s">
        <v>331</v>
      </c>
      <c r="C63" s="384"/>
      <c r="D63" s="337" t="str">
        <f>IFERROR(VLOOKUP(B63,'[241]Parameter Keg'!B$3:C$191,2),"")</f>
        <v>Adminstrasi Pajak Bumi dan Bangunan (PBB)</v>
      </c>
      <c r="E63" s="378">
        <f>SUM(E64:E66)</f>
        <v>20835720</v>
      </c>
      <c r="F63" s="95"/>
    </row>
    <row r="64" spans="2:6" s="58" customFormat="1" x14ac:dyDescent="0.25">
      <c r="B64" s="62"/>
      <c r="C64" s="385" t="s">
        <v>321</v>
      </c>
      <c r="D64" s="147" t="s">
        <v>322</v>
      </c>
      <c r="E64" s="389">
        <f>'[240]Lamp Perkades 2026'!$H$126+'[240]Lamp Perkades 2026'!$H$135</f>
        <v>17513616</v>
      </c>
      <c r="F64" s="95" t="s">
        <v>332</v>
      </c>
    </row>
    <row r="65" spans="2:6" s="58" customFormat="1" x14ac:dyDescent="0.25">
      <c r="B65" s="62"/>
      <c r="C65" s="385" t="s">
        <v>321</v>
      </c>
      <c r="D65" s="147" t="s">
        <v>322</v>
      </c>
      <c r="E65" s="389">
        <f>'[240]Lamp Perkades 2026'!$H$138</f>
        <v>863383</v>
      </c>
      <c r="F65" s="95" t="s">
        <v>75</v>
      </c>
    </row>
    <row r="66" spans="2:6" s="58" customFormat="1" x14ac:dyDescent="0.25">
      <c r="B66" s="62"/>
      <c r="C66" s="385" t="s">
        <v>323</v>
      </c>
      <c r="D66" s="147" t="s">
        <v>324</v>
      </c>
      <c r="E66" s="389">
        <f>[237]PBB!$J$41</f>
        <v>2458721</v>
      </c>
      <c r="F66" s="95" t="s">
        <v>75</v>
      </c>
    </row>
    <row r="67" spans="2:6" x14ac:dyDescent="0.25">
      <c r="B67" s="366">
        <v>2</v>
      </c>
      <c r="C67" s="367"/>
      <c r="D67" s="367" t="str">
        <f>IFERROR(VLOOKUP(B67,'[241]Parameter Keg'!B$3:C$191,2),"")</f>
        <v>BIDANG PELAKSANAAN PEMBANGUNAN DESA</v>
      </c>
      <c r="E67" s="395">
        <f>E68+E72+E80+E87</f>
        <v>211685700</v>
      </c>
      <c r="F67" s="369"/>
    </row>
    <row r="68" spans="2:6" s="58" customFormat="1" x14ac:dyDescent="0.25">
      <c r="B68" s="370" t="s">
        <v>78</v>
      </c>
      <c r="C68" s="371"/>
      <c r="D68" s="394" t="str">
        <f>IFERROR(VLOOKUP(B68,'[241]Parameter Keg'!B$3:C$191,2),"")</f>
        <v>Sub Bidang Pendidikan</v>
      </c>
      <c r="E68" s="373">
        <f>E69</f>
        <v>28900000</v>
      </c>
      <c r="F68" s="374"/>
    </row>
    <row r="69" spans="2:6" s="58" customFormat="1" ht="30" x14ac:dyDescent="0.25">
      <c r="B69" s="375" t="str">
        <f>'[240]Lamp Perkades 2026'!$C$143</f>
        <v>2.1.01</v>
      </c>
      <c r="C69" s="384"/>
      <c r="D69" s="377" t="str">
        <f>IFERROR(VLOOKUP(B69,'[241]Parameter Keg'!B$3:C$191,2),"")</f>
        <v>Penyelenggaran PAUD/TK/TPA/TKA/TPQ/Madrasah NonFormal Milik Desa (Honor, Pakaian dll)</v>
      </c>
      <c r="E69" s="378">
        <f>SUM(E70:E71)</f>
        <v>28900000</v>
      </c>
      <c r="F69" s="95"/>
    </row>
    <row r="70" spans="2:6" s="58" customFormat="1" x14ac:dyDescent="0.25">
      <c r="B70" s="62"/>
      <c r="C70" s="385" t="str">
        <f>'[240]Lamp Perkades 2026'!$D$135</f>
        <v>5.2</v>
      </c>
      <c r="D70" s="147" t="s">
        <v>322</v>
      </c>
      <c r="E70" s="389">
        <f>'[240]Lamp Perkades 2026'!$H$145</f>
        <v>20400000</v>
      </c>
      <c r="F70" s="95" t="s">
        <v>56</v>
      </c>
    </row>
    <row r="71" spans="2:6" s="58" customFormat="1" x14ac:dyDescent="0.25">
      <c r="B71" s="62"/>
      <c r="C71" s="385" t="str">
        <f>'[240]Lamp Perkades 2026'!$D$135</f>
        <v>5.2</v>
      </c>
      <c r="D71" s="147" t="s">
        <v>322</v>
      </c>
      <c r="E71" s="389">
        <f>'[240]Lamp Perkades 2026'!$H$151</f>
        <v>8500000</v>
      </c>
      <c r="F71" s="95" t="s">
        <v>333</v>
      </c>
    </row>
    <row r="72" spans="2:6" s="58" customFormat="1" x14ac:dyDescent="0.25">
      <c r="B72" s="370" t="s">
        <v>334</v>
      </c>
      <c r="C72" s="371"/>
      <c r="D72" s="394" t="str">
        <f>IFERROR(VLOOKUP(B72,'[241]Parameter Keg'!B$3:C$191,2),"")</f>
        <v>Sub Bidang Kesehatan</v>
      </c>
      <c r="E72" s="373">
        <f>E73+E76+E78</f>
        <v>80252000</v>
      </c>
      <c r="F72" s="374"/>
    </row>
    <row r="73" spans="2:6" s="58" customFormat="1" ht="30" x14ac:dyDescent="0.25">
      <c r="B73" s="383" t="str">
        <f>'[240]Lamp Perkades 2026'!$C$157</f>
        <v>2.2.01</v>
      </c>
      <c r="C73" s="147"/>
      <c r="D73" s="390" t="str">
        <f>IFERROR(VLOOKUP(B73,'[241]Parameter Keg'!B$3:C$191,2),"")</f>
        <v>Penyelenggaraan Pos Kesehatan Desa/Polindes Milik Desa (obat, Insentif, KB, dsb)</v>
      </c>
      <c r="E73" s="378">
        <f>SUM(E74:E75)</f>
        <v>4400000</v>
      </c>
      <c r="F73" s="95"/>
    </row>
    <row r="74" spans="2:6" s="58" customFormat="1" x14ac:dyDescent="0.25">
      <c r="B74" s="62"/>
      <c r="C74" s="385" t="s">
        <v>321</v>
      </c>
      <c r="D74" s="147" t="s">
        <v>322</v>
      </c>
      <c r="E74" s="389">
        <f>'[240]Lamp Perkades 2026'!$H$158</f>
        <v>1650000</v>
      </c>
      <c r="F74" s="95" t="s">
        <v>56</v>
      </c>
    </row>
    <row r="75" spans="2:6" s="58" customFormat="1" x14ac:dyDescent="0.25">
      <c r="B75" s="62"/>
      <c r="C75" s="385" t="s">
        <v>323</v>
      </c>
      <c r="D75" s="147" t="s">
        <v>324</v>
      </c>
      <c r="E75" s="389">
        <f>'[240]Lamp Perkades 2026'!$H$165</f>
        <v>2750000</v>
      </c>
      <c r="F75" s="95" t="s">
        <v>56</v>
      </c>
    </row>
    <row r="76" spans="2:6" s="58" customFormat="1" ht="30" x14ac:dyDescent="0.25">
      <c r="B76" s="375" t="s">
        <v>335</v>
      </c>
      <c r="C76" s="147"/>
      <c r="D76" s="377" t="str">
        <f>IFERROR(VLOOKUP(B76,'[241]Parameter Keg'!B$3:C$191,2),"")</f>
        <v>Penyelenggaraan Posyandu (Mkn Tambahan, Kls Bumil, Lansia, Insentif)</v>
      </c>
      <c r="E76" s="378">
        <f>E77</f>
        <v>54435000</v>
      </c>
      <c r="F76" s="95"/>
    </row>
    <row r="77" spans="2:6" s="58" customFormat="1" x14ac:dyDescent="0.25">
      <c r="B77" s="62"/>
      <c r="C77" s="385" t="s">
        <v>321</v>
      </c>
      <c r="D77" s="147" t="s">
        <v>322</v>
      </c>
      <c r="E77" s="389">
        <v>54435000</v>
      </c>
      <c r="F77" s="95" t="s">
        <v>56</v>
      </c>
    </row>
    <row r="78" spans="2:6" s="58" customFormat="1" ht="30" x14ac:dyDescent="0.25">
      <c r="B78" s="375" t="str">
        <f>'[240]Lamp Perkades 2026'!$C$184</f>
        <v>2.2.09</v>
      </c>
      <c r="C78" s="147"/>
      <c r="D78" s="377" t="str">
        <f>IFERROR(VLOOKUP(B78,'[241]Parameter Keg'!B$3:C$191,2),"")</f>
        <v>Pembangunan/Rehabilitasi/Peningkatan/Pengadaan Sarana/Prasarana Posyandu/Polindes/PKD **</v>
      </c>
      <c r="E78" s="378">
        <f>E79</f>
        <v>21417000</v>
      </c>
      <c r="F78" s="95"/>
    </row>
    <row r="79" spans="2:6" s="58" customFormat="1" x14ac:dyDescent="0.25">
      <c r="B79" s="62"/>
      <c r="C79" s="385" t="s">
        <v>323</v>
      </c>
      <c r="D79" s="147" t="s">
        <v>324</v>
      </c>
      <c r="E79" s="389">
        <v>21417000</v>
      </c>
      <c r="F79" s="95" t="s">
        <v>56</v>
      </c>
    </row>
    <row r="80" spans="2:6" s="58" customFormat="1" x14ac:dyDescent="0.25">
      <c r="B80" s="370" t="s">
        <v>336</v>
      </c>
      <c r="C80" s="371"/>
      <c r="D80" s="394" t="str">
        <f>IFERROR(VLOOKUP(B80,'[241]Parameter Keg'!B$3:C$191,2),"")</f>
        <v>Sub Bidang Pekerjaan Umum dan Penataan Ruang</v>
      </c>
      <c r="E80" s="373">
        <f>E81+E83+E85</f>
        <v>79304900</v>
      </c>
      <c r="F80" s="374"/>
    </row>
    <row r="81" spans="2:6" s="58" customFormat="1" x14ac:dyDescent="0.25">
      <c r="B81" s="375" t="s">
        <v>337</v>
      </c>
      <c r="C81" s="147"/>
      <c r="D81" s="337" t="str">
        <f>IFERROR(VLOOKUP(B81,'[241]Parameter Keg'!B$3:C$191,2),"")</f>
        <v>Pemeliharaan Jalan Desa</v>
      </c>
      <c r="E81" s="378">
        <f>E82</f>
        <v>3925000</v>
      </c>
      <c r="F81" s="95"/>
    </row>
    <row r="82" spans="2:6" s="58" customFormat="1" x14ac:dyDescent="0.25">
      <c r="B82" s="62"/>
      <c r="C82" s="385" t="s">
        <v>321</v>
      </c>
      <c r="D82" s="147" t="s">
        <v>324</v>
      </c>
      <c r="E82" s="389">
        <v>3925000</v>
      </c>
      <c r="F82" s="95" t="s">
        <v>56</v>
      </c>
    </row>
    <row r="83" spans="2:6" s="58" customFormat="1" ht="30" x14ac:dyDescent="0.25">
      <c r="B83" s="375" t="str">
        <f>'[240]Lamp Perkades 2026'!$C$199</f>
        <v>2.3.10</v>
      </c>
      <c r="C83" s="147"/>
      <c r="D83" s="377" t="str">
        <f>IFERROR(VLOOKUP(B83,'[241]Parameter Keg'!B$3:C$191,2),"")</f>
        <v>Pembangunan/Rehabilitas/Peningkatan/Pengerasan Jalan Desa **)</v>
      </c>
      <c r="E83" s="378">
        <f>E84</f>
        <v>67857000</v>
      </c>
      <c r="F83" s="95"/>
    </row>
    <row r="84" spans="2:6" s="58" customFormat="1" x14ac:dyDescent="0.25">
      <c r="B84" s="62"/>
      <c r="C84" s="385" t="s">
        <v>323</v>
      </c>
      <c r="D84" s="147" t="s">
        <v>324</v>
      </c>
      <c r="E84" s="389">
        <v>67857000</v>
      </c>
      <c r="F84" s="95" t="s">
        <v>56</v>
      </c>
    </row>
    <row r="85" spans="2:6" s="58" customFormat="1" ht="30" x14ac:dyDescent="0.25">
      <c r="B85" s="375" t="s">
        <v>338</v>
      </c>
      <c r="C85" s="147"/>
      <c r="D85" s="377" t="str">
        <f>IFERROR(VLOOKUP(B85,'[241]Parameter Keg'!B$3:C$191,2),"")</f>
        <v>Pembangunan/Rehabilitasi/Peningkatan Balai Desa/Balai Kemasyarakatan **)</v>
      </c>
      <c r="E85" s="378">
        <f>E86</f>
        <v>7522900</v>
      </c>
      <c r="F85" s="95"/>
    </row>
    <row r="86" spans="2:6" s="58" customFormat="1" ht="26.25" customHeight="1" x14ac:dyDescent="0.25">
      <c r="B86" s="72"/>
      <c r="C86" s="391" t="s">
        <v>323</v>
      </c>
      <c r="D86" s="392" t="s">
        <v>324</v>
      </c>
      <c r="E86" s="393">
        <f>'[240]Lamp Perkades 2026'!$H$196</f>
        <v>7522900</v>
      </c>
      <c r="F86" s="100" t="s">
        <v>339</v>
      </c>
    </row>
    <row r="87" spans="2:6" s="58" customFormat="1" x14ac:dyDescent="0.25">
      <c r="B87" s="370" t="s">
        <v>340</v>
      </c>
      <c r="C87" s="371"/>
      <c r="D87" s="394" t="str">
        <f>IFERROR(VLOOKUP(B87,'[241]Parameter Keg'!B$3:C$191,2),"")</f>
        <v>Sub Bidang Perhubungan, Komunikasi dan Informatika</v>
      </c>
      <c r="E87" s="373">
        <f>E88+E90</f>
        <v>23228800</v>
      </c>
      <c r="F87" s="374"/>
    </row>
    <row r="88" spans="2:6" s="58" customFormat="1" ht="18.75" customHeight="1" x14ac:dyDescent="0.25">
      <c r="B88" s="375" t="str">
        <f>'[240]Lamp Perkades 2026'!$C$208</f>
        <v>2.6.02</v>
      </c>
      <c r="C88" s="147"/>
      <c r="D88" s="377" t="str">
        <f>IFERROR(VLOOKUP(B88,'[241]Parameter Keg'!B$3:C$191,2),"")</f>
        <v>Penyelenggaraan Informasi Publik Desa (Poster, Baliho Dll)</v>
      </c>
      <c r="E88" s="378">
        <f>E89</f>
        <v>900000</v>
      </c>
      <c r="F88" s="95"/>
    </row>
    <row r="89" spans="2:6" s="58" customFormat="1" x14ac:dyDescent="0.25">
      <c r="B89" s="62"/>
      <c r="C89" s="385" t="s">
        <v>321</v>
      </c>
      <c r="D89" s="147" t="s">
        <v>322</v>
      </c>
      <c r="E89" s="389">
        <f>'[240]Lamp Perkades 2026'!$H$209</f>
        <v>900000</v>
      </c>
      <c r="F89" s="95" t="s">
        <v>56</v>
      </c>
    </row>
    <row r="90" spans="2:6" s="58" customFormat="1" ht="30" x14ac:dyDescent="0.25">
      <c r="B90" s="375" t="str">
        <f>'[240]Lamp Perkades 2026'!$C$212</f>
        <v>2.6.03</v>
      </c>
      <c r="C90" s="147"/>
      <c r="D90" s="377" t="str">
        <f>IFERROR(VLOOKUP(B90,'[241]Parameter Keg'!B$3:C$191,2),"")</f>
        <v>Pengelolaan dan Pembuatan Jaringan/Instalasi Komunikasi dan Informasi Lokal Desa</v>
      </c>
      <c r="E90" s="378">
        <f>SUM(E91:E92)</f>
        <v>22328800</v>
      </c>
      <c r="F90" s="95"/>
    </row>
    <row r="91" spans="2:6" s="58" customFormat="1" x14ac:dyDescent="0.25">
      <c r="B91" s="62"/>
      <c r="C91" s="385" t="s">
        <v>321</v>
      </c>
      <c r="D91" s="147" t="s">
        <v>322</v>
      </c>
      <c r="E91" s="389">
        <f>'[240]Lamp Perkades 2026'!$H$214</f>
        <v>6000000</v>
      </c>
      <c r="F91" s="95" t="s">
        <v>56</v>
      </c>
    </row>
    <row r="92" spans="2:6" s="58" customFormat="1" x14ac:dyDescent="0.25">
      <c r="B92" s="72"/>
      <c r="C92" s="391" t="s">
        <v>323</v>
      </c>
      <c r="D92" s="392" t="s">
        <v>324</v>
      </c>
      <c r="E92" s="393">
        <f>'[240]Lamp Perkades 2026'!$H$218</f>
        <v>16328800</v>
      </c>
      <c r="F92" s="100" t="s">
        <v>56</v>
      </c>
    </row>
    <row r="93" spans="2:6" x14ac:dyDescent="0.25">
      <c r="B93" s="366">
        <v>3</v>
      </c>
      <c r="C93" s="367"/>
      <c r="D93" s="367" t="str">
        <f>IFERROR(VLOOKUP(B93,'[241]Parameter Keg'!B$3:C$191,2),"")</f>
        <v>BIDANG PEMBINAAN KEMASYARAKATAN</v>
      </c>
      <c r="E93" s="368">
        <f>E94+E100</f>
        <v>59200000</v>
      </c>
      <c r="F93" s="369"/>
    </row>
    <row r="94" spans="2:6" s="58" customFormat="1" x14ac:dyDescent="0.25">
      <c r="B94" s="370" t="s">
        <v>249</v>
      </c>
      <c r="C94" s="371"/>
      <c r="D94" s="394" t="str">
        <f>IFERROR(VLOOKUP(B94,'[241]Parameter Keg'!B$3:C$191,2),"")</f>
        <v>Sub Bidang Kebudayaan dan Keagamaan</v>
      </c>
      <c r="E94" s="373">
        <f>E95+E97</f>
        <v>48200000</v>
      </c>
      <c r="F94" s="374"/>
    </row>
    <row r="95" spans="2:6" s="58" customFormat="1" ht="33" customHeight="1" x14ac:dyDescent="0.25">
      <c r="B95" s="396" t="s">
        <v>341</v>
      </c>
      <c r="C95" s="397"/>
      <c r="D95" s="398" t="str">
        <f>IFERROR(VLOOKUP(B95,'[241]Parameter Keg'!B$3:C$191,2),"")</f>
        <v>Pengiriman Kontingen Group Kesenian &amp; Kebudayaan (Wakil Desa tkt. Kec/Kab/Kot)</v>
      </c>
      <c r="E95" s="399">
        <f>SUM(E96:E96)</f>
        <v>6000000</v>
      </c>
      <c r="F95" s="109"/>
    </row>
    <row r="96" spans="2:6" s="58" customFormat="1" x14ac:dyDescent="0.25">
      <c r="B96" s="62"/>
      <c r="C96" s="385" t="str">
        <f>'[240]Lamp Perkades 2026'!$D$135</f>
        <v>5.2</v>
      </c>
      <c r="D96" s="147" t="s">
        <v>322</v>
      </c>
      <c r="E96" s="389">
        <v>6000000</v>
      </c>
      <c r="F96" s="95" t="s">
        <v>56</v>
      </c>
    </row>
    <row r="97" spans="2:6" s="58" customFormat="1" ht="33" customHeight="1" x14ac:dyDescent="0.25">
      <c r="B97" s="375" t="str">
        <f>'[240]Lamp Perkades 2026'!$C$223</f>
        <v>3.2.03</v>
      </c>
      <c r="C97" s="376"/>
      <c r="D97" s="390" t="str">
        <f>IFERROR(VLOOKUP(B97,'[241]Parameter Keg'!B$3:C$191,2),"")</f>
        <v>Penyelenggaran Festival Kesenian, Adat/Kebudayaan, dan Kegamaan (HUT RI, Raya Keagamaan dll)</v>
      </c>
      <c r="E97" s="378">
        <f>SUM(E98:E99)-6000000</f>
        <v>42200000</v>
      </c>
      <c r="F97" s="95"/>
    </row>
    <row r="98" spans="2:6" s="58" customFormat="1" x14ac:dyDescent="0.25">
      <c r="B98" s="62"/>
      <c r="C98" s="385" t="str">
        <f>'[240]Lamp Perkades 2026'!$D$135</f>
        <v>5.2</v>
      </c>
      <c r="D98" s="147" t="s">
        <v>322</v>
      </c>
      <c r="E98" s="389">
        <f>'[240]Lamp Perkades 2026'!$H$225</f>
        <v>40200000</v>
      </c>
      <c r="F98" s="95" t="s">
        <v>56</v>
      </c>
    </row>
    <row r="99" spans="2:6" s="58" customFormat="1" x14ac:dyDescent="0.25">
      <c r="B99" s="72"/>
      <c r="C99" s="391" t="str">
        <f>'[240]Lamp Perkades 2026'!$D$135</f>
        <v>5.2</v>
      </c>
      <c r="D99" s="392" t="s">
        <v>322</v>
      </c>
      <c r="E99" s="393">
        <f>'[240]Lamp Perkades 2026'!$H$233</f>
        <v>8000000</v>
      </c>
      <c r="F99" s="100" t="s">
        <v>333</v>
      </c>
    </row>
    <row r="100" spans="2:6" s="58" customFormat="1" x14ac:dyDescent="0.25">
      <c r="B100" s="370" t="s">
        <v>342</v>
      </c>
      <c r="C100" s="371"/>
      <c r="D100" s="394" t="str">
        <f>IFERROR(VLOOKUP(B100,'[241]Parameter Keg'!B$3:C$191,2),"")</f>
        <v>Sub Bidang Kelembagaan Masyarakat</v>
      </c>
      <c r="E100" s="373">
        <f>E101+E103+E105</f>
        <v>11000000</v>
      </c>
      <c r="F100" s="374"/>
    </row>
    <row r="101" spans="2:6" s="58" customFormat="1" x14ac:dyDescent="0.25">
      <c r="B101" s="375" t="str">
        <f>'[240]Lamp Perkades 2026'!$C$238</f>
        <v>3.4.01</v>
      </c>
      <c r="C101" s="376"/>
      <c r="D101" s="337" t="str">
        <f>IFERROR(VLOOKUP(B101,'[241]Parameter Keg'!B$3:C$191,2),"")</f>
        <v>Pembinaan Lembaga Adat</v>
      </c>
      <c r="E101" s="378">
        <f>E102</f>
        <v>2000000</v>
      </c>
      <c r="F101" s="95"/>
    </row>
    <row r="102" spans="2:6" s="58" customFormat="1" x14ac:dyDescent="0.25">
      <c r="B102" s="62"/>
      <c r="C102" s="385" t="str">
        <f>'[240]Lamp Perkades 2026'!$D$135</f>
        <v>5.2</v>
      </c>
      <c r="D102" s="147" t="s">
        <v>322</v>
      </c>
      <c r="E102" s="389">
        <f>'[240]Lamp Perkades 2026'!$H$239</f>
        <v>2000000</v>
      </c>
      <c r="F102" s="95" t="s">
        <v>34</v>
      </c>
    </row>
    <row r="103" spans="2:6" s="58" customFormat="1" x14ac:dyDescent="0.25">
      <c r="B103" s="375" t="str">
        <f>'[240]Lamp Perkades 2026'!$C$242</f>
        <v>3.4.02</v>
      </c>
      <c r="C103" s="376"/>
      <c r="D103" s="337" t="str">
        <f>IFERROR(VLOOKUP(B103,'[241]Parameter Keg'!B$3:C$191,2),"")</f>
        <v>Pembinaan LKMD/LPM/LPMD</v>
      </c>
      <c r="E103" s="378">
        <f>E104</f>
        <v>2000000</v>
      </c>
      <c r="F103" s="95"/>
    </row>
    <row r="104" spans="2:6" s="58" customFormat="1" x14ac:dyDescent="0.25">
      <c r="B104" s="62"/>
      <c r="C104" s="385" t="str">
        <f>'[240]Lamp Perkades 2026'!$D$135</f>
        <v>5.2</v>
      </c>
      <c r="D104" s="147" t="s">
        <v>322</v>
      </c>
      <c r="E104" s="389">
        <f>'[240]Lamp Perkades 2026'!$H$243</f>
        <v>2000000</v>
      </c>
      <c r="F104" s="95" t="s">
        <v>34</v>
      </c>
    </row>
    <row r="105" spans="2:6" s="58" customFormat="1" x14ac:dyDescent="0.25">
      <c r="B105" s="375" t="str">
        <f>'[240]Lamp Perkades 2026'!$C$246</f>
        <v>3.4.03</v>
      </c>
      <c r="C105" s="376"/>
      <c r="D105" s="337" t="str">
        <f>IFERROR(VLOOKUP(B105,'[241]Parameter Keg'!B$3:C$191,2),"")</f>
        <v>Pembinaan PKK</v>
      </c>
      <c r="E105" s="378">
        <f>E106</f>
        <v>7000000</v>
      </c>
      <c r="F105" s="95"/>
    </row>
    <row r="106" spans="2:6" s="58" customFormat="1" x14ac:dyDescent="0.25">
      <c r="B106" s="62"/>
      <c r="C106" s="385" t="str">
        <f>'[240]Lamp Perkades 2026'!$D$135</f>
        <v>5.2</v>
      </c>
      <c r="D106" s="147" t="s">
        <v>322</v>
      </c>
      <c r="E106" s="389">
        <f>'[240]Lamp Perkades 2026'!$H$247</f>
        <v>7000000</v>
      </c>
      <c r="F106" s="95" t="s">
        <v>34</v>
      </c>
    </row>
    <row r="107" spans="2:6" x14ac:dyDescent="0.25">
      <c r="B107" s="366">
        <v>4</v>
      </c>
      <c r="C107" s="367"/>
      <c r="D107" s="367" t="str">
        <f>IFERROR(VLOOKUP(B107,'[241]Parameter Keg'!B$3:C$191,2),"")</f>
        <v>BIDANG PEMBERDAYAAN MASYARAKAT</v>
      </c>
      <c r="E107" s="368">
        <f>E108</f>
        <v>29842000</v>
      </c>
      <c r="F107" s="369"/>
    </row>
    <row r="108" spans="2:6" s="58" customFormat="1" x14ac:dyDescent="0.25">
      <c r="B108" s="370" t="str">
        <f>'[240]Lamp Perkades 2026'!$C$255</f>
        <v>4.2</v>
      </c>
      <c r="C108" s="371"/>
      <c r="D108" s="394" t="str">
        <f>IFERROR(VLOOKUP(B108,'[241]Parameter Keg'!B$3:C$191,2),"")</f>
        <v>Sub Bidang Pertanian dan Peternakan</v>
      </c>
      <c r="E108" s="373">
        <f>E109</f>
        <v>29842000</v>
      </c>
      <c r="F108" s="374"/>
    </row>
    <row r="109" spans="2:6" s="58" customFormat="1" ht="30" x14ac:dyDescent="0.25">
      <c r="B109" s="375" t="str">
        <f>'[240]Lamp Perkades 2026'!$C$256</f>
        <v>4.2.01</v>
      </c>
      <c r="C109" s="376"/>
      <c r="D109" s="390" t="str">
        <f>IFERROR(VLOOKUP(B109,'[241]Parameter Keg'!B$3:C$191,2),"")</f>
        <v>Peningkatan Produksi Tanaman Pangan (alat produksi/pengelolaan/penggilingan)</v>
      </c>
      <c r="E109" s="378">
        <f>E110</f>
        <v>29842000</v>
      </c>
      <c r="F109" s="95"/>
    </row>
    <row r="110" spans="2:6" s="58" customFormat="1" x14ac:dyDescent="0.25">
      <c r="B110" s="62"/>
      <c r="C110" s="385" t="str">
        <f>'[240]Lamp Perkades 2026'!$D$135</f>
        <v>5.2</v>
      </c>
      <c r="D110" s="147" t="s">
        <v>322</v>
      </c>
      <c r="E110" s="389">
        <f>'[240]Lamp Perkades 2026'!$H$257</f>
        <v>29842000</v>
      </c>
      <c r="F110" s="95" t="s">
        <v>56</v>
      </c>
    </row>
    <row r="111" spans="2:6" x14ac:dyDescent="0.25">
      <c r="B111" s="366">
        <v>5</v>
      </c>
      <c r="C111" s="367"/>
      <c r="D111" s="367" t="str">
        <f>IFERROR(VLOOKUP(B111,'[241]Parameter Keg'!B$3:C$191,2),"")</f>
        <v>BIDANG PENANGGULANGAN BENCANA, DARURAT DAN MENDESAK DESA</v>
      </c>
      <c r="E111" s="368">
        <f>E112</f>
        <v>69600000</v>
      </c>
      <c r="F111" s="369"/>
    </row>
    <row r="112" spans="2:6" s="58" customFormat="1" x14ac:dyDescent="0.25">
      <c r="B112" s="370" t="s">
        <v>323</v>
      </c>
      <c r="C112" s="371"/>
      <c r="D112" s="394" t="str">
        <f>IFERROR(VLOOKUP(B112,'[241]Parameter Keg'!B$3:C$191,2),"")</f>
        <v>Sub Bidang Keadaan Mendesak</v>
      </c>
      <c r="E112" s="373">
        <f>E113</f>
        <v>69600000</v>
      </c>
      <c r="F112" s="374"/>
    </row>
    <row r="113" spans="2:6" s="58" customFormat="1" x14ac:dyDescent="0.25">
      <c r="B113" s="375" t="s">
        <v>343</v>
      </c>
      <c r="C113" s="376"/>
      <c r="D113" s="384" t="str">
        <f>IFERROR(VLOOKUP(B113,'[241]Parameter Keg'!B$3:C$191,2),"")</f>
        <v>Penanganan Keadaan Mendesak</v>
      </c>
      <c r="E113" s="378">
        <f>E114</f>
        <v>69600000</v>
      </c>
      <c r="F113" s="95"/>
    </row>
    <row r="114" spans="2:6" s="58" customFormat="1" ht="15.75" thickBot="1" x14ac:dyDescent="0.3">
      <c r="B114" s="62"/>
      <c r="C114" s="385" t="s">
        <v>344</v>
      </c>
      <c r="D114" s="147" t="s">
        <v>345</v>
      </c>
      <c r="E114" s="389">
        <f>'[240]Lamp Perkades 2026'!$H$263</f>
        <v>69600000</v>
      </c>
      <c r="F114" s="95" t="s">
        <v>56</v>
      </c>
    </row>
    <row r="115" spans="2:6" s="58" customFormat="1" ht="15.75" thickBot="1" x14ac:dyDescent="0.3">
      <c r="B115" s="400"/>
      <c r="C115" s="401"/>
      <c r="D115" s="402" t="s">
        <v>346</v>
      </c>
      <c r="E115" s="403">
        <f>E111+E107+E93+E67+E29</f>
        <v>768196954</v>
      </c>
      <c r="F115" s="404"/>
    </row>
    <row r="116" spans="2:6" s="58" customFormat="1" ht="15.75" thickTop="1" x14ac:dyDescent="0.25">
      <c r="B116" s="283"/>
      <c r="C116" s="405"/>
      <c r="D116" s="406" t="s">
        <v>347</v>
      </c>
      <c r="E116" s="389">
        <f>E27-E115</f>
        <v>-75748554</v>
      </c>
      <c r="F116" s="95"/>
    </row>
    <row r="117" spans="2:6" s="58" customFormat="1" x14ac:dyDescent="0.25">
      <c r="B117" s="283"/>
      <c r="C117" s="147">
        <v>6</v>
      </c>
      <c r="D117" s="147" t="s">
        <v>246</v>
      </c>
      <c r="E117" s="389"/>
      <c r="F117" s="95"/>
    </row>
    <row r="118" spans="2:6" s="58" customFormat="1" x14ac:dyDescent="0.25">
      <c r="B118" s="283"/>
      <c r="C118" s="385" t="s">
        <v>348</v>
      </c>
      <c r="D118" s="407" t="s">
        <v>248</v>
      </c>
      <c r="E118" s="389">
        <f>E119</f>
        <v>75748554</v>
      </c>
      <c r="F118" s="95"/>
    </row>
    <row r="119" spans="2:6" s="58" customFormat="1" x14ac:dyDescent="0.25">
      <c r="B119" s="283"/>
      <c r="C119" s="385" t="s">
        <v>349</v>
      </c>
      <c r="D119" s="408" t="s">
        <v>250</v>
      </c>
      <c r="E119" s="389">
        <f>E120</f>
        <v>75748554</v>
      </c>
      <c r="F119" s="95"/>
    </row>
    <row r="120" spans="2:6" s="58" customFormat="1" ht="15.75" thickBot="1" x14ac:dyDescent="0.3">
      <c r="B120" s="283"/>
      <c r="C120" s="385" t="s">
        <v>350</v>
      </c>
      <c r="D120" s="409" t="s">
        <v>351</v>
      </c>
      <c r="E120" s="389">
        <f>E115-E27</f>
        <v>75748554</v>
      </c>
      <c r="F120" s="95"/>
    </row>
    <row r="121" spans="2:6" s="58" customFormat="1" ht="15.75" thickBot="1" x14ac:dyDescent="0.3">
      <c r="B121" s="283"/>
      <c r="C121" s="410"/>
      <c r="D121" s="411" t="s">
        <v>352</v>
      </c>
      <c r="E121" s="412">
        <f>E120</f>
        <v>75748554</v>
      </c>
      <c r="F121" s="413"/>
    </row>
    <row r="122" spans="2:6" s="58" customFormat="1" ht="15.75" thickTop="1" x14ac:dyDescent="0.25">
      <c r="B122" s="283"/>
      <c r="C122" s="414"/>
      <c r="D122" s="415" t="s">
        <v>353</v>
      </c>
      <c r="E122" s="416">
        <v>0</v>
      </c>
      <c r="F122" s="417"/>
    </row>
    <row r="123" spans="2:6" s="58" customFormat="1" x14ac:dyDescent="0.25">
      <c r="B123" s="418"/>
      <c r="C123" s="419"/>
      <c r="D123" s="148"/>
      <c r="E123" s="190" t="s">
        <v>354</v>
      </c>
      <c r="F123" s="280"/>
    </row>
    <row r="124" spans="2:6" s="58" customFormat="1" x14ac:dyDescent="0.25">
      <c r="B124" s="420"/>
      <c r="D124" s="63"/>
      <c r="E124" s="330" t="s">
        <v>355</v>
      </c>
      <c r="F124" s="285"/>
    </row>
    <row r="125" spans="2:6" s="58" customFormat="1" x14ac:dyDescent="0.25">
      <c r="B125" s="420"/>
      <c r="D125" s="63"/>
      <c r="E125" s="330"/>
      <c r="F125" s="285"/>
    </row>
    <row r="126" spans="2:6" s="58" customFormat="1" x14ac:dyDescent="0.25">
      <c r="B126" s="420"/>
      <c r="D126" s="63"/>
      <c r="E126" s="330"/>
      <c r="F126" s="285"/>
    </row>
    <row r="127" spans="2:6" s="58" customFormat="1" x14ac:dyDescent="0.25">
      <c r="B127" s="420"/>
      <c r="D127" s="63"/>
      <c r="E127" s="330"/>
      <c r="F127" s="285"/>
    </row>
    <row r="128" spans="2:6" s="58" customFormat="1" ht="24.75" customHeight="1" x14ac:dyDescent="0.25">
      <c r="B128" s="421"/>
      <c r="C128" s="422"/>
      <c r="D128" s="73"/>
      <c r="E128" s="423" t="s">
        <v>149</v>
      </c>
      <c r="F128" s="149"/>
    </row>
    <row r="129" spans="2:6" s="58" customFormat="1" ht="24" customHeight="1" x14ac:dyDescent="0.25">
      <c r="B129" s="138"/>
      <c r="C129" s="422"/>
      <c r="D129" s="73"/>
      <c r="E129" s="423"/>
      <c r="F129" s="149"/>
    </row>
  </sheetData>
  <mergeCells count="4">
    <mergeCell ref="B7:F7"/>
    <mergeCell ref="B8:F8"/>
    <mergeCell ref="B9:F9"/>
    <mergeCell ref="B11:C11"/>
  </mergeCells>
  <dataValidations count="4">
    <dataValidation allowBlank="1" showInputMessage="1" showErrorMessage="1" prompt="Kurang bayar 2025" sqref="E66" xr:uid="{C2BD98FB-5FCC-4386-8CB4-466D50F83CCA}"/>
    <dataValidation allowBlank="1" showInputMessage="1" showErrorMessage="1" prompt="SiLPA 2025" sqref="E41 E65" xr:uid="{36D36A3E-5B35-4186-9363-0984B4B9DA74}"/>
    <dataValidation allowBlank="1" showInputMessage="1" showErrorMessage="1" prompt="Pajak bank" sqref="E40" xr:uid="{FCDCDAFC-2666-4185-BF0F-70DF98CA3423}"/>
    <dataValidation allowBlank="1" showInputMessage="1" showErrorMessage="1" prompt="ADD 2026" sqref="E38:E39" xr:uid="{339530F5-E94F-4893-9625-0D7735278149}"/>
  </dataValidations>
  <pageMargins left="0.83" right="0.54" top="0.74803149606299213" bottom="0.74803149606299213" header="0.31496062992125984" footer="0.31496062992125984"/>
  <pageSetup paperSize="9" scale="90" orientation="portrait" r:id="rId1"/>
  <rowBreaks count="3" manualBreakCount="3">
    <brk id="48" min="1" max="5" man="1"/>
    <brk id="86" min="1" max="5" man="1"/>
    <brk id="128" min="1"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Matriks RKPDes TA 2026</vt:lpstr>
      <vt:lpstr>Lamp  DURK</vt:lpstr>
      <vt:lpstr>Perdes usulan APBDes 2026</vt:lpstr>
      <vt:lpstr>Lamp 1b APBDes 2026</vt:lpstr>
      <vt:lpstr>'Lamp  DURK'!Print_Area</vt:lpstr>
      <vt:lpstr>'Lamp 1b APBDes 2026'!Print_Area</vt:lpstr>
      <vt:lpstr>'Matriks RKPDes TA 2026'!Print_Area</vt:lpstr>
      <vt:lpstr>'Perdes usulan APBDes 2026'!Print_Area</vt:lpstr>
      <vt:lpstr>'Lamp 1b APBDes 2026'!Print_Titles</vt:lpstr>
      <vt:lpstr>'Matriks RKPDes TA 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DESA OLOBARU</dc:creator>
  <cp:lastModifiedBy>DESA OLOBARU</cp:lastModifiedBy>
  <dcterms:created xsi:type="dcterms:W3CDTF">2026-07-27T02:43:14Z</dcterms:created>
  <dcterms:modified xsi:type="dcterms:W3CDTF">2026-07-27T02:46:39Z</dcterms:modified>
</cp:coreProperties>
</file>